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omments/comment26.xml" ContentType="application/vnd.openxmlformats-officedocument.spreadsheetml.comments+xml"/>
  <Override PartName="/xl/worksheets/sheet30.xml" ContentType="application/vnd.openxmlformats-officedocument.spreadsheetml.worksheet+xml"/>
  <Override PartName="/xl/comments/comment27.xml" ContentType="application/vnd.openxmlformats-officedocument.spreadsheetml.comments+xml"/>
  <Override PartName="/xl/worksheets/sheet31.xml" ContentType="application/vnd.openxmlformats-officedocument.spreadsheetml.worksheet+xml"/>
  <Override PartName="/xl/comments/comment28.xml" ContentType="application/vnd.openxmlformats-officedocument.spreadsheetml.comments+xml"/>
  <Override PartName="/xl/worksheets/sheet32.xml" ContentType="application/vnd.openxmlformats-officedocument.spreadsheetml.worksheet+xml"/>
  <Override PartName="/xl/comments/comment29.xml" ContentType="application/vnd.openxmlformats-officedocument.spreadsheetml.comments+xml"/>
  <Override PartName="/xl/worksheets/sheet33.xml" ContentType="application/vnd.openxmlformats-officedocument.spreadsheetml.worksheet+xml"/>
  <Override PartName="/xl/comments/comment30.xml" ContentType="application/vnd.openxmlformats-officedocument.spreadsheetml.comments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97" firstSheet="34" activeTab="38" autoFilterDateGrouping="1"/>
  </bookViews>
  <sheets>
    <sheet name="Yearly Forecast" sheetId="1" state="hidden" r:id="rId1"/>
    <sheet name="2024 2025 Forecast" sheetId="2" state="hidden" r:id="rId2"/>
    <sheet name="July 23" sheetId="3" state="hidden" r:id="rId3"/>
    <sheet name="Aug 23" sheetId="4" state="hidden" r:id="rId4"/>
    <sheet name="Sept 23" sheetId="5" state="hidden" r:id="rId5"/>
    <sheet name="Oct 23" sheetId="6" state="hidden" r:id="rId6"/>
    <sheet name="Nov 23" sheetId="7" state="hidden" r:id="rId7"/>
    <sheet name="Dec 23" sheetId="8" state="hidden" r:id="rId8"/>
    <sheet name="Jan 23" sheetId="9" state="hidden" r:id="rId9"/>
    <sheet name="Feb 24" sheetId="10" state="hidden" r:id="rId10"/>
    <sheet name="March 24" sheetId="11" state="hidden" r:id="rId11"/>
    <sheet name="April 24" sheetId="12" state="hidden" r:id="rId12"/>
    <sheet name="May 24" sheetId="13" state="hidden" r:id="rId13"/>
    <sheet name="June 24" sheetId="14" state="hidden" r:id="rId14"/>
    <sheet name="July 24" sheetId="15" state="hidden" r:id="rId15"/>
    <sheet name="Aug 24" sheetId="16" state="hidden" r:id="rId16"/>
    <sheet name="Sept 24" sheetId="17" state="hidden" r:id="rId17"/>
    <sheet name="Oct 24" sheetId="18" state="hidden" r:id="rId18"/>
    <sheet name="Nov 24" sheetId="19" state="hidden" r:id="rId19"/>
    <sheet name="Dec 24" sheetId="20" state="hidden" r:id="rId20"/>
    <sheet name="Jan 25" sheetId="21" state="hidden" r:id="rId21"/>
    <sheet name="Feb 25" sheetId="22" state="hidden" r:id="rId22"/>
    <sheet name="March 25" sheetId="23" state="hidden" r:id="rId23"/>
    <sheet name="April 25" sheetId="24" state="hidden" r:id="rId24"/>
    <sheet name="May 25" sheetId="25" state="visible" r:id="rId25"/>
    <sheet name="June 25" sheetId="26" state="visible" r:id="rId26"/>
    <sheet name="July 25" sheetId="27" state="visible" r:id="rId27"/>
    <sheet name="Aug 25" sheetId="28" state="visible" r:id="rId28"/>
    <sheet name="Sept 25" sheetId="29" state="visible" r:id="rId29"/>
    <sheet name="Oct 25" sheetId="30" state="visible" r:id="rId30"/>
    <sheet name="Nov 25" sheetId="31" state="visible" r:id="rId31"/>
    <sheet name="Dec 25" sheetId="32" state="visible" r:id="rId32"/>
    <sheet name="Jan 26" sheetId="33" state="visible" r:id="rId33"/>
    <sheet name="Feb 26 " sheetId="34" state="visible" r:id="rId34"/>
    <sheet name="March 26 " sheetId="35" state="visible" r:id="rId35"/>
    <sheet name="MAR P" sheetId="36" state="visible" r:id="rId36"/>
    <sheet name="April 26 " sheetId="37" state="visible" r:id="rId37"/>
    <sheet name="APR P" sheetId="38" state="visible" r:id="rId38"/>
    <sheet name="May 26 " sheetId="39" state="visible" r:id="rId39"/>
    <sheet name="MAY P" sheetId="40" state="visible" r:id="rId40"/>
    <sheet name="June 26 " sheetId="41" state="visible" r:id="rId41"/>
    <sheet name="Sheet2" sheetId="42" state="hidden" r:id="rId42"/>
    <sheet name="July 26 " sheetId="43" state="visible" r:id="rId43"/>
    <sheet name="August 26 " sheetId="44" state="visible" r:id="rId44"/>
    <sheet name="September 26 " sheetId="45" state="visible" r:id="rId45"/>
    <sheet name="October 26 " sheetId="46" state="visible" r:id="rId46"/>
    <sheet name="November 26 " sheetId="47" state="visible" r:id="rId47"/>
    <sheet name="December 26 " sheetId="48" state="visible" r:id="rId48"/>
    <sheet name="January 27 " sheetId="49" state="visible" r:id="rId49"/>
    <sheet name="February 27 " sheetId="50" state="visible" r:id="rId50"/>
    <sheet name="March 27 " sheetId="51" state="visible" r:id="rId51"/>
    <sheet name="Sheet8" sheetId="52" state="visible" r:id="rId52"/>
  </sheets>
  <definedNames/>
  <calcPr calcId="191028" fullCalcOnLoad="1"/>
  <pivotCaches>
    <pivotCache cacheId="0" r:id="rId53"/>
    <pivotCache cacheId="1" r:id="rId54"/>
    <pivotCache cacheId="2" r:id="rId55"/>
  </pivotCaches>
</workbook>
</file>

<file path=xl/styles.xml><?xml version="1.0" encoding="utf-8"?>
<styleSheet xmlns="http://schemas.openxmlformats.org/spreadsheetml/2006/main">
  <numFmts count="9">
    <numFmt numFmtId="164" formatCode="0;\-0;;@\,"/>
    <numFmt numFmtId="165" formatCode="&quot;£&quot;#,##0.00;[Red]\-&quot;£&quot;#,##0.00"/>
    <numFmt numFmtId="166" formatCode="&quot;£&quot;#,##0.00"/>
    <numFmt numFmtId="167" formatCode="_-* #,##0.00_-;\-* #,##0.00_-;_-* &quot;-&quot;??_-;_-@_-"/>
    <numFmt numFmtId="168" formatCode="[$-F800]dddd\,\ mmmm\ dd\,\ yyyy"/>
    <numFmt numFmtId="169" formatCode="0;\-0;;@"/>
    <numFmt numFmtId="170" formatCode="0.000000_ ;\-0.000000\ "/>
    <numFmt numFmtId="171" formatCode="\£#,##0.00"/>
    <numFmt numFmtId="172" formatCode="d\ mmmm\ yyyy"/>
  </numFmts>
  <fonts count="70">
    <font>
      <name val="Calibri"/>
      <family val="2"/>
      <color theme="1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rgb="FF00B0F0"/>
      <sz val="12"/>
      <scheme val="minor"/>
    </font>
    <font>
      <name val="Calibri"/>
      <family val="2"/>
      <color rgb="FF00B0F0"/>
      <sz val="14"/>
      <scheme val="minor"/>
    </font>
    <font>
      <name val="Calibri"/>
      <family val="2"/>
      <color rgb="FF00B0F0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sz val="10"/>
      <scheme val="minor"/>
    </font>
    <font>
      <name val="Calibri"/>
      <family val="2"/>
      <sz val="12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color theme="1"/>
      <sz val="14"/>
      <scheme val="minor"/>
    </font>
    <font>
      <name val="Calibri"/>
      <family val="2"/>
      <sz val="8"/>
      <scheme val="minor"/>
    </font>
    <font>
      <name val="Calibri"/>
      <family val="2"/>
      <color rgb="FFFF0000"/>
      <sz val="10"/>
      <u val="single"/>
      <scheme val="minor"/>
    </font>
    <font>
      <name val="Calibri"/>
      <family val="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12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1"/>
      <u val="single"/>
      <scheme val="minor"/>
    </font>
    <font>
      <name val="Calibri"/>
      <family val="2"/>
      <color rgb="FF000000"/>
      <sz val="11"/>
      <scheme val="minor"/>
    </font>
    <font>
      <name val="Calibri"/>
      <family val="2"/>
      <color rgb="FF000000"/>
      <sz val="10"/>
      <scheme val="minor"/>
    </font>
    <font>
      <name val="Calibri Light"/>
      <family val="2"/>
      <color rgb="FF000000"/>
      <sz val="10"/>
    </font>
    <font>
      <name val="Calibri"/>
      <family val="2"/>
      <b val="1"/>
      <color theme="1"/>
      <sz val="11"/>
      <u val="single"/>
      <scheme val="minor"/>
    </font>
    <font>
      <name val="Calibri"/>
      <family val="2"/>
      <b val="1"/>
      <color rgb="FFFF0000"/>
      <sz val="10"/>
      <u val="single"/>
      <scheme val="minor"/>
    </font>
    <font>
      <name val="Calibri"/>
      <family val="2"/>
      <b val="1"/>
      <sz val="10"/>
      <scheme val="minor"/>
    </font>
    <font>
      <name val="Arial"/>
      <family val="2"/>
      <color rgb="FF00B0F0"/>
      <sz val="12"/>
    </font>
    <font>
      <name val="Arial Unicode MS"/>
      <color rgb="FF00B0F0"/>
      <sz val="10"/>
    </font>
    <font>
      <name val="Calibri"/>
      <family val="2"/>
      <color theme="5"/>
      <sz val="12"/>
      <scheme val="minor"/>
    </font>
    <font>
      <name val="Calibri"/>
      <family val="2"/>
      <color theme="5"/>
      <sz val="11"/>
      <scheme val="minor"/>
    </font>
    <font>
      <name val="Consolas"/>
      <family val="3"/>
      <sz val="10"/>
    </font>
    <font>
      <name val="Calibri"/>
      <family val="2"/>
      <sz val="14"/>
      <scheme val="minor"/>
    </font>
    <font>
      <name val="Arial"/>
      <family val="2"/>
      <color rgb="FF00B0F0"/>
      <sz val="9"/>
    </font>
    <font>
      <name val="Arial"/>
      <family val="2"/>
      <color rgb="FF000000"/>
      <sz val="9"/>
    </font>
    <font>
      <name val="Calibri"/>
      <family val="2"/>
      <color rgb="FFFFC000"/>
      <sz val="12"/>
      <scheme val="minor"/>
    </font>
    <font>
      <name val="Calibri"/>
      <family val="2"/>
      <color rgb="FFFFC000"/>
      <sz val="11"/>
      <scheme val="minor"/>
    </font>
    <font>
      <name val="Calibri"/>
      <family val="2"/>
      <b val="1"/>
      <i val="1"/>
      <sz val="10"/>
      <u val="single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Arial"/>
      <family val="2"/>
      <color rgb="FFFF0000"/>
      <sz val="10"/>
    </font>
    <font>
      <name val="Arial"/>
      <family val="2"/>
      <color rgb="FF00B0F0"/>
      <sz val="10"/>
    </font>
    <font>
      <name val="Calibri"/>
      <family val="2"/>
      <color rgb="FF92D050"/>
      <sz val="11"/>
      <scheme val="minor"/>
    </font>
    <font>
      <name val="Var(--ds-font-family-code)"/>
      <color rgb="FFFFFFFF"/>
      <sz val="9"/>
    </font>
    <font>
      <name val="Var(--ds-font-family-code)"/>
      <color rgb="FF00B0F0"/>
      <sz val="9"/>
    </font>
    <font>
      <name val="Calibri"/>
      <family val="2"/>
      <sz val="11"/>
    </font>
    <font>
      <name val="Calibri"/>
      <family val="2"/>
      <color rgb="FF000000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rgb="FF000000"/>
      <sz val="10"/>
    </font>
    <font>
      <name val="Verdana"/>
      <family val="2"/>
      <sz val="10"/>
    </font>
    <font>
      <name val="Var(--ds-font-family-code)"/>
      <sz val="9"/>
    </font>
    <font>
      <name val="Arial"/>
      <family val="2"/>
      <sz val="9"/>
    </font>
    <font>
      <name val="Calibri"/>
      <family val="2"/>
      <color rgb="FFFF0000"/>
      <sz val="10"/>
      <scheme val="minor"/>
    </font>
    <font>
      <name val="Calibri"/>
      <family val="2"/>
      <color theme="1"/>
      <sz val="11"/>
      <scheme val="minor"/>
    </font>
    <font>
      <name val="Aptos Narrow"/>
      <family val="2"/>
      <sz val="11"/>
    </font>
    <font>
      <name val="Aptos Narrow"/>
      <family val="2"/>
      <color rgb="FF000000"/>
      <sz val="10"/>
    </font>
    <font>
      <name val="Aptos Narrow"/>
      <family val="2"/>
      <b val="1"/>
      <color rgb="FF000000"/>
      <sz val="10"/>
    </font>
    <font>
      <name val="Segoe UI"/>
      <family val="2"/>
      <color rgb="FF242424"/>
      <sz val="8"/>
    </font>
    <font>
      <name val="Aptos Narrow"/>
      <family val="2"/>
      <color rgb="FF000000"/>
      <sz val="12"/>
    </font>
    <font>
      <name val="Aptos Narrow"/>
      <family val="2"/>
      <color rgb="FF00B0F0"/>
      <sz val="11"/>
    </font>
    <font>
      <name val="Aptos Narrow"/>
      <family val="2"/>
      <color rgb="FF242424"/>
      <sz val="10"/>
    </font>
    <font>
      <name val="Segoe UI"/>
      <family val="2"/>
      <sz val="8"/>
    </font>
    <font>
      <name val="Aptos Narrow"/>
      <family val="2"/>
      <color rgb="FF242424"/>
      <sz val="11"/>
    </font>
    <font>
      <name val="Aptos Narrow"/>
      <family val="2"/>
      <b val="1"/>
      <sz val="10"/>
    </font>
    <font>
      <name val="Calibri"/>
      <family val="2"/>
      <b val="1"/>
      <sz val="11"/>
      <scheme val="minor"/>
    </font>
    <font>
      <name val="Calibri"/>
      <family val="2"/>
      <color rgb="FF00B0F0"/>
      <sz val="10"/>
      <scheme val="minor"/>
    </font>
    <font>
      <name val="Aptos Narrow"/>
      <family val="2"/>
      <b val="1"/>
      <color rgb="FF000000"/>
      <sz val="10"/>
    </font>
    <font>
      <name val="Segoe UI"/>
      <family val="2"/>
      <color rgb="FF242424"/>
      <sz val="8"/>
    </font>
    <font>
      <name val="Aptos Narrow"/>
      <family val="2"/>
      <color rgb="FF000000"/>
      <sz val="11"/>
    </font>
    <font>
      <name val="Aptos Narrow"/>
      <family val="2"/>
      <color rgb="FFFF0000"/>
      <sz val="11"/>
    </font>
    <font>
      <name val="Calibri"/>
      <family val="2"/>
      <b val="1"/>
      <sz val="11"/>
    </font>
  </fonts>
  <fills count="30">
    <fill>
      <patternFill/>
    </fill>
    <fill>
      <patternFill patternType="gray125"/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theme="4" tint="0.7999816888943144"/>
      </patternFill>
    </fill>
    <fill>
      <patternFill patternType="solid">
        <fgColor rgb="FFFF0000"/>
        <bgColor theme="4" tint="0.7999816888943144"/>
      </patternFill>
    </fill>
    <fill>
      <patternFill patternType="solid">
        <fgColor rgb="FF00B0F0"/>
        <bgColor theme="4" tint="0.7999816888943144"/>
      </patternFill>
    </fill>
    <fill>
      <patternFill patternType="solid">
        <fgColor rgb="FF92D050"/>
        <bgColor theme="4" tint="0.7999816888943144"/>
      </patternFill>
    </fill>
    <fill>
      <patternFill patternType="solid">
        <fgColor rgb="FF7030A0"/>
        <bgColor theme="4" tint="0.7999816888943144"/>
      </patternFill>
    </fill>
    <fill>
      <patternFill patternType="solid">
        <fgColor rgb="FF92D050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FFD96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rgb="FFD9E1F2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4" tint="0.399975585192419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/>
      <diagonal/>
    </border>
    <border>
      <left/>
      <right/>
      <top/>
      <bottom style="medium">
        <color rgb="FF44B3E1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3">
    <xf numFmtId="0" fontId="52" fillId="0" borderId="0"/>
    <xf numFmtId="0" fontId="46" fillId="0" borderId="0"/>
    <xf numFmtId="43" fontId="52" fillId="0" borderId="0"/>
  </cellStyleXfs>
  <cellXfs count="281">
    <xf numFmtId="0" fontId="0" fillId="0" borderId="0" pivotButton="0" quotePrefix="0" xfId="0"/>
    <xf numFmtId="0" fontId="1" fillId="0" borderId="0" pivotButton="0" quotePrefix="0" xfId="0"/>
    <xf numFmtId="0" fontId="2" fillId="2" borderId="0" pivotButton="0" quotePrefix="0" xfId="0"/>
    <xf numFmtId="16" fontId="2" fillId="3" borderId="1" pivotButton="0" quotePrefix="0" xfId="0"/>
    <xf numFmtId="16" fontId="2" fillId="4" borderId="1" pivotButton="0" quotePrefix="0" xfId="0"/>
    <xf numFmtId="16" fontId="2" fillId="5" borderId="1" pivotButton="0" quotePrefix="0" xfId="0"/>
    <xf numFmtId="16" fontId="2" fillId="6" borderId="1" pivotButton="0" quotePrefix="0" xfId="0"/>
    <xf numFmtId="16" fontId="2" fillId="7" borderId="1" pivotButton="0" quotePrefix="0" xfId="0"/>
    <xf numFmtId="0" fontId="1" fillId="0" borderId="0" applyAlignment="1" pivotButton="0" quotePrefix="0" xfId="0">
      <alignment horizontal="left" indent="1"/>
    </xf>
    <xf numFmtId="0" fontId="3" fillId="0" borderId="0" pivotButton="0" quotePrefix="0" xfId="0"/>
    <xf numFmtId="4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164" fontId="7" fillId="0" borderId="0" applyAlignment="1" pivotButton="0" quotePrefix="0" xfId="0">
      <alignment horizontal="left" indent="1"/>
    </xf>
    <xf numFmtId="0" fontId="7" fillId="0" borderId="0" applyAlignment="1" pivotButton="0" quotePrefix="0" xfId="0">
      <alignment horizontal="left" indent="1"/>
    </xf>
    <xf numFmtId="4" fontId="8" fillId="0" borderId="0" pivotButton="0" quotePrefix="0" xfId="0"/>
    <xf numFmtId="4" fontId="6" fillId="0" borderId="0" applyAlignment="1" pivotButton="0" quotePrefix="0" xfId="0">
      <alignment wrapText="1"/>
    </xf>
    <xf numFmtId="4" fontId="6" fillId="0" borderId="0" pivotButton="0" quotePrefix="0" xfId="0"/>
    <xf numFmtId="0" fontId="11" fillId="0" borderId="0" pivotButton="0" quotePrefix="0" xfId="0"/>
    <xf numFmtId="0" fontId="1" fillId="0" borderId="2" applyAlignment="1" pivotButton="0" quotePrefix="0" xfId="0">
      <alignment horizontal="left" indent="1"/>
    </xf>
    <xf numFmtId="4" fontId="0" fillId="0" borderId="2" pivotButton="0" quotePrefix="0" xfId="0"/>
    <xf numFmtId="0" fontId="6" fillId="0" borderId="2" pivotButton="0" quotePrefix="0" xfId="0"/>
    <xf numFmtId="4" fontId="8" fillId="8" borderId="0" pivotButton="0" quotePrefix="0" xfId="0"/>
    <xf numFmtId="0" fontId="8" fillId="8" borderId="0" pivotButton="0" quotePrefix="0" xfId="0"/>
    <xf numFmtId="4" fontId="0" fillId="0" borderId="0" pivotButton="0" quotePrefix="0" xfId="0"/>
    <xf numFmtId="0" fontId="8" fillId="0" borderId="0" pivotButton="0" quotePrefix="0" xfId="0"/>
    <xf numFmtId="0" fontId="3" fillId="8" borderId="0" pivotButton="0" quotePrefix="0" xfId="0"/>
    <xf numFmtId="0" fontId="5" fillId="8" borderId="0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left" indent="1"/>
    </xf>
    <xf numFmtId="0" fontId="14" fillId="0" borderId="0" pivotButton="0" quotePrefix="0" xfId="0"/>
    <xf numFmtId="0" fontId="16" fillId="0" borderId="0" pivotButton="0" quotePrefix="0" xfId="0"/>
    <xf numFmtId="0" fontId="15" fillId="0" borderId="0" pivotButton="0" quotePrefix="0" xfId="0"/>
    <xf numFmtId="0" fontId="17" fillId="2" borderId="0" pivotButton="0" quotePrefix="0" xfId="0"/>
    <xf numFmtId="4" fontId="16" fillId="0" borderId="0" pivotButton="0" quotePrefix="0" xfId="0"/>
    <xf numFmtId="0" fontId="18" fillId="9" borderId="0" applyAlignment="1" pivotButton="0" quotePrefix="0" xfId="0">
      <alignment horizontal="center" vertical="center"/>
    </xf>
    <xf numFmtId="0" fontId="19" fillId="10" borderId="0" applyAlignment="1" pivotButton="0" quotePrefix="0" xfId="0">
      <alignment horizontal="center" vertical="center"/>
    </xf>
    <xf numFmtId="0" fontId="18" fillId="11" borderId="0" applyAlignment="1" pivotButton="0" quotePrefix="0" xfId="0">
      <alignment horizontal="center" vertical="center"/>
    </xf>
    <xf numFmtId="0" fontId="20" fillId="12" borderId="0" applyAlignment="1" pivotButton="0" quotePrefix="0" xfId="0">
      <alignment horizontal="center" vertical="center"/>
    </xf>
    <xf numFmtId="0" fontId="14" fillId="12" borderId="0" applyAlignment="1" pivotButton="0" quotePrefix="0" xfId="0">
      <alignment horizontal="center" vertical="center"/>
    </xf>
    <xf numFmtId="165" fontId="20" fillId="12" borderId="0" applyAlignment="1" pivotButton="0" quotePrefix="0" xfId="0">
      <alignment horizontal="center" vertical="center"/>
    </xf>
    <xf numFmtId="0" fontId="14" fillId="13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center" vertical="center"/>
    </xf>
    <xf numFmtId="165" fontId="20" fillId="0" borderId="0" applyAlignment="1" pivotButton="0" quotePrefix="0" xfId="0">
      <alignment horizontal="center" vertical="center"/>
    </xf>
    <xf numFmtId="0" fontId="14" fillId="14" borderId="0" applyAlignment="1" pivotButton="0" quotePrefix="0" xfId="0">
      <alignment horizontal="center" vertical="center"/>
    </xf>
    <xf numFmtId="0" fontId="20" fillId="14" borderId="0" applyAlignment="1" pivotButton="0" quotePrefix="0" xfId="0">
      <alignment horizontal="center" vertical="center"/>
    </xf>
    <xf numFmtId="0" fontId="21" fillId="12" borderId="0" applyAlignment="1" pivotButton="0" quotePrefix="0" xfId="0">
      <alignment horizontal="center" vertical="center"/>
    </xf>
    <xf numFmtId="0" fontId="21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3" fillId="0" borderId="0" pivotButton="0" quotePrefix="0" xfId="0"/>
    <xf numFmtId="0" fontId="24" fillId="0" borderId="0" applyAlignment="1" pivotButton="0" quotePrefix="0" xfId="0">
      <alignment horizontal="left" indent="1"/>
    </xf>
    <xf numFmtId="0" fontId="7" fillId="0" borderId="0" applyAlignment="1" pivotButton="0" quotePrefix="0" xfId="0">
      <alignment vertical="top"/>
    </xf>
    <xf numFmtId="0" fontId="7" fillId="0" borderId="2" applyAlignment="1" pivotButton="0" quotePrefix="0" xfId="0">
      <alignment horizontal="left" indent="1"/>
    </xf>
    <xf numFmtId="16" fontId="25" fillId="4" borderId="1" pivotButton="0" quotePrefix="0" xfId="0"/>
    <xf numFmtId="16" fontId="25" fillId="5" borderId="1" pivotButton="0" quotePrefix="0" xfId="0"/>
    <xf numFmtId="16" fontId="25" fillId="6" borderId="1" pivotButton="0" quotePrefix="0" xfId="0"/>
    <xf numFmtId="16" fontId="25" fillId="3" borderId="1" pivotButton="0" quotePrefix="0" xfId="0"/>
    <xf numFmtId="0" fontId="14" fillId="0" borderId="2" pivotButton="0" quotePrefix="0" xfId="0"/>
    <xf numFmtId="0" fontId="26" fillId="0" borderId="0" pivotButton="0" quotePrefix="0" xfId="0"/>
    <xf numFmtId="0" fontId="27" fillId="0" borderId="0" applyAlignment="1" pivotButton="0" quotePrefix="0" xfId="0">
      <alignment horizontal="left" vertical="center"/>
    </xf>
    <xf numFmtId="0" fontId="7" fillId="0" borderId="3" applyAlignment="1" pivotButton="0" quotePrefix="0" xfId="0">
      <alignment horizontal="left" indent="1"/>
    </xf>
    <xf numFmtId="0" fontId="0" fillId="0" borderId="3" pivotButton="0" quotePrefix="0" xfId="0"/>
    <xf numFmtId="4" fontId="3" fillId="8" borderId="0" pivotButton="0" quotePrefix="0" xfId="0"/>
    <xf numFmtId="0" fontId="5" fillId="0" borderId="3" pivotButton="0" quotePrefix="0" xfId="0"/>
    <xf numFmtId="0" fontId="14" fillId="0" borderId="3" pivotButton="0" quotePrefix="0" xfId="0"/>
    <xf numFmtId="0" fontId="7" fillId="0" borderId="4" applyAlignment="1" pivotButton="0" quotePrefix="0" xfId="0">
      <alignment horizontal="left" indent="1"/>
    </xf>
    <xf numFmtId="0" fontId="0" fillId="0" borderId="4" pivotButton="0" quotePrefix="0" xfId="0"/>
    <xf numFmtId="0" fontId="7" fillId="0" borderId="5" applyAlignment="1" pivotButton="0" quotePrefix="0" xfId="0">
      <alignment horizontal="left" indent="1"/>
    </xf>
    <xf numFmtId="0" fontId="0" fillId="0" borderId="5" pivotButton="0" quotePrefix="0" xfId="0"/>
    <xf numFmtId="4" fontId="28" fillId="0" borderId="0" pivotButton="0" quotePrefix="0" xfId="0"/>
    <xf numFmtId="4" fontId="29" fillId="0" borderId="0" pivotButton="0" quotePrefix="0" xfId="0"/>
    <xf numFmtId="0" fontId="30" fillId="0" borderId="0" applyAlignment="1" pivotButton="0" quotePrefix="0" xfId="0">
      <alignment horizontal="left" vertical="center" wrapText="1"/>
    </xf>
    <xf numFmtId="0" fontId="29" fillId="0" borderId="0" pivotButton="0" quotePrefix="0" xfId="0"/>
    <xf numFmtId="4" fontId="5" fillId="0" borderId="0" pivotButton="0" quotePrefix="0" xfId="0"/>
    <xf numFmtId="4" fontId="14" fillId="0" borderId="0" pivotButton="0" quotePrefix="0" xfId="0"/>
    <xf numFmtId="0" fontId="31" fillId="0" borderId="0" pivotButton="0" quotePrefix="0" xfId="0"/>
    <xf numFmtId="0" fontId="16" fillId="15" borderId="0" pivotButton="0" quotePrefix="0" xfId="0"/>
    <xf numFmtId="0" fontId="15" fillId="15" borderId="0" pivotButton="0" quotePrefix="0" xfId="0"/>
    <xf numFmtId="0" fontId="5" fillId="15" borderId="0" pivotButton="0" quotePrefix="0" xfId="0"/>
    <xf numFmtId="0" fontId="3" fillId="15" borderId="0" pivotButton="0" quotePrefix="0" xfId="0"/>
    <xf numFmtId="0" fontId="0" fillId="15" borderId="0" pivotButton="0" quotePrefix="0" xfId="0"/>
    <xf numFmtId="166" fontId="6" fillId="0" borderId="2" pivotButton="0" quotePrefix="0" xfId="0"/>
    <xf numFmtId="15" fontId="0" fillId="0" borderId="0" pivotButton="0" quotePrefix="0" xfId="0"/>
    <xf numFmtId="4" fontId="32" fillId="0" borderId="0" pivotButton="0" quotePrefix="0" xfId="0"/>
    <xf numFmtId="3" fontId="5" fillId="0" borderId="0" pivotButton="0" quotePrefix="0" xfId="0"/>
    <xf numFmtId="166" fontId="0" fillId="0" borderId="0" pivotButton="0" quotePrefix="0" xfId="0"/>
    <xf numFmtId="16" fontId="2" fillId="16" borderId="1" pivotButton="0" quotePrefix="0" xfId="0"/>
    <xf numFmtId="0" fontId="8" fillId="15" borderId="0" pivotButton="0" quotePrefix="0" xfId="0"/>
    <xf numFmtId="0" fontId="14" fillId="15" borderId="0" pivotButton="0" quotePrefix="0" xfId="0"/>
    <xf numFmtId="0" fontId="28" fillId="0" borderId="0" pivotButton="0" quotePrefix="0" xfId="0"/>
    <xf numFmtId="3" fontId="14" fillId="0" borderId="0" pivotButton="0" quotePrefix="0" xfId="0"/>
    <xf numFmtId="4" fontId="33" fillId="0" borderId="0" pivotButton="0" quotePrefix="0" xfId="0"/>
    <xf numFmtId="0" fontId="34" fillId="0" borderId="0" pivotButton="0" quotePrefix="0" xfId="0"/>
    <xf numFmtId="0" fontId="35" fillId="0" borderId="0" pivotButton="0" quotePrefix="0" xfId="0"/>
    <xf numFmtId="166" fontId="6" fillId="0" borderId="0" pivotButton="0" quotePrefix="0" xfId="0"/>
    <xf numFmtId="0" fontId="36" fillId="0" borderId="0" applyAlignment="1" pivotButton="0" quotePrefix="0" xfId="0">
      <alignment horizontal="left" indent="1"/>
    </xf>
    <xf numFmtId="16" fontId="2" fillId="6" borderId="0" pivotButton="0" quotePrefix="0" xfId="0"/>
    <xf numFmtId="10" fontId="37" fillId="0" borderId="0" pivotButton="0" quotePrefix="0" xfId="0"/>
    <xf numFmtId="10" fontId="0" fillId="0" borderId="0" pivotButton="0" quotePrefix="0" xfId="0"/>
    <xf numFmtId="4" fontId="38" fillId="0" borderId="0" pivotButton="0" quotePrefix="0" xfId="0"/>
    <xf numFmtId="4" fontId="38" fillId="17" borderId="0" pivotButton="0" quotePrefix="0" xfId="0"/>
    <xf numFmtId="0" fontId="14" fillId="17" borderId="0" pivotButton="0" quotePrefix="0" xfId="0"/>
    <xf numFmtId="0" fontId="1" fillId="15" borderId="0" applyAlignment="1" pivotButton="0" quotePrefix="0" xfId="0">
      <alignment horizontal="left" indent="1"/>
    </xf>
    <xf numFmtId="0" fontId="31" fillId="15" borderId="0" pivotButton="0" quotePrefix="0" xfId="0"/>
    <xf numFmtId="0" fontId="7" fillId="15" borderId="0" applyAlignment="1" pivotButton="0" quotePrefix="0" xfId="0">
      <alignment horizontal="left" indent="1"/>
    </xf>
    <xf numFmtId="4" fontId="15" fillId="0" borderId="0" pivotButton="0" quotePrefix="0" xfId="0"/>
    <xf numFmtId="4" fontId="39" fillId="0" borderId="0" pivotButton="0" quotePrefix="0" xfId="0"/>
    <xf numFmtId="4" fontId="40" fillId="0" borderId="0" pivotButton="0" quotePrefix="0" xfId="0"/>
    <xf numFmtId="0" fontId="4" fillId="15" borderId="0" pivotButton="0" quotePrefix="0" xfId="0"/>
    <xf numFmtId="0" fontId="41" fillId="0" borderId="0" pivotButton="0" quotePrefix="0" xfId="0"/>
    <xf numFmtId="0" fontId="14" fillId="0" borderId="4" pivotButton="0" quotePrefix="0" xfId="0"/>
    <xf numFmtId="0" fontId="14" fillId="0" borderId="5" pivotButton="0" quotePrefix="0" xfId="0"/>
    <xf numFmtId="0" fontId="42" fillId="0" borderId="0" applyAlignment="1" pivotButton="0" quotePrefix="0" xfId="0">
      <alignment vertical="center"/>
    </xf>
    <xf numFmtId="14" fontId="2" fillId="7" borderId="1" pivotButton="0" quotePrefix="0" xfId="0"/>
    <xf numFmtId="14" fontId="2" fillId="4" borderId="1" pivotButton="0" quotePrefix="0" xfId="0"/>
    <xf numFmtId="14" fontId="2" fillId="5" borderId="1" pivotButton="0" quotePrefix="0" xfId="0"/>
    <xf numFmtId="14" fontId="2" fillId="6" borderId="1" pivotButton="0" quotePrefix="0" xfId="0"/>
    <xf numFmtId="14" fontId="2" fillId="3" borderId="1" pivotButton="0" quotePrefix="0" xfId="0"/>
    <xf numFmtId="16" fontId="2" fillId="18" borderId="1" pivotButton="0" quotePrefix="0" xfId="0"/>
    <xf numFmtId="0" fontId="15" fillId="0" borderId="2" pivotButton="0" quotePrefix="0" xfId="0"/>
    <xf numFmtId="4" fontId="42" fillId="0" borderId="0" applyAlignment="1" pivotButton="0" quotePrefix="0" xfId="0">
      <alignment vertical="center"/>
    </xf>
    <xf numFmtId="4" fontId="43" fillId="0" borderId="0" applyAlignment="1" pivotButton="0" quotePrefix="0" xfId="0">
      <alignment vertical="center"/>
    </xf>
    <xf numFmtId="4" fontId="31" fillId="0" borderId="0" pivotButton="0" quotePrefix="0" xfId="0"/>
    <xf numFmtId="4" fontId="0" fillId="0" borderId="4" pivotButton="0" quotePrefix="0" xfId="0"/>
    <xf numFmtId="4" fontId="14" fillId="0" borderId="4" pivotButton="0" quotePrefix="0" xfId="0"/>
    <xf numFmtId="4" fontId="6" fillId="0" borderId="2" pivotButton="0" quotePrefix="0" xfId="0"/>
    <xf numFmtId="4" fontId="0" fillId="0" borderId="5" pivotButton="0" quotePrefix="0" xfId="0"/>
    <xf numFmtId="4" fontId="14" fillId="0" borderId="5" pivotButton="0" quotePrefix="0" xfId="0"/>
    <xf numFmtId="4" fontId="4" fillId="0" borderId="0" pivotButton="0" quotePrefix="0" xfId="0"/>
    <xf numFmtId="17" fontId="0" fillId="0" borderId="0" pivotButton="0" quotePrefix="0" xfId="0"/>
    <xf numFmtId="0" fontId="14" fillId="2" borderId="6" pivotButton="0" quotePrefix="0" xfId="0"/>
    <xf numFmtId="0" fontId="14" fillId="2" borderId="0" pivotButton="0" quotePrefix="0" xfId="0"/>
    <xf numFmtId="0" fontId="0" fillId="2" borderId="6" pivotButton="0" quotePrefix="0" xfId="0"/>
    <xf numFmtId="0" fontId="0" fillId="2" borderId="0" pivotButton="0" quotePrefix="0" xfId="0"/>
    <xf numFmtId="0" fontId="0" fillId="2" borderId="6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0" borderId="6" pivotButton="0" quotePrefix="0" xfId="0"/>
    <xf numFmtId="0" fontId="14" fillId="0" borderId="6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44" fillId="12" borderId="7" applyAlignment="1" pivotButton="0" quotePrefix="0" xfId="0">
      <alignment horizontal="center" vertical="center"/>
    </xf>
    <xf numFmtId="0" fontId="44" fillId="12" borderId="0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17" borderId="0" pivotButton="0" quotePrefix="0" xfId="0"/>
    <xf numFmtId="0" fontId="45" fillId="0" borderId="7" applyAlignment="1" pivotButton="0" quotePrefix="0" xfId="0">
      <alignment horizontal="center" vertical="center"/>
    </xf>
    <xf numFmtId="0" fontId="0" fillId="19" borderId="8" pivotButton="0" quotePrefix="0" xfId="0"/>
    <xf numFmtId="0" fontId="0" fillId="20" borderId="8" pivotButton="0" quotePrefix="0" xfId="0"/>
    <xf numFmtId="4" fontId="43" fillId="21" borderId="0" applyAlignment="1" pivotButton="0" quotePrefix="0" xfId="0">
      <alignment vertical="center"/>
    </xf>
    <xf numFmtId="4" fontId="3" fillId="21" borderId="0" pivotButton="0" quotePrefix="0" xfId="0"/>
    <xf numFmtId="0" fontId="5" fillId="21" borderId="0" pivotButton="0" quotePrefix="0" xfId="0"/>
    <xf numFmtId="4" fontId="5" fillId="21" borderId="0" pivotButton="0" quotePrefix="0" xfId="0"/>
    <xf numFmtId="0" fontId="46" fillId="0" borderId="0" pivotButton="0" quotePrefix="0" xfId="1"/>
    <xf numFmtId="4" fontId="5" fillId="0" borderId="4" pivotButton="0" quotePrefix="0" xfId="0"/>
    <xf numFmtId="4" fontId="47" fillId="0" borderId="0" pivotButton="0" quotePrefix="0" xfId="0"/>
    <xf numFmtId="4" fontId="48" fillId="0" borderId="0" pivotButton="0" quotePrefix="0" xfId="0"/>
    <xf numFmtId="4" fontId="40" fillId="21" borderId="0" pivotButton="0" quotePrefix="0" xfId="0"/>
    <xf numFmtId="4" fontId="49" fillId="0" borderId="0" applyAlignment="1" pivotButton="0" quotePrefix="0" xfId="0">
      <alignment vertical="center"/>
    </xf>
    <xf numFmtId="4" fontId="14" fillId="21" borderId="0" pivotButton="0" quotePrefix="0" xfId="0"/>
    <xf numFmtId="0" fontId="14" fillId="21" borderId="0" pivotButton="0" quotePrefix="0" xfId="0"/>
    <xf numFmtId="0" fontId="37" fillId="2" borderId="9" pivotButton="0" quotePrefix="0" xfId="0"/>
    <xf numFmtId="4" fontId="50" fillId="0" borderId="0" pivotButton="0" quotePrefix="0" xfId="0"/>
    <xf numFmtId="4" fontId="8" fillId="21" borderId="0" pivotButton="0" quotePrefix="0" xfId="0"/>
    <xf numFmtId="4" fontId="38" fillId="21" borderId="0" pivotButton="0" quotePrefix="0" xfId="0"/>
    <xf numFmtId="4" fontId="49" fillId="21" borderId="0" applyAlignment="1" pivotButton="0" quotePrefix="0" xfId="0">
      <alignment vertical="center"/>
    </xf>
    <xf numFmtId="0" fontId="51" fillId="0" borderId="0" applyAlignment="1" pivotButton="0" quotePrefix="0" xfId="0">
      <alignment horizontal="left" indent="1"/>
    </xf>
    <xf numFmtId="0" fontId="51" fillId="0" borderId="2" applyAlignment="1" pivotButton="0" quotePrefix="0" xfId="0">
      <alignment horizontal="left" indent="1"/>
    </xf>
    <xf numFmtId="4" fontId="15" fillId="0" borderId="2" pivotButton="0" quotePrefix="0" xfId="0"/>
    <xf numFmtId="167" fontId="0" fillId="0" borderId="0" pivotButton="0" quotePrefix="0" xfId="0"/>
    <xf numFmtId="0" fontId="53" fillId="0" borderId="0" pivotButton="0" quotePrefix="0" xfId="0"/>
    <xf numFmtId="0" fontId="54" fillId="22" borderId="0" applyAlignment="1" pivotButton="0" quotePrefix="0" xfId="0">
      <alignment vertical="center" wrapText="1"/>
    </xf>
    <xf numFmtId="0" fontId="55" fillId="23" borderId="0" applyAlignment="1" pivotButton="0" quotePrefix="0" xfId="0">
      <alignment vertical="center" wrapText="1"/>
    </xf>
    <xf numFmtId="0" fontId="56" fillId="22" borderId="0" applyAlignment="1" pivotButton="0" quotePrefix="0" xfId="0">
      <alignment wrapText="1"/>
    </xf>
    <xf numFmtId="15" fontId="55" fillId="8" borderId="10" applyAlignment="1" pivotButton="0" quotePrefix="0" xfId="0">
      <alignment horizontal="right" vertical="center" wrapText="1"/>
    </xf>
    <xf numFmtId="15" fontId="55" fillId="15" borderId="10" applyAlignment="1" pivotButton="0" quotePrefix="0" xfId="0">
      <alignment horizontal="right" vertical="center" wrapText="1"/>
    </xf>
    <xf numFmtId="15" fontId="55" fillId="17" borderId="10" applyAlignment="1" pivotButton="0" quotePrefix="0" xfId="0">
      <alignment horizontal="right" vertical="center" wrapText="1"/>
    </xf>
    <xf numFmtId="15" fontId="55" fillId="24" borderId="10" applyAlignment="1" pivotButton="0" quotePrefix="0" xfId="0">
      <alignment horizontal="right" vertical="center" wrapText="1"/>
    </xf>
    <xf numFmtId="0" fontId="56" fillId="22" borderId="0" applyAlignment="1" pivotButton="0" quotePrefix="0" xfId="0">
      <alignment vertical="center" wrapText="1"/>
    </xf>
    <xf numFmtId="0" fontId="58" fillId="22" borderId="0" applyAlignment="1" pivotButton="0" quotePrefix="0" xfId="0">
      <alignment horizontal="right" vertical="center" wrapText="1"/>
    </xf>
    <xf numFmtId="4" fontId="40" fillId="22" borderId="0" applyAlignment="1" pivotButton="0" quotePrefix="0" xfId="0">
      <alignment horizontal="right" vertical="center" wrapText="1"/>
    </xf>
    <xf numFmtId="0" fontId="57" fillId="22" borderId="0" applyAlignment="1" pivotButton="0" quotePrefix="0" xfId="0">
      <alignment horizontal="right" vertical="center" wrapText="1"/>
    </xf>
    <xf numFmtId="0" fontId="59" fillId="22" borderId="0" applyAlignment="1" pivotButton="0" quotePrefix="0" xfId="0">
      <alignment vertical="center" wrapText="1"/>
    </xf>
    <xf numFmtId="168" fontId="0" fillId="0" borderId="0" pivotButton="0" quotePrefix="0" xfId="0"/>
    <xf numFmtId="15" fontId="55" fillId="25" borderId="10" applyAlignment="1" pivotButton="0" quotePrefix="0" xfId="0">
      <alignment horizontal="right" vertical="center" wrapText="1"/>
    </xf>
    <xf numFmtId="15" fontId="55" fillId="26" borderId="10" applyAlignment="1" pivotButton="0" quotePrefix="0" xfId="0">
      <alignment horizontal="right" vertical="center" wrapText="1"/>
    </xf>
    <xf numFmtId="14" fontId="54" fillId="22" borderId="0" applyAlignment="1" pivotButton="0" quotePrefix="0" xfId="0">
      <alignment vertical="center" wrapText="1"/>
    </xf>
    <xf numFmtId="14" fontId="55" fillId="25" borderId="10" applyAlignment="1" pivotButton="0" quotePrefix="0" xfId="0">
      <alignment horizontal="right" vertical="center" wrapText="1"/>
    </xf>
    <xf numFmtId="14" fontId="55" fillId="17" borderId="10" applyAlignment="1" pivotButton="0" quotePrefix="0" xfId="0">
      <alignment horizontal="right" vertical="center" wrapText="1"/>
    </xf>
    <xf numFmtId="14" fontId="55" fillId="15" borderId="10" applyAlignment="1" pivotButton="0" quotePrefix="0" xfId="0">
      <alignment horizontal="right" vertical="center" wrapText="1"/>
    </xf>
    <xf numFmtId="14" fontId="55" fillId="24" borderId="10" applyAlignment="1" pivotButton="0" quotePrefix="0" xfId="0">
      <alignment horizontal="right" vertical="center" wrapText="1"/>
    </xf>
    <xf numFmtId="14" fontId="55" fillId="24" borderId="10" applyAlignment="1" pivotButton="0" quotePrefix="0" xfId="0">
      <alignment vertical="center" wrapText="1"/>
    </xf>
    <xf numFmtId="14" fontId="55" fillId="22" borderId="10" applyAlignment="1" pivotButton="0" quotePrefix="0" xfId="0">
      <alignment vertical="center" wrapText="1"/>
    </xf>
    <xf numFmtId="14" fontId="56" fillId="22" borderId="0" applyAlignment="1" pivotButton="0" quotePrefix="0" xfId="0">
      <alignment wrapText="1"/>
    </xf>
    <xf numFmtId="14" fontId="0" fillId="0" borderId="0" pivotButton="0" quotePrefix="0" xfId="0"/>
    <xf numFmtId="0" fontId="60" fillId="22" borderId="0" applyAlignment="1" pivotButton="0" quotePrefix="0" xfId="0">
      <alignment wrapText="1"/>
    </xf>
    <xf numFmtId="0" fontId="60" fillId="22" borderId="0" applyAlignment="1" pivotButton="0" quotePrefix="0" xfId="0">
      <alignment vertical="center" wrapText="1"/>
    </xf>
    <xf numFmtId="0" fontId="53" fillId="22" borderId="0" applyAlignment="1" pivotButton="0" quotePrefix="0" xfId="0">
      <alignment horizontal="right" vertical="center" wrapText="1"/>
    </xf>
    <xf numFmtId="4" fontId="53" fillId="22" borderId="0" applyAlignment="1" pivotButton="0" quotePrefix="0" xfId="0">
      <alignment horizontal="right" vertical="center" wrapText="1"/>
    </xf>
    <xf numFmtId="0" fontId="59" fillId="22" borderId="11" applyAlignment="1" pivotButton="0" quotePrefix="0" xfId="0">
      <alignment vertical="center" wrapText="1"/>
    </xf>
    <xf numFmtId="4" fontId="61" fillId="22" borderId="11" applyAlignment="1" pivotButton="0" quotePrefix="0" xfId="0">
      <alignment horizontal="right" vertical="center" wrapText="1"/>
    </xf>
    <xf numFmtId="4" fontId="57" fillId="22" borderId="12" applyAlignment="1" pivotButton="0" quotePrefix="0" xfId="0">
      <alignment horizontal="right" vertical="center" wrapText="1"/>
    </xf>
    <xf numFmtId="14" fontId="62" fillId="8" borderId="10" applyAlignment="1" pivotButton="0" quotePrefix="0" xfId="0">
      <alignment vertical="center" wrapText="1"/>
    </xf>
    <xf numFmtId="14" fontId="62" fillId="25" borderId="10" applyAlignment="1" pivotButton="0" quotePrefix="0" xfId="0">
      <alignment vertical="center" wrapText="1"/>
    </xf>
    <xf numFmtId="0" fontId="59" fillId="22" borderId="2" applyAlignment="1" pivotButton="0" quotePrefix="0" xfId="0">
      <alignment vertical="center" wrapText="1"/>
    </xf>
    <xf numFmtId="0" fontId="63" fillId="0" borderId="9" pivotButton="0" quotePrefix="0" xfId="0"/>
    <xf numFmtId="15" fontId="55" fillId="28" borderId="10" applyAlignment="1" pivotButton="0" quotePrefix="0" xfId="0">
      <alignment horizontal="right" vertical="center" wrapText="1"/>
    </xf>
    <xf numFmtId="0" fontId="1" fillId="0" borderId="2" pivotButton="0" quotePrefix="0" xfId="0"/>
    <xf numFmtId="0" fontId="64" fillId="0" borderId="0" pivotButton="0" quotePrefix="0" xfId="0"/>
    <xf numFmtId="0" fontId="7" fillId="0" borderId="0" pivotButton="0" quotePrefix="0" xfId="0"/>
    <xf numFmtId="4" fontId="53" fillId="0" borderId="0" applyAlignment="1" pivotButton="0" quotePrefix="0" xfId="0">
      <alignment horizontal="right" vertical="center" wrapText="1"/>
    </xf>
    <xf numFmtId="0" fontId="51" fillId="0" borderId="0" pivotButton="0" quotePrefix="0" xfId="0"/>
    <xf numFmtId="4" fontId="7" fillId="0" borderId="0" pivotButton="0" quotePrefix="0" xfId="0"/>
    <xf numFmtId="4" fontId="1" fillId="0" borderId="0" pivotButton="0" quotePrefix="0" xfId="0"/>
    <xf numFmtId="169" fontId="0" fillId="0" borderId="0" pivotButton="0" quotePrefix="0" xfId="0"/>
    <xf numFmtId="0" fontId="65" fillId="23" borderId="0" applyAlignment="1" pivotButton="0" quotePrefix="0" xfId="0">
      <alignment vertical="center" wrapText="1"/>
    </xf>
    <xf numFmtId="0" fontId="66" fillId="24" borderId="0" applyAlignment="1" pivotButton="0" quotePrefix="0" xfId="0">
      <alignment wrapText="1"/>
    </xf>
    <xf numFmtId="169" fontId="1" fillId="0" borderId="0" pivotButton="0" quotePrefix="0" xfId="0"/>
    <xf numFmtId="15" fontId="65" fillId="27" borderId="0" applyAlignment="1" pivotButton="0" quotePrefix="0" xfId="0">
      <alignment horizontal="right" vertical="center" wrapText="1"/>
    </xf>
    <xf numFmtId="15" fontId="65" fillId="8" borderId="0" applyAlignment="1" pivotButton="0" quotePrefix="0" xfId="0">
      <alignment horizontal="right" vertical="center" wrapText="1"/>
    </xf>
    <xf numFmtId="15" fontId="65" fillId="17" borderId="0" applyAlignment="1" pivotButton="0" quotePrefix="0" xfId="0">
      <alignment horizontal="right" vertical="center" wrapText="1"/>
    </xf>
    <xf numFmtId="15" fontId="65" fillId="15" borderId="0" applyAlignment="1" pivotButton="0" quotePrefix="0" xfId="0">
      <alignment horizontal="right" vertical="center" wrapText="1"/>
    </xf>
    <xf numFmtId="15" fontId="65" fillId="24" borderId="0" applyAlignment="1" pivotButton="0" quotePrefix="0" xfId="0">
      <alignment horizontal="right" vertical="center" wrapText="1"/>
    </xf>
    <xf numFmtId="167" fontId="67" fillId="0" borderId="0" pivotButton="0" quotePrefix="0" xfId="2"/>
    <xf numFmtId="0" fontId="66" fillId="8" borderId="0" applyAlignment="1" pivotButton="0" quotePrefix="0" xfId="0">
      <alignment wrapText="1"/>
    </xf>
    <xf numFmtId="167" fontId="68" fillId="0" borderId="0" pivotButton="0" quotePrefix="0" xfId="2"/>
    <xf numFmtId="167" fontId="58" fillId="0" borderId="0" pivotButton="0" quotePrefix="0" xfId="2"/>
    <xf numFmtId="169" fontId="64" fillId="0" borderId="0" pivotButton="0" quotePrefix="0" xfId="0"/>
    <xf numFmtId="168" fontId="5" fillId="0" borderId="0" pivotButton="0" quotePrefix="0" xfId="0"/>
    <xf numFmtId="167" fontId="53" fillId="0" borderId="0" pivotButton="0" quotePrefix="0" xfId="2"/>
    <xf numFmtId="168" fontId="14" fillId="0" borderId="0" pivotButton="0" quotePrefix="0" xfId="0"/>
    <xf numFmtId="167" fontId="14" fillId="0" borderId="0" pivotButton="0" quotePrefix="0" xfId="0"/>
    <xf numFmtId="169" fontId="7" fillId="0" borderId="0" pivotButton="0" quotePrefix="0" xfId="0"/>
    <xf numFmtId="169" fontId="5" fillId="0" borderId="0" pivotButton="0" quotePrefix="0" xfId="0"/>
    <xf numFmtId="167" fontId="0" fillId="0" borderId="2" pivotButton="0" quotePrefix="0" xfId="0"/>
    <xf numFmtId="15" fontId="55" fillId="17" borderId="0" applyAlignment="1" pivotButton="0" quotePrefix="0" xfId="0">
      <alignment horizontal="right" vertical="center" wrapText="1"/>
    </xf>
    <xf numFmtId="2" fontId="0" fillId="0" borderId="0" pivotButton="0" quotePrefix="0" xfId="0"/>
    <xf numFmtId="169" fontId="0" fillId="0" borderId="2" pivotButton="0" quotePrefix="0" xfId="0"/>
    <xf numFmtId="0" fontId="69" fillId="0" borderId="0" pivotButton="0" quotePrefix="0" xfId="0"/>
    <xf numFmtId="0" fontId="69" fillId="0" borderId="0" applyAlignment="1" pivotButton="0" quotePrefix="0" xfId="0">
      <alignment horizontal="center"/>
    </xf>
    <xf numFmtId="170" fontId="0" fillId="0" borderId="0" pivotButton="0" quotePrefix="0" xfId="0"/>
    <xf numFmtId="169" fontId="14" fillId="0" borderId="0" pivotButton="0" quotePrefix="0" xfId="0"/>
    <xf numFmtId="171" fontId="0" fillId="29" borderId="0" pivotButton="0" quotePrefix="0" xfId="0"/>
    <xf numFmtId="0" fontId="37" fillId="0" borderId="0" pivotButton="0" quotePrefix="0" xfId="0"/>
    <xf numFmtId="171" fontId="37" fillId="0" borderId="0" pivotButton="0" quotePrefix="0" xfId="0"/>
    <xf numFmtId="169" fontId="15" fillId="0" borderId="0" pivotButton="0" quotePrefix="0" xfId="0"/>
    <xf numFmtId="171" fontId="0" fillId="0" borderId="0" pivotButton="0" quotePrefix="0" xfId="0"/>
    <xf numFmtId="0" fontId="37" fillId="0" borderId="9" pivotButton="0" quotePrefix="0" xfId="0"/>
    <xf numFmtId="0" fontId="0" fillId="0" borderId="0" applyAlignment="1" pivotButton="0" quotePrefix="0" xfId="0">
      <alignment horizontal="left"/>
    </xf>
    <xf numFmtId="0" fontId="0" fillId="0" borderId="0" pivotButton="1" quotePrefix="0" xfId="0"/>
    <xf numFmtId="0" fontId="37" fillId="0" borderId="0" applyAlignment="1" pivotButton="0" quotePrefix="0" xfId="0">
      <alignment horizontal="center"/>
    </xf>
    <xf numFmtId="172" fontId="0" fillId="0" borderId="0" pivotButton="0" quotePrefix="0" xfId="0"/>
    <xf numFmtId="172" fontId="0" fillId="0" borderId="0" applyAlignment="1" pivotButton="0" quotePrefix="0" xfId="0">
      <alignment horizontal="center"/>
    </xf>
    <xf numFmtId="166" fontId="6" fillId="0" borderId="2" pivotButton="0" quotePrefix="0" xfId="0"/>
    <xf numFmtId="166" fontId="0" fillId="0" borderId="0" pivotButton="0" quotePrefix="0" xfId="0"/>
    <xf numFmtId="166" fontId="6" fillId="0" borderId="0" pivotButton="0" quotePrefix="0" xfId="0"/>
    <xf numFmtId="168" fontId="0" fillId="0" borderId="0" pivotButton="0" quotePrefix="0" xfId="0"/>
    <xf numFmtId="167" fontId="58" fillId="0" borderId="0" pivotButton="0" quotePrefix="0" xfId="2"/>
    <xf numFmtId="167" fontId="67" fillId="0" borderId="0" pivotButton="0" quotePrefix="0" xfId="2"/>
    <xf numFmtId="169" fontId="64" fillId="0" borderId="0" pivotButton="0" quotePrefix="0" xfId="0"/>
    <xf numFmtId="167" fontId="0" fillId="0" borderId="0" pivotButton="0" quotePrefix="0" xfId="0"/>
    <xf numFmtId="167" fontId="68" fillId="0" borderId="0" pivotButton="0" quotePrefix="0" xfId="2"/>
    <xf numFmtId="168" fontId="5" fillId="0" borderId="0" pivotButton="0" quotePrefix="0" xfId="0"/>
    <xf numFmtId="169" fontId="1" fillId="0" borderId="0" pivotButton="0" quotePrefix="0" xfId="0"/>
    <xf numFmtId="167" fontId="53" fillId="0" borderId="0" pivotButton="0" quotePrefix="0" xfId="2"/>
    <xf numFmtId="168" fontId="14" fillId="0" borderId="0" pivotButton="0" quotePrefix="0" xfId="0"/>
    <xf numFmtId="167" fontId="14" fillId="0" borderId="0" pivotButton="0" quotePrefix="0" xfId="0"/>
    <xf numFmtId="169" fontId="7" fillId="0" borderId="0" pivotButton="0" quotePrefix="0" xfId="0"/>
    <xf numFmtId="167" fontId="0" fillId="0" borderId="2" pivotButton="0" quotePrefix="0" xfId="0"/>
    <xf numFmtId="169" fontId="0" fillId="0" borderId="0" pivotButton="0" quotePrefix="0" xfId="0"/>
    <xf numFmtId="169" fontId="14" fillId="0" borderId="0" pivotButton="0" quotePrefix="0" xfId="0"/>
    <xf numFmtId="169" fontId="5" fillId="0" borderId="0" pivotButton="0" quotePrefix="0" xfId="0"/>
    <xf numFmtId="169" fontId="15" fillId="0" borderId="0" pivotButton="0" quotePrefix="0" xfId="0"/>
    <xf numFmtId="170" fontId="0" fillId="0" borderId="0" pivotButton="0" quotePrefix="0" xfId="0"/>
    <xf numFmtId="169" fontId="0" fillId="0" borderId="2" pivotButton="0" quotePrefix="0" xfId="0"/>
    <xf numFmtId="172" fontId="0" fillId="0" borderId="0" pivotButton="0" quotePrefix="0" xfId="0"/>
    <xf numFmtId="171" fontId="0" fillId="0" borderId="0" pivotButton="0" quotePrefix="0" xfId="0"/>
    <xf numFmtId="171" fontId="37" fillId="0" borderId="0" pivotButton="0" quotePrefix="0" xfId="0"/>
    <xf numFmtId="172" fontId="0" fillId="0" borderId="0" applyAlignment="1" pivotButton="0" quotePrefix="0" xfId="0">
      <alignment horizontal="center"/>
    </xf>
    <xf numFmtId="171" fontId="0" fillId="29" borderId="0" pivotButton="0" quotePrefix="0" xfId="0"/>
    <xf numFmtId="165" fontId="20" fillId="12" borderId="0" applyAlignment="1" pivotButton="0" quotePrefix="0" xfId="0">
      <alignment horizontal="center" vertical="center"/>
    </xf>
    <xf numFmtId="165" fontId="20" fillId="0" borderId="0" applyAlignment="1" pivotButton="0" quotePrefix="0" xfId="0">
      <alignment horizontal="center" vertical="center"/>
    </xf>
  </cellXfs>
  <cellStyles count="3">
    <cellStyle name="Normal" xfId="0" builtinId="0"/>
    <cellStyle name="Hyperlink" xfId="1" builtinId="8"/>
    <cellStyle name="Comma" xfId="2" builtinId="3"/>
  </cellStyles>
  <dxfs count="3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"/>
        </patternFill>
      </fill>
    </dxf>
    <dxf>
      <fill>
        <patternFill>
          <bgColor theme="5" tint="0.5999633777886288"/>
        </patternFill>
      </fill>
    </dxf>
    <dxf>
      <fill>
        <patternFill>
          <bgColor theme="9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pivotCacheDefinition" Target="/xl/pivotCache/pivotCacheDefinition1.xml" Id="rId53" /><Relationship Type="http://schemas.openxmlformats.org/officeDocument/2006/relationships/pivotCacheDefinition" Target="/xl/pivotCache/pivotCacheDefinition2.xml" Id="rId54" /><Relationship Type="http://schemas.openxmlformats.org/officeDocument/2006/relationships/pivotCacheDefinition" Target="/xl/pivotCache/pivotCacheDefinition3.xml" Id="rId55" /><Relationship Type="http://schemas.openxmlformats.org/officeDocument/2006/relationships/styles" Target="styles.xml" Id="rId56" /><Relationship Type="http://schemas.openxmlformats.org/officeDocument/2006/relationships/theme" Target="theme/theme1.xml" Id="rId57" /><Relationship Type="http://schemas.microsoft.com/office/2006/relationships/vbaProject" Target="vbaProject.bin" Id="rId58" /></Relationships>
</file>

<file path=xl/comments/comment1.xml><?xml version="1.0" encoding="utf-8"?>
<comments xmlns="http://schemas.openxmlformats.org/spreadsheetml/2006/main">
  <authors>
    <author>Elliot Horton</author>
  </authors>
  <commentList>
    <comment ref="M21" authorId="0" shapeId="0">
      <text>
        <t>Elliot Horton:
June care hours</t>
      </text>
    </comment>
    <comment ref="Z21" authorId="0" shapeId="0">
      <text>
        <t>Elliot Horton:
June Care Hours</t>
      </text>
    </comment>
    <comment ref="J46" authorId="0" shapeId="0">
      <text>
        <t xml:space="preserve">Elliot Horton:
wendy field £8395
petts £2216.83
</t>
      </text>
    </comment>
    <comment ref="AA61" authorId="0" shapeId="0">
      <text>
        <t xml:space="preserve">Elliot Horton:
Respite
</t>
      </text>
    </comment>
    <comment ref="Z71" authorId="0" shapeId="0">
      <text>
        <t>Elliot Horton:
DD Backpay</t>
      </text>
    </comment>
    <comment ref="AA71" authorId="0" shapeId="0">
      <text>
        <t>Elliot Horton:
DD Back pay</t>
      </text>
    </comment>
    <comment ref="E72" authorId="0" shapeId="0">
      <text>
        <t>Elliot Horton:
Wendy fielding</t>
      </text>
    </comment>
    <comment ref="AD73" authorId="0" shapeId="0">
      <text>
        <t>Elliot Horton:
£4937.64 BC Payment</t>
      </text>
    </comment>
    <comment ref="W131" authorId="0" shapeId="0">
      <text>
        <t xml:space="preserve">Elliot Horton:
Birmingham and solihull
</t>
      </text>
    </comment>
    <comment ref="L135" authorId="0" shapeId="0">
      <text>
        <t>Elliot Horton:
HB PAYMENT</t>
      </text>
    </comment>
    <comment ref="AF140" authorId="0" shapeId="0">
      <text>
        <t>Elliot Horton:
Arron Morgan
kadigha</t>
      </text>
    </comment>
    <comment ref="U146" authorId="0" shapeId="0">
      <text>
        <t>Elliot Horton:
Old Debt</t>
      </text>
    </comment>
    <comment ref="V146" authorId="0" shapeId="0">
      <text>
        <t xml:space="preserve">Elliot Horton:
old debt of £4971.12
</t>
      </text>
    </comment>
    <comment ref="N147" authorId="0" shapeId="0">
      <text>
        <t>Elliot Horton:
Petts
Curran</t>
      </text>
    </comment>
    <comment ref="W147" authorId="0" shapeId="0">
      <text>
        <t>Elliot Horton:
Wendy £8104.15
Petts £1351.6</t>
      </text>
    </comment>
    <comment ref="AC148" authorId="0" shapeId="0">
      <text>
        <t>Elliot Horton:
nicole sargent payment for £6147.71</t>
      </text>
    </comment>
    <comment ref="T156" authorId="0" shapeId="0">
      <text>
        <t>Elliot Horton:
kadigah 5018.76
Aron morgan 2317.43</t>
      </text>
    </comment>
    <comment ref="AF156" authorId="0" shapeId="0">
      <text>
        <t>Elliot Horton:
Sofia choudry</t>
      </text>
    </comment>
    <comment ref="AH156" authorId="0" shapeId="0">
      <text>
        <t>Elliot Horton:
kadhija</t>
      </text>
    </comment>
    <comment ref="AI156" authorId="0" shapeId="0">
      <text>
        <t>Elliot Horton:
Sofia choudry</t>
      </text>
    </comment>
    <comment ref="L173" authorId="0" shapeId="0">
      <text>
        <t>Elliot Horton:
sella smith 01 jan - 31  dec 2023  HB</t>
      </text>
    </comment>
    <comment ref="M173" authorId="0" shapeId="0">
      <text>
        <t>Elliot Horton:
£3391.43
christine wood old debt</t>
      </text>
    </comment>
    <comment ref="Z173" authorId="0" shapeId="0">
      <text>
        <t xml:space="preserve">Elliot Horton:
David Curran £6188
</t>
      </text>
    </comment>
    <comment ref="J183" authorId="0" shapeId="0">
      <text>
        <t>Elliot Horton:
Sofia choudry</t>
      </text>
    </comment>
    <comment ref="AA183" authorId="0" shapeId="0">
      <text>
        <t>Elliot Horton:
birmingham extra uplift for 23/24
one off payment</t>
      </text>
    </comment>
    <comment ref="C189" authorId="0" shapeId="0">
      <text>
        <t>Elliot Horton:
jan payment</t>
      </text>
    </comment>
    <comment ref="W199" authorId="0" shapeId="0">
      <text>
        <t>Elliot Horton:
£6188 David C monthly payment</t>
      </text>
    </comment>
    <comment ref="AC207" authorId="0" shapeId="0">
      <text>
        <t xml:space="preserve">Elliot Horton:
Birmingham and solihull
</t>
      </text>
    </comment>
    <comment ref="AE207" authorId="0" shapeId="0">
      <text>
        <t>Elliot Horton:
ammended amount for feb 28th.</t>
      </text>
    </comment>
    <comment ref="I217" authorId="0" shapeId="0">
      <text>
        <t xml:space="preserve">Elliot Horton:
km back dated </t>
      </text>
    </comment>
    <comment ref="T217" authorId="0" shapeId="0">
      <text>
        <t xml:space="preserve">Elliot Horton:
Lincoln rd respite
</t>
      </text>
    </comment>
    <comment ref="S219" authorId="0" shapeId="0">
      <text>
        <t>Elliot Horton:
10K BACK DATED ANDREW TAYLOR</t>
      </text>
    </comment>
    <comment ref="AE232" authorId="0" shapeId="0">
      <text>
        <t xml:space="preserve">Elliot Horton:
Birmingham and solihull
</t>
      </text>
    </comment>
    <comment ref="F247" authorId="0" shapeId="0">
      <text>
        <t>Elliot Horton:
this amount needs to be split just waiting for the full  remmitence.</t>
      </text>
    </comment>
    <comment ref="AD257" authorId="0" shapeId="0">
      <text>
        <t xml:space="preserve">Elliot Horton:
Birmingham and solihull
</t>
      </text>
    </comment>
    <comment ref="H271" authorId="0" shapeId="0">
      <text>
        <t>Elliot Horton:
walsall pauyment periuod 
11-03/24 to 08/04/24</t>
      </text>
    </comment>
    <comment ref="H559" authorId="0" shapeId="0">
      <text>
        <t>Elliot Horton:
walsall pauyment periuod 
11-03/24 to 08/04/24</t>
      </text>
    </comment>
  </commentList>
</comments>
</file>

<file path=xl/comments/comment2.xml><?xml version="1.0" encoding="utf-8"?>
<comments xmlns="http://schemas.openxmlformats.org/spreadsheetml/2006/main">
  <authors>
    <author>Elliot Horton</author>
  </authors>
  <commentList>
    <comment ref="S59" authorId="0" shapeId="0">
      <text>
        <t>Elliot Horton:
invoice 36049 £5018.56
invoice 36476 £1114.72</t>
      </text>
    </comment>
    <comment ref="X60" authorId="0" shapeId="0">
      <text>
        <t>Elliot Horton:
uplift to sept 2024</t>
      </text>
    </comment>
  </commentList>
</comments>
</file>

<file path=xl/comments/comment3.xml><?xml version="1.0" encoding="utf-8"?>
<comments xmlns="http://schemas.openxmlformats.org/spreadsheetml/2006/main">
  <authors>
    <author>Elliot Horton</author>
  </authors>
  <commentList>
    <comment ref="M21" authorId="0" shapeId="0">
      <text>
        <t>Elliot Horton:
June care hours</t>
      </text>
    </comment>
    <comment ref="N21" authorId="0" shapeId="0">
      <text>
        <t>Elliot Horton:
June Care Hours</t>
      </text>
    </comment>
    <comment ref="S22" authorId="0" shapeId="0">
      <text>
        <t>Elliot Horton:
Loan foor200k is in this amount</t>
      </text>
    </comment>
    <comment ref="M59" authorId="0" shapeId="0">
      <text>
        <t>Elliot Horton:
June care hours</t>
      </text>
    </comment>
    <comment ref="AC60" authorId="0" shapeId="0">
      <text>
        <t>Elliot Horton:
30k shire leasding loan</t>
      </text>
    </comment>
  </commentList>
</comments>
</file>

<file path=xl/comments/comment4.xml><?xml version="1.0" encoding="utf-8"?>
<comments xmlns="http://schemas.openxmlformats.org/spreadsheetml/2006/main">
  <authors>
    <author>Elliot Horton</author>
  </authors>
  <commentList>
    <comment ref="S21" authorId="0" shapeId="0">
      <text>
        <t>Elliot Horton:
Loan foor200k is in this amount</t>
      </text>
    </comment>
    <comment ref="J52" authorId="0" shapeId="0">
      <text>
        <t xml:space="preserve">Elliot Horton:
wendy field £8395
petts £2216.83
</t>
      </text>
    </comment>
  </commentList>
</comments>
</file>

<file path=xl/comments/comment5.xml><?xml version="1.0" encoding="utf-8"?>
<comments xmlns="http://schemas.openxmlformats.org/spreadsheetml/2006/main">
  <authors>
    <author>Elliot Horton</author>
  </authors>
  <commentList>
    <comment ref="S16" authorId="0" shapeId="0">
      <text>
        <t xml:space="preserve">Elliot Horton:
sandwell have been paying respite for people we havnt been caring for since june. Lin has told them so they will be taking the amount of the remittence </t>
      </text>
    </comment>
    <comment ref="Z16" authorId="0" shapeId="0">
      <text>
        <t>Elliot Horton:
uplift of 67p</t>
      </text>
    </comment>
    <comment ref="Z18" authorId="0" shapeId="0">
      <text>
        <t xml:space="preserve">Elliot Horton:
Respite
</t>
      </text>
    </comment>
    <comment ref="AD19" authorId="0" shapeId="0">
      <text>
        <t>Elliot Horton:
DD Back pay</t>
      </text>
    </comment>
    <comment ref="S21" authorId="0" shapeId="0">
      <text>
        <t>Elliot Horton:
Loan foor200k is in this amount</t>
      </text>
    </comment>
    <comment ref="AA34" authorId="0" shapeId="0">
      <text>
        <t xml:space="preserve">Elliot Horton:
Respite
</t>
      </text>
    </comment>
    <comment ref="Z44" authorId="0" shapeId="0">
      <text>
        <t>Elliot Horton:
DD Backpay</t>
      </text>
    </comment>
    <comment ref="AA44" authorId="0" shapeId="0">
      <text>
        <t>Elliot Horton:
DD Back pay</t>
      </text>
    </comment>
    <comment ref="E45" authorId="0" shapeId="0">
      <text>
        <t>Elliot Horton:
Wendy fielding</t>
      </text>
    </comment>
    <comment ref="AD46" authorId="0" shapeId="0">
      <text>
        <t>Elliot Horton:
£4937.64 BC Payment</t>
      </text>
    </comment>
  </commentList>
</comments>
</file>

<file path=xl/comments/comment6.xml><?xml version="1.0" encoding="utf-8"?>
<comments xmlns="http://schemas.openxmlformats.org/spreadsheetml/2006/main">
  <authors>
    <author>Elliot Horton</author>
  </authors>
  <commentList>
    <comment ref="S21" authorId="0" shapeId="0">
      <text>
        <t>Elliot Horton:
Loan foor200k is in this amount</t>
      </text>
    </comment>
  </commentList>
</comments>
</file>

<file path=xl/comments/comment7.xml><?xml version="1.0" encoding="utf-8"?>
<comments xmlns="http://schemas.openxmlformats.org/spreadsheetml/2006/main">
  <authors>
    <author>Elliot Horton</author>
  </authors>
  <commentList>
    <comment ref="S21" authorId="0" shapeId="0">
      <text>
        <t>Elliot Horton:
Loan foor200k is in this amount</t>
      </text>
    </comment>
  </commentList>
</comments>
</file>

<file path=xl/comments/comment8.xml><?xml version="1.0" encoding="utf-8"?>
<comments xmlns="http://schemas.openxmlformats.org/spreadsheetml/2006/main">
  <authors>
    <author>Elliot Horton</author>
  </authors>
  <commentList>
    <comment ref="W29" authorId="0" shapeId="0">
      <text>
        <t xml:space="preserve">Elliot Horton:
Birmingham and solihull
</t>
      </text>
    </comment>
    <comment ref="L33" authorId="0" shapeId="0">
      <text>
        <t>Elliot Horton:
HB PAYMENT</t>
      </text>
    </comment>
    <comment ref="AF38" authorId="0" shapeId="0">
      <text>
        <t>Elliot Horton:
Arron Morgan
kadigha</t>
      </text>
    </comment>
    <comment ref="U44" authorId="0" shapeId="0">
      <text>
        <t>Elliot Horton:
Old Debt</t>
      </text>
    </comment>
    <comment ref="V44" authorId="0" shapeId="0">
      <text>
        <t xml:space="preserve">Elliot Horton:
old debt of £4971.12
</t>
      </text>
    </comment>
    <comment ref="N45" authorId="0" shapeId="0">
      <text>
        <t>Elliot Horton:
Petts
Curran</t>
      </text>
    </comment>
    <comment ref="W45" authorId="0" shapeId="0">
      <text>
        <t>Elliot Horton:
Wendy £8104.15
Petts £1351.6</t>
      </text>
    </comment>
    <comment ref="AC46" authorId="0" shapeId="0">
      <text>
        <t>Elliot Horton:
nicole sargent payment for £6147.71</t>
      </text>
    </comment>
  </commentList>
</comments>
</file>

<file path=xl/comments/comment9.xml><?xml version="1.0" encoding="utf-8"?>
<comments xmlns="http://schemas.openxmlformats.org/spreadsheetml/2006/main">
  <authors>
    <author>Elliot Horton</author>
  </authors>
  <commentList>
    <comment ref="T4" authorId="0" shapeId="0">
      <text>
        <t xml:space="preserve">Elliot Horton:
kadigah 5018.76
Aron morgan 2317.43
</t>
      </text>
    </comment>
    <comment ref="AC13" authorId="0" shapeId="0">
      <text>
        <t>Elliot Horton:
Arron Morgan
kadigha</t>
      </text>
    </comment>
    <comment ref="S21" authorId="0" shapeId="0">
      <text>
        <t>Elliot Horton:
Loan foor200k is in this amount</t>
      </text>
    </comment>
    <comment ref="T29" authorId="0" shapeId="0">
      <text>
        <t>Elliot Horton:
kadigah 5018.76
Aron morgan 2317.43</t>
      </text>
    </comment>
    <comment ref="AF29" authorId="0" shapeId="0">
      <text>
        <t>Elliot Horton:
Sofia choudry</t>
      </text>
    </comment>
    <comment ref="AH29" authorId="0" shapeId="0">
      <text>
        <t>Elliot Horton:
kadhija</t>
      </text>
    </comment>
    <comment ref="AI29" authorId="0" shapeId="0">
      <text>
        <t>Elliot Horton:
Sofia choudry</t>
      </text>
    </comment>
    <comment ref="L46" authorId="0" shapeId="0">
      <text>
        <t>Elliot Horton:
sella smith 01 jan - 31  dec 2023  HB</t>
      </text>
    </comment>
    <comment ref="M46" authorId="0" shapeId="0">
      <text>
        <t>Elliot Horton:
£3391.43
christine wood old debt</t>
      </text>
    </comment>
    <comment ref="Z46" authorId="0" shapeId="0">
      <text>
        <t xml:space="preserve">Elliot Horton:
David Curran £6188
</t>
      </text>
    </comment>
  </commentList>
</comments>
</file>

<file path=xl/comments/comment10.xml><?xml version="1.0" encoding="utf-8"?>
<comments xmlns="http://schemas.openxmlformats.org/spreadsheetml/2006/main">
  <authors>
    <author>Elliot Horton</author>
  </authors>
  <commentList>
    <comment ref="J7" authorId="0" shapeId="0">
      <text>
        <t>Elliot Horton:
Sofia choudry</t>
      </text>
    </comment>
    <comment ref="AA7" authorId="0" shapeId="0">
      <text>
        <t>Elliot Horton:
birmingham extra uplift for 23/24
one off payment</t>
      </text>
    </comment>
    <comment ref="C13" authorId="0" shapeId="0">
      <text>
        <t>Elliot Horton:
jan payment</t>
      </text>
    </comment>
    <comment ref="W23" authorId="0" shapeId="0">
      <text>
        <t>Elliot Horton:
£6188 David C monthly payment</t>
      </text>
    </comment>
  </commentList>
</comments>
</file>

<file path=xl/comments/comment11.xml><?xml version="1.0" encoding="utf-8"?>
<comments xmlns="http://schemas.openxmlformats.org/spreadsheetml/2006/main">
  <authors>
    <author>Elliot Horton</author>
  </authors>
  <commentList>
    <comment ref="O4" authorId="0" shapeId="0">
      <text>
        <t xml:space="preserve">Elliot Horton:
Birmingham and solihull
</t>
      </text>
    </comment>
    <comment ref="S4" authorId="0" shapeId="0">
      <text>
        <t>Elliot Horton:
ammended amount for feb 28th.</t>
      </text>
    </comment>
    <comment ref="M13" authorId="0" shapeId="0">
      <text>
        <t>Elliot Horton:
LR Stratford rooad</t>
      </text>
    </comment>
    <comment ref="S21" authorId="0" shapeId="0">
      <text>
        <t>Elliot Horton:
Loan foor200k is in this amount</t>
      </text>
    </comment>
    <comment ref="AC30" authorId="0" shapeId="0">
      <text>
        <t xml:space="preserve">Elliot Horton:
Birmingham and solihull
</t>
      </text>
    </comment>
    <comment ref="AE30" authorId="0" shapeId="0">
      <text>
        <t>Elliot Horton:
ammended amount for feb 28th.</t>
      </text>
    </comment>
    <comment ref="I40" authorId="0" shapeId="0">
      <text>
        <t xml:space="preserve">Elliot Horton:
km back dated </t>
      </text>
    </comment>
    <comment ref="T40" authorId="0" shapeId="0">
      <text>
        <t xml:space="preserve">Elliot Horton:
Lincoln rd respite
</t>
      </text>
    </comment>
    <comment ref="S42" authorId="0" shapeId="0">
      <text>
        <t>Elliot Horton:
10K BACK DATED ANDREW TAYLOR</t>
      </text>
    </comment>
    <comment ref="U49" authorId="0" shapeId="0">
      <text>
        <t>Elliot Horton:
30k old HMRC DEBT</t>
      </text>
    </comment>
  </commentList>
</comments>
</file>

<file path=xl/comments/comment12.xml><?xml version="1.0" encoding="utf-8"?>
<comments xmlns="http://schemas.openxmlformats.org/spreadsheetml/2006/main">
  <authors>
    <author>Elliot Horton</author>
  </authors>
  <commentList>
    <comment ref="Z4" authorId="0" shapeId="0">
      <text>
        <t xml:space="preserve">Elliot Horton:
Birmingham and solihull
</t>
      </text>
    </comment>
    <comment ref="AF4" authorId="0" shapeId="0">
      <text>
        <t>Elliot Horton:
ammended amount for feb 28th.</t>
      </text>
    </comment>
    <comment ref="F19" authorId="0" shapeId="0">
      <text>
        <t>Elliot Horton:
this amount needs to be split just waiting for the full  remmitence.</t>
      </text>
    </comment>
    <comment ref="U23" authorId="0" shapeId="0">
      <text>
        <t>Elliot Horton:
30k old HMRC DEBT</t>
      </text>
    </comment>
    <comment ref="AE29" authorId="0" shapeId="0">
      <text>
        <t xml:space="preserve">Elliot Horton:
Birmingham and solihull
</t>
      </text>
    </comment>
    <comment ref="F44" authorId="0" shapeId="0">
      <text>
        <t>Elliot Horton:
this amount needs to be split just waiting for the full  remmitence.</t>
      </text>
    </comment>
  </commentList>
</comments>
</file>

<file path=xl/comments/comment13.xml><?xml version="1.0" encoding="utf-8"?>
<comments xmlns="http://schemas.openxmlformats.org/spreadsheetml/2006/main">
  <authors>
    <author>Elliot Horton</author>
  </authors>
  <commentList>
    <comment ref="Z4" authorId="0" shapeId="0">
      <text>
        <t xml:space="preserve">Elliot Horton:
Birmingham and solihull
</t>
      </text>
    </comment>
    <comment ref="AF4" authorId="0" shapeId="0">
      <text>
        <t>Elliot Horton:
ammended amount for feb 28th.</t>
      </text>
    </comment>
    <comment ref="F19" authorId="0" shapeId="0">
      <text>
        <t>Elliot Horton:
this amount needs to be split just waiting for the full  remmitence.</t>
      </text>
    </comment>
    <comment ref="H41" authorId="0" shapeId="0">
      <text>
        <t>Elliot Horton:
walsall pauyment periuod 
11-03/24 to 08/04/24</t>
      </text>
    </comment>
  </commentList>
</comments>
</file>

<file path=xl/comments/comment14.xml><?xml version="1.0" encoding="utf-8"?>
<comments xmlns="http://schemas.openxmlformats.org/spreadsheetml/2006/main">
  <authors>
    <author>Elliot Horton</author>
  </authors>
  <commentList>
    <comment ref="H44" authorId="0" shapeId="0">
      <text>
        <t>Elliot Horton:
refund £12197.68 electric rebate</t>
      </text>
    </comment>
  </commentList>
</comments>
</file>

<file path=xl/comments/comment15.xml><?xml version="1.0" encoding="utf-8"?>
<comments xmlns="http://schemas.openxmlformats.org/spreadsheetml/2006/main">
  <authors>
    <author>Elliot Horton</author>
  </authors>
  <commentList>
    <comment ref="S34" authorId="0" shapeId="0">
      <text>
        <t>Elliot Horton:
invoice 36049 £5018.56
invoice 36476 £1114.72</t>
      </text>
    </comment>
    <comment ref="X35" authorId="0" shapeId="0">
      <text>
        <t>Elliot Horton:
uplift to sept 2024</t>
      </text>
    </comment>
  </commentList>
</comments>
</file>

<file path=xl/comments/comment16.xml><?xml version="1.0" encoding="utf-8"?>
<comments xmlns="http://schemas.openxmlformats.org/spreadsheetml/2006/main">
  <authors>
    <author>Elliot Horton</author>
  </authors>
  <commentList>
    <comment ref="R16" authorId="0" shapeId="0">
      <text>
        <t>Elliot Horton:
invoice 36049 £5018.56
invoice 36476 £1114.72</t>
      </text>
    </comment>
    <comment ref="P45" authorId="0" shapeId="0">
      <text>
        <t>Elliot Horton:
sept uplift  has been credited £5k</t>
      </text>
    </comment>
    <comment ref="D50" authorId="0" shapeId="0">
      <text>
        <t>Elliot Horton:
MK Backdated</t>
      </text>
    </comment>
    <comment ref="Q53" authorId="0" shapeId="0">
      <text>
        <t>Elliot Horton:
councill tax rebates Wolverhampton</t>
      </text>
    </comment>
    <comment ref="S53" authorId="0" shapeId="0">
      <text>
        <t>Elliot Horton:
Respite for wolverhampton</t>
      </text>
    </comment>
    <comment ref="V53" authorId="0" shapeId="0">
      <text>
        <t xml:space="preserve">Elliot Horton:
DD fromm wolvihampton </t>
      </text>
    </comment>
    <comment ref="W53" authorId="0" shapeId="0">
      <text>
        <t>Elliot Horton:
ZA Walsall £16867.24
Eon next £14274.63</t>
      </text>
    </comment>
  </commentList>
</comments>
</file>

<file path=xl/comments/comment17.xml><?xml version="1.0" encoding="utf-8"?>
<comments xmlns="http://schemas.openxmlformats.org/spreadsheetml/2006/main">
  <authors>
    <author>Elliot Horton</author>
  </authors>
  <commentList>
    <comment ref="W51" authorId="0" shapeId="0">
      <text>
        <t>Elliot Horton:
Wolverhampton Chasing 
Sandwell 
JD £2066.40
NF £1075.52
SD £3290.60
SS £4212.80</t>
      </text>
    </comment>
  </commentList>
</comments>
</file>

<file path=xl/comments/comment18.xml><?xml version="1.0" encoding="utf-8"?>
<comments xmlns="http://schemas.openxmlformats.org/spreadsheetml/2006/main">
  <authors>
    <author>Elliot Horton</author>
  </authors>
  <commentList>
    <comment ref="R27" authorId="0" shapeId="0">
      <text>
        <t>Elliot Horton:
B S   £4404.46</t>
      </text>
    </comment>
    <comment ref="X27" authorId="0" shapeId="0">
      <text>
        <t>Elliot Horton:
Black country nhs trust</t>
      </text>
    </comment>
    <comment ref="W28" authorId="0" shapeId="0">
      <text>
        <t>Elliot Horton:
Wolverhampton Chasing 
Sandwell 
JD £2066.40
NF £1075.52
SD £3290.60
SS £4212.80</t>
      </text>
    </comment>
    <comment ref="N49" authorId="0" shapeId="0">
      <text>
        <t>Elliot Horton:
Purple payments</t>
      </text>
    </comment>
    <comment ref="U56" authorId="0" shapeId="0">
      <text>
        <t>Elliot Horton:
ns back dates from 13/09/23</t>
      </text>
    </comment>
  </commentList>
</comments>
</file>

<file path=xl/comments/comment19.xml><?xml version="1.0" encoding="utf-8"?>
<comments xmlns="http://schemas.openxmlformats.org/spreadsheetml/2006/main">
  <authors>
    <author>Elliot Horton</author>
  </authors>
  <commentList>
    <comment ref="U26" authorId="0" shapeId="0">
      <text>
        <t>Elliot Horton:
B S   £4404.46
14 oct to dec 31</t>
      </text>
    </comment>
    <comment ref="AB26" authorId="0" shapeId="0">
      <text>
        <t>Elliot Horton:
fundiing for care beans.</t>
      </text>
    </comment>
    <comment ref="W27" authorId="0" shapeId="0">
      <text>
        <t>Elliot Horton:
Wolverhampton Chasing 
Sandwell 
JD £2066.40
NF £1075.52
SD £3290.60
SS £4212.80</t>
      </text>
    </comment>
    <comment ref="W54" authorId="0" shapeId="0">
      <text>
        <t>Elliot Horton:
Wolverhampton Chasing 
Sandwell 
JD £2066.40
NF £1075.52
SD £3290.60
SS £4212.80</t>
      </text>
    </comment>
  </commentList>
</comments>
</file>

<file path=xl/comments/comment20.xml><?xml version="1.0" encoding="utf-8"?>
<comments xmlns="http://schemas.openxmlformats.org/spreadsheetml/2006/main">
  <authors>
    <author>Elliot Horton</author>
  </authors>
  <commentList>
    <comment ref="AD25" authorId="0" shapeId="0">
      <text>
        <t>Elliot Horton:
B S   £4404.46
14 oct to dec 31</t>
      </text>
    </comment>
    <comment ref="AE25" authorId="0" shapeId="0">
      <text>
        <t>Elliot Horton:
fundiing for care beans.</t>
      </text>
    </comment>
    <comment ref="W26" authorId="0" shapeId="0">
      <text>
        <t>Elliot Horton:
Wolverhampton Chasing 
Sandwell 
JD £2066.40
NF £1075.52
SD £3290.60
SS £4212.80</t>
      </text>
    </comment>
    <comment ref="G52" authorId="0" shapeId="0">
      <text>
        <t>Elliot Horton:
Wolverhampton
MK Backdated care costs</t>
      </text>
    </comment>
    <comment ref="H52" authorId="0" shapeId="0">
      <text>
        <t>Elliot Horton:
NHS Black country foundation trust 
inv 
36428
37579
38237</t>
      </text>
    </comment>
    <comment ref="L52" authorId="0" shapeId="0">
      <text>
        <t>Elliot Horton:
Walsall backdated respite</t>
      </text>
    </comment>
    <comment ref="M52" authorId="0" shapeId="0">
      <text>
        <t>Elliot Horton:
Go Digital Grant</t>
      </text>
    </comment>
    <comment ref="N52" authorId="0" shapeId="0">
      <text>
        <t>Elliot Horton:
Go Diggital Grant</t>
      </text>
    </comment>
    <comment ref="O52" authorId="0" shapeId="0">
      <text>
        <t xml:space="preserve">Elliot Horton:
NHS Trust backdated </t>
      </text>
    </comment>
    <comment ref="T52" authorId="0" shapeId="0">
      <text>
        <t xml:space="preserve">Elliot Horton:
People plus backdates £18316
JP Backdates rent arreas £7840
</t>
      </text>
    </comment>
    <comment ref="V52" authorId="0" shapeId="0">
      <text>
        <t>Elliot Horton:
people plus</t>
      </text>
    </comment>
    <comment ref="AD52" authorId="0" shapeId="0">
      <text>
        <t>Elliot Horton:
B S   £4404.46
14 oct to jan 14</t>
      </text>
    </comment>
    <comment ref="AF52" authorId="0" shapeId="0">
      <text>
        <t>Elliot Horton:
KM July to November Invoices</t>
      </text>
    </comment>
  </commentList>
</comments>
</file>

<file path=xl/comments/comment21.xml><?xml version="1.0" encoding="utf-8"?>
<comments xmlns="http://schemas.openxmlformats.org/spreadsheetml/2006/main">
  <authors>
    <author>Elliot Horton</author>
  </authors>
  <commentList>
    <comment ref="M53" authorId="0" shapeId="0">
      <text>
        <t>Elliot Horton:
DC final amount</t>
      </text>
    </comment>
    <comment ref="D54" authorId="0" shapeId="0">
      <text>
        <t>Elliot Horton:
HB for wolves clients</t>
      </text>
    </comment>
  </commentList>
</comments>
</file>

<file path=xl/comments/comment22.xml><?xml version="1.0" encoding="utf-8"?>
<comments xmlns="http://schemas.openxmlformats.org/spreadsheetml/2006/main">
  <authors>
    <author>Elliot Horton</author>
  </authors>
  <commentList>
    <comment ref="W26" authorId="0" shapeId="0">
      <text>
        <t>Elliot Horton:
MK Back dated</t>
      </text>
    </comment>
    <comment ref="AC26" authorId="0" shapeId="0">
      <text>
        <t>Elliot Horton:
 MK backdated wolverhampton</t>
      </text>
    </comment>
    <comment ref="AD26" authorId="0" shapeId="0">
      <text>
        <t>Elliot Horton:
 MK backdated wolverhampton</t>
      </text>
    </comment>
  </commentList>
</comments>
</file>

<file path=xl/comments/comment23.xml><?xml version="1.0" encoding="utf-8"?>
<comments xmlns="http://schemas.openxmlformats.org/spreadsheetml/2006/main">
  <authors>
    <author>Elliot Horton</author>
  </authors>
  <commentList>
    <comment ref="J25" authorId="0" shapeId="0">
      <text>
        <t>Elliot Horton:
CH Month in arreas £6160 from 19/02/25 till 19/03/25</t>
      </text>
    </comment>
    <comment ref="B65" authorId="0" shapeId="0">
      <text>
        <t>Elliot Horton:
CH Month in arreas £6160 from 19/02/25 till 19/03/25</t>
      </text>
    </comment>
  </commentList>
</comments>
</file>

<file path=xl/comments/comment24.xml><?xml version="1.0" encoding="utf-8"?>
<comments xmlns="http://schemas.openxmlformats.org/spreadsheetml/2006/main">
  <authors>
    <author>Elliot Horton</author>
  </authors>
  <commentList>
    <comment ref="S26" authorId="0" shapeId="0">
      <text>
        <t xml:space="preserve">Elliot Horton:
NHW council outstanding
</t>
      </text>
    </comment>
    <comment ref="U26" authorId="0" shapeId="0">
      <text>
        <t>Elliot Horton:
NHW council outstanding</t>
      </text>
    </comment>
  </commentList>
</comments>
</file>

<file path=xl/comments/comment25.xml><?xml version="1.0" encoding="utf-8"?>
<comments xmlns="http://schemas.openxmlformats.org/spreadsheetml/2006/main">
  <authors>
    <author>Elliot Horton</author>
  </authors>
  <commentList>
    <comment ref="J26" authorId="0" shapeId="0">
      <text>
        <t>Elliot Horton:
Kieklees from march 2025</t>
      </text>
    </comment>
  </commentList>
</comments>
</file>

<file path=xl/comments/comment26.xml><?xml version="1.0" encoding="utf-8"?>
<comments xmlns="http://schemas.openxmlformats.org/spreadsheetml/2006/main">
  <authors>
    <author>Elliot Horton</author>
  </authors>
  <commentList>
    <comment ref="Z24" authorId="0" shapeId="0">
      <text>
        <t xml:space="preserve">Elliot Horton:
wolves
</t>
      </text>
    </comment>
    <comment ref="AD24" authorId="0" shapeId="0">
      <text>
        <t>Elliot Horton:
kirklees</t>
      </text>
    </comment>
  </commentList>
</comments>
</file>

<file path=xl/comments/comment27.xml><?xml version="1.0" encoding="utf-8"?>
<comments xmlns="http://schemas.openxmlformats.org/spreadsheetml/2006/main">
  <authors>
    <author>Elliot Horton</author>
  </authors>
  <commentList>
    <comment ref="N24" authorId="0" shapeId="0">
      <text>
        <t>Elliot Horton:
Wolves</t>
      </text>
    </comment>
    <comment ref="O24" authorId="0" shapeId="0">
      <text>
        <t>Elliot Horton:
CM</t>
      </text>
    </comment>
    <comment ref="R24" authorId="0" shapeId="0">
      <text>
        <t>Elliot Horton:
Wolves</t>
      </text>
    </comment>
  </commentList>
</comments>
</file>

<file path=xl/comments/comment28.xml><?xml version="1.0" encoding="utf-8"?>
<comments xmlns="http://schemas.openxmlformats.org/spreadsheetml/2006/main">
  <authors>
    <author>Elliot Horton</author>
  </authors>
  <commentList>
    <comment ref="K26" authorId="0" shapeId="0">
      <text>
        <t xml:space="preserve">Elliot Horton:
Birmingham
</t>
      </text>
    </comment>
    <comment ref="O26" authorId="0" shapeId="0">
      <text>
        <t>Elliot Horton:
Wolves</t>
      </text>
    </comment>
    <comment ref="T26" authorId="0" shapeId="0">
      <text>
        <t xml:space="preserve">Elliot Horton:
Walsall
</t>
      </text>
    </comment>
    <comment ref="U26" authorId="0" shapeId="0">
      <text>
        <t>Elliot Horton:
Black country ICB</t>
      </text>
    </comment>
    <comment ref="AA26" authorId="0" shapeId="0">
      <text>
        <t>Elliot Horton:
nhs black</t>
      </text>
    </comment>
    <comment ref="AC26" authorId="0" shapeId="0">
      <text>
        <t>Elliot Horton:
Ivan butler</t>
      </text>
    </comment>
  </commentList>
</comments>
</file>

<file path=xl/comments/comment29.xml><?xml version="1.0" encoding="utf-8"?>
<comments xmlns="http://schemas.openxmlformats.org/spreadsheetml/2006/main">
  <authors>
    <author>Elliot Horton</author>
  </authors>
  <commentList>
    <comment ref="AG3" authorId="0" shapeId="0">
      <text>
        <t xml:space="preserve">Elliot Horton:
Devouyn
</t>
      </text>
    </comment>
    <comment ref="AG14" authorId="0" shapeId="0">
      <text>
        <t xml:space="preserve">Elliot Horton:
Devouyn
</t>
      </text>
    </comment>
    <comment ref="AG28" authorId="0" shapeId="0">
      <text>
        <t xml:space="preserve">Elliot Horton:
Devouyn
</t>
      </text>
    </comment>
    <comment ref="AG39" authorId="0" shapeId="0">
      <text>
        <t xml:space="preserve">Elliot Horton:
Devouyn
</t>
      </text>
    </comment>
    <comment ref="J47" authorId="0" shapeId="0">
      <text>
        <t>Elliot Horton:
Walsall</t>
      </text>
    </comment>
    <comment ref="M47" authorId="0" shapeId="0">
      <text>
        <t xml:space="preserve">Elliot Horton:
Wolves and bham
</t>
      </text>
    </comment>
  </commentList>
</comments>
</file>

<file path=xl/comments/comment30.xml><?xml version="1.0" encoding="utf-8"?>
<comments xmlns="http://schemas.openxmlformats.org/spreadsheetml/2006/main">
  <authors>
    <author>Elliot Horton</author>
  </authors>
  <commentList>
    <comment ref="AI3" authorId="0" shapeId="0">
      <text>
        <t xml:space="preserve">Elliot Horton:
Devouyn
</t>
      </text>
    </comment>
    <comment ref="AI14" authorId="0" shapeId="0">
      <text>
        <t xml:space="preserve">Elliot Horton:
Devouyn
</t>
      </text>
    </comment>
    <comment ref="AI15" authorId="0" shapeId="0">
      <text>
        <t>Elliot HortNHS Foundation trust 
KM and IB</t>
      </text>
    </comment>
    <comment ref="AI27" authorId="0" shapeId="0">
      <text>
        <t xml:space="preserve">Elliot Horton:
Devouyn
</t>
      </text>
    </comment>
    <comment ref="AI38" authorId="0" shapeId="0">
      <text>
        <t xml:space="preserve">Elliot Horton:
Devouyn
</t>
      </text>
    </comment>
    <comment ref="AI39" authorId="0" shapeId="0">
      <text>
        <t>Elliot HortNHS Foundation trust 
KM and IB</t>
      </text>
    </comment>
  </commentList>
</comment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Elliot Horton" refreshedDate="46150.97535659722" createdVersion="8" refreshedVersion="8" minRefreshableVersion="3" recordCount="1064" r:id="rId1">
  <cacheSource type="worksheet">
    <worksheetSource ref="A1:I1065" sheet="MAR"/>
  </cacheSource>
  <cacheFields count="9">
    <cacheField name="Transactiondate" uniqueList="1" numFmtId="14" sqlType="0" hierarchy="0" level="0" databaseField="1">
      <sharedItems count="0" containsDate="1" containsNonDate="0" containsSemiMixedTypes="0" containsString="0" minDate="2026-03-02T00:00:00" maxDate="2026-04-01T00:00:00"/>
    </cacheField>
    <cacheField name="ValueDate" uniqueList="1" numFmtId="14" sqlType="0" hierarchy="0" level="0" databaseField="1">
      <sharedItems count="25" containsDate="1" containsNonDate="0" containsSemiMixedTypes="0" containsString="0" minDate="2026-03-02T00:00:00" maxDate="2026-04-01T00:00:00">
        <d v="2026-03-31T00:00:00"/>
        <d v="2026-03-30T00:00:00"/>
        <d v="2026-03-28T00:00:00"/>
        <d v="2026-03-27T00:00:00"/>
        <d v="2026-03-26T00:00:00"/>
        <d v="2026-03-25T00:00:00"/>
        <d v="2026-03-24T00:00:00"/>
        <d v="2026-03-23T00:00:00"/>
        <d v="2026-03-20T00:00:00"/>
        <d v="2026-03-19T00:00:00"/>
        <d v="2026-03-18T00:00:00"/>
        <d v="2026-03-17T00:00:00"/>
        <d v="2026-03-16T00:00:00"/>
        <d v="2026-03-15T00:00:00"/>
        <d v="2026-03-13T00:00:00"/>
        <d v="2026-03-12T00:00:00"/>
        <d v="2026-03-11T00:00:00"/>
        <d v="2026-03-10T00:00:00"/>
        <d v="2026-03-09T00:00:00"/>
        <d v="2026-03-08T00:00:00"/>
        <d v="2026-03-06T00:00:00"/>
        <d v="2026-03-05T00:00:00"/>
        <d v="2026-03-04T00:00:00"/>
        <d v="2026-03-03T00:00:00"/>
        <d v="2026-03-02T00:00:00"/>
      </sharedItems>
    </cacheField>
    <cacheField name="Transaction Type" uniqueList="1" numFmtId="0" sqlType="0" hierarchy="0" level="0" databaseField="1">
      <sharedItems count="0"/>
    </cacheField>
    <cacheField name="Transaction Reference" uniqueList="1" numFmtId="0" sqlType="0" hierarchy="0" level="0" databaseField="1">
      <sharedItems count="0" containsInteger="1" containsMixedTypes="1" containsNumber="1" minValue="39565854" maxValue="39565854"/>
    </cacheField>
    <cacheField name="Payer/Payee Name" uniqueList="1" numFmtId="0" sqlType="0" hierarchy="0" level="0" databaseField="1">
      <sharedItems count="403" containsInteger="1" containsMixedTypes="1" containsNumber="1" minValue="800053" maxValue="800053">
        <s v="CHYANNE ORTON"/>
        <s v="Price Training"/>
        <s v="Simmons"/>
        <s v="N and C Horton Property"/>
        <s v="Desk Write Ltd"/>
        <s v="BM Limited"/>
        <s v="ASJ LTD"/>
        <s v="Carbon Law"/>
        <s v="SELECT LIFESTYLES LIMITED 2"/>
        <s v="DELTRON LIFTS LIMITED"/>
        <s v="Toolstation Ltd"/>
        <s v="City Electrical Factors Limited"/>
        <s v="Nicholas Horton"/>
        <s v="SUKVINDER KAUR"/>
        <s v="MRS TAMMIE MARIE N"/>
        <s v="B Q LTD"/>
        <s v="INTERFLORA BRITISH UNI"/>
        <s v="Adobe"/>
        <s v="UBER    TRIP"/>
        <s v="Tesla Inc."/>
        <s v="March payroll.csv"/>
        <s v="PENDERELS TRUST LT"/>
        <s v="THOMAS AM"/>
        <s v="Lavender L S"/>
        <s v="LEANNE HAWKINS"/>
        <s v="ANTHONY MEACHIN"/>
        <s v="LEIGH AMES"/>
        <s v="JOHN PACE"/>
        <s v="PURE CLOUD SOLS"/>
        <s v="SANDWELL MBC-601539-69624135"/>
        <s v="WALSALL METROPOLIT-206877-58552541"/>
        <s v="S JAMES"/>
        <s v="M KEANE"/>
        <s v="Maureen Goodin-Pryce"/>
        <s v="Olivia Walker"/>
        <s v="FDEL Faster Payment Safeguarding"/>
        <s v="HORTON N J"/>
        <s v="Crowe UK LLP"/>
        <s v="SELECT LIFESTYLES LIMITED DEPOSIT"/>
        <s v="HEERA A"/>
        <s v="M S Property Developments"/>
        <s v="MR J Singh"/>
        <s v="MICHAEL JOHN GRIPTON"/>
        <s v="MARKER GRAY"/>
        <s v="KATHLEEN PARKER"/>
        <s v="DAVID MORRIS"/>
        <s v="SIMON KELLY"/>
        <s v="GEMMA BAKER"/>
        <s v="CHRISTOPHER MILLINGTON"/>
        <s v="CAMPBELL P A"/>
        <s v="ASTLEY M"/>
        <s v="FRANCOTYP POSTALIA"/>
        <s v="FEDERAL CAPITAL"/>
        <s v="WOLVERHAMPTON CC"/>
        <s v="SANDWELL MBCCTAX"/>
        <s v="PALETHORPE NT"/>
        <s v="B-HAM CITY COUNCIL-200790-70489166"/>
        <s v="WOLVERHAMPTON C C-560069-44470320"/>
        <s v="SANDWELL MBC  BEN-601539-69624151"/>
        <s v="WOLVERHAMPTON CC-560069-44470320"/>
        <s v="JDOLEMAN-607080-10025863"/>
        <s v="KMIAH-607080-10025863"/>
        <s v="Mohammed Perager"/>
        <s v="Ryan Lawley"/>
        <s v="APPOINTR LTD SW"/>
        <s v="Humphries Deborah"/>
        <s v="BAYLISS JP"/>
        <s v="Cheema Manjit"/>
        <s v="Harris Peter"/>
        <s v="Hughes Zachary"/>
        <s v="RORY BAKER"/>
        <s v="D MEHMI"/>
        <s v="A ELWELL"/>
        <s v="C BERRINGTON"/>
        <s v="L WARD"/>
        <s v="M WOLVERSON"/>
        <s v="XFER FROM SUSPENSE TO A/C"/>
        <s v="SMBC EXEC DIR RE M"/>
        <s v="EX DIRECTOR RE DAV"/>
        <s v="SMBC EXECUTIVE DIR"/>
        <s v="EXECUTIVE DIRECTOR"/>
        <s v="SMBC EX DIR RE LOU"/>
        <s v="N SMITH"/>
        <s v="EXEC DIR RE ANTHON"/>
        <s v="ARLETTE FORSYTHE"/>
        <s v="J EASTWOOD"/>
        <s v="NICOLE SARGENT"/>
        <s v="IVAN BUTLER"/>
        <s v="CAMERON SANJAY"/>
        <s v="WILSON DA"/>
        <s v="Chloe Skeldon"/>
        <s v="B LUCAS"/>
        <s v="WCC/COP/P BATSON"/>
        <s v="Mr Jagdish Lal"/>
        <s v="Unite Fire and Security"/>
        <s v="Midland Distribution Ltd"/>
        <s v="Action Drains Ltd"/>
        <s v="CAMPBELL B"/>
        <s v="SKY DIGITAL"/>
        <s v="BIZLEND LTD GBP AC"/>
        <s v="MBFIN  S0BN24NYC01"/>
        <s v="BRITISH GAS BUSINE"/>
        <s v="S BEALE"/>
        <s v="KBREAKWELL-607080-10025863"/>
        <s v="KATELYNNE-607080-10025863"/>
        <s v="G SPRIGGS-607080-10025863"/>
        <s v="BCAMPBELL-607080-10025863"/>
        <s v="WSKYTE-607080-10025863"/>
        <s v="DSTOKES-607080-10025863"/>
        <s v="EPERAGER-607080-10025863"/>
        <s v="E DAWSON"/>
        <s v="Charanjit Dhillon"/>
        <s v="KIA HARVEY"/>
        <s v="ADAM PEILE"/>
        <s v="GLEDHILL AL"/>
        <s v="BRITISH GAS"/>
        <s v="SANDWICH-HOUSE.CO.UK"/>
        <s v="Old Bank Business Ltd"/>
        <s v="TOTALENERGIES G&amp;P"/>
        <s v="ENGIE POWER"/>
        <s v="SEVERN TRENT WATER"/>
        <s v="FUNDING CIRCLE"/>
        <s v="HGPRYCE-607080-10025863"/>
        <s v="C BENNETT"/>
        <s v="SANDWELL EX DIRECT"/>
        <s v="ASHLEY DONNELLY"/>
        <s v="G Aldridge"/>
        <s v="Marcia Blick-Andrews"/>
        <s v="Susan Grice"/>
        <s v="D Cahill"/>
        <s v="E.ON NEXT LTD"/>
        <s v="LDF FINANCE NO.3 L"/>
        <s v="SOUTH STAFFS WATER"/>
        <s v="HMRC MY-DRS.CO.UK"/>
        <s v="WALSALL MBC 2"/>
        <s v="PJ339953B DWP UC-607080-10025847"/>
        <s v="KIERONWILSON-607080-10025863"/>
        <s v="BREYNOLDS-607080-10025863"/>
        <s v="G BAKER-607080-10025863"/>
        <s v="Neal Laura"/>
        <s v="LEAFLETFROG"/>
        <s v="MR SHAQUILE A R BA"/>
        <s v="TELECOM CENTRAL"/>
        <s v="ALD AUTOMOTIVE"/>
        <s v="EVERFLOW LIMITED"/>
        <s v="VODAFONE LIMITED"/>
        <s v="KIRKLEES COUNCIL-204312-63046958"/>
        <s v="Lockley Debbie"/>
        <s v="TRUMPETER L"/>
        <s v="KERRY WHITEHOUSE"/>
        <s v="S GREEN DEPUTY FOR SUSAN LYNNE"/>
        <s v="HOLLY LAW"/>
        <s v="JASHUBEN PATEL"/>
        <s v="HMRC Cumbernauld"/>
        <s v="Uber Payments UK"/>
        <s v="REYNOLDS B L"/>
        <s v="SPRIGGS UL"/>
        <s v="FIVE HENRY RISK MANAGEMENT"/>
        <s v="EE LIMITED"/>
        <s v="TV LICENCE DDA"/>
        <s v="LEX AUTOLEASE"/>
        <s v="PENNON WATER SRVCS"/>
        <s v="BIFFA WASTE SERVIC"/>
        <s v="PC/COVEAEXECHOME"/>
        <s v="BIRMINGHAM CITY CO"/>
        <s v="BNP PARIBAS LEASIN"/>
        <s v="SHARON A SIMPSON"/>
        <s v="ENGIE GAS"/>
        <s v="ALFORD LM"/>
        <s v="REBECCA LOUISE"/>
        <s v="LNEAL-607080-10025863"/>
        <s v="SIGOURNEY CLARK"/>
        <s v="LONDON BOROUGH OF-308012-12992868"/>
        <s v="SOLIHULL MBC EXP.-200771-00561525"/>
        <s v="STEVEN BLAND"/>
        <s v="NATHAN FLETCHER"/>
        <s v="STEVEN MCMILLAN ACCOUNT"/>
        <s v="A WALLACE"/>
        <s v="SHERIDAN COGHLAN"/>
        <s v="DAVID CULLIS"/>
        <s v="HILARY SUFFOLK"/>
        <s v="RAWINDER SINGH"/>
        <s v="P MANSELL"/>
        <s v="EX DIRECTOR RE LAU"/>
        <s v="BOBBY LI"/>
        <s v="EX DIRECTOR RE BRE"/>
        <s v="JORDAN BURN"/>
        <s v="JADE FOSTER"/>
        <s v="SMBC EXEC DIR RE ."/>
        <s v="J WALSH"/>
        <s v="Hiten Mistry"/>
        <s v="SUKHBINDER DOSANJH"/>
        <s v="DOMINIQUE MORRISSEY-LIMB"/>
        <s v="L Walsh"/>
        <s v="Dulux Decorator Centre"/>
        <s v="Beaucare Medical Limited"/>
        <s v="Johal Dairies Limited"/>
        <s v="Liquid Public Relations Ltd"/>
        <s v="Selco"/>
        <s v="Care Check Ltd"/>
        <s v="Culligan UK Limited"/>
        <s v="City Plumbing Supplies"/>
        <s v="Amazon Payments UK Limited"/>
        <s v="L B CAMDEN IVR"/>
        <s v="THE SHOPWORKS"/>
        <s v="QCS LTD"/>
        <s v="PEAC UK LTD"/>
        <s v="WALSALL M.B.C"/>
        <s v="ADONNELLY-607080-10025863"/>
        <s v="KILSLEY-607080-10025863"/>
        <s v="NJAMES-607080-10025863"/>
        <s v="JLOCKLEY-607080-10025863"/>
        <s v="MBROUGH COUNCIL-541004-94586454"/>
        <s v="VICKY RUSSELL"/>
        <s v="Kent Ilsley"/>
        <s v="VIRGIN MEDIA PYMTS"/>
        <s v="JOHNSON C"/>
        <s v="NHS BLACK COUNTRY-607080-10015272"/>
        <s v="LBH PAYMENTS BACS-602210-72430192"/>
        <s v="LMALFORD-607080-10025863"/>
        <s v="Faith Osayi Enabulele"/>
        <s v="A Lowbridge"/>
        <s v="YDHILLION-607080-10025863"/>
        <s v="N COPSON-607080-10025863"/>
        <s v="JTINDALL-607080-10025863"/>
        <s v="K COPSON"/>
        <s v="MAPHOSA B"/>
        <s v="SELECT LIFESTYLES LIMITED"/>
        <s v="Bate s Tool Hire Ltd"/>
        <s v="UBER  TRIP HELP.UBER.C"/>
        <s v="ACCEPT CARDS LTD"/>
        <s v="Tesla"/>
        <s v="WATER PLUS"/>
        <s v="VWFS  UK  LIMITED"/>
        <s v="DEAKIN/HICKMAN"/>
        <s v="3667404168-607080-10025790"/>
        <s v="FOENABULELE-607080-10025863"/>
        <s v="MKAY-607080-10025863"/>
        <s v="HBOWATER-607080-10025863"/>
        <s v="J NATTA"/>
        <s v="MARSHALL JL"/>
        <s v="HORTON Mom"/>
        <s v="SANDWELL MBCNNDR"/>
        <s v="SMITH B"/>
        <s v="OYSTER COMMUNIC"/>
        <s v="CAREBEANS"/>
        <s v="SAGE SOFTWARE LTD"/>
        <s v="MULTIFLEET VEHICLE"/>
        <s v="QUILTER LIFE PENS"/>
        <s v="ARVAL UK LTD"/>
        <s v="ALPHABET GB"/>
        <s v="SHIRE SECURITIES"/>
        <s v="PREMIUM CREDIT LTD"/>
        <s v="JURNI LIMITED"/>
        <s v="ILB-403526-11830651"/>
        <s v="AELWELL-607080-10025863"/>
        <s v="CJOHNSON-607080-10025863"/>
        <s v="TCHEEMA-607080-10025863"/>
        <s v="RSHAMREZ-607080-10025863"/>
        <s v="JNATTA-607080-10025863"/>
        <s v="DWOODHALL-607080-10025863"/>
        <s v="BRANDON BULLOCK"/>
        <s v="JOANNE HOULDEN"/>
        <s v="Nest EFT Receipts AC"/>
        <s v="BOBBY SPEARS"/>
        <s v="Porsche Smart Mobility"/>
        <s v="TAYLOR A C"/>
        <s v="Fletcher King Chartered Surveyors"/>
        <s v="Bains Bains"/>
        <s v="FDMS"/>
        <s v="NHS BIRMINGHAM AND-607080-10017097"/>
        <s v="AGREEN-607080-10025863"/>
        <s v="CALLUM BRADNICK-607080-10025863"/>
        <s v="N PATEL-607080-10025863"/>
        <s v="STOLLEY-607080-10025863"/>
        <s v="JLEE-607080-10025863"/>
        <s v="BSMITH-607080-10025863"/>
        <s v="JHARTLEY-607080-10025863"/>
        <s v="ASCULLION-607080-10025863"/>
        <s v="0000070236-607080-10025863"/>
        <s v="MCRIMMONS-607080-10025863"/>
        <s v="Roxy Scullion"/>
        <s v="BEVERLEY RICHARDS"/>
        <s v="EXECUTIVE DIRECTOR RE APPOINTEESHIP"/>
        <s v="Mr Mrs Aggarwal"/>
        <n v="800053"/>
        <s v="PEOPLEPLUS GROUP L-600001-48991295"/>
        <s v="Sarah Jones"/>
        <s v="KWIK FIT"/>
        <s v="GOCARDLESS"/>
        <s v="CCARR-607080-10025863"/>
        <s v="RYAN OAKES-607080-10025863"/>
        <s v="CLAVENDER-607080-10025863"/>
        <s v="TPALETHORPE-607080-10025863"/>
        <s v="107C-607080-10025863"/>
        <s v="BIRMINGHAM   SOLIH-607080-10033610"/>
        <s v="PARTON A D"/>
        <s v="MBFIN  S0BN25KWH01"/>
        <s v="B711NS VEGHAL JAGJ-607080-10025863"/>
        <s v="CHLOE SKELDON-607080-10025863"/>
        <s v="LGARDNER-607080-10025863"/>
        <s v="WALSALL MBC BARC-209073-10731692"/>
        <s v="L GARDNER"/>
        <s v="PETER HESSION"/>
        <s v="C Brown"/>
        <s v="Mrs R Matharu"/>
        <s v="TOYOTA FIN SERV"/>
        <s v="TC LOANS LTD T/A T"/>
        <s v="ALLSTAR"/>
        <s v="POZITIVE ENERGY"/>
        <s v="LBROWN-607080-10025863"/>
        <s v="BLUCAS-607080-10025863"/>
        <s v="KRUDD-607080-10025863"/>
        <s v="Kate-Lynne English"/>
        <s v="SANDWELL CAWI"/>
        <s v="Peters and Peters Client"/>
        <s v="Domestic Heroes Ltd"/>
        <s v="Huws Gray Limited"/>
        <s v="MFG Solicitors LLP"/>
        <s v="Ratcliffe Property Services Ltd"/>
        <s v="Bloomfield Resources"/>
        <s v="Ventol Maintenance Limited"/>
        <s v="Howdens"/>
        <s v="Department for Work and Pensions"/>
        <s v="Eon Next"/>
        <s v="Child Maintenance Centre"/>
        <s v="Birmingham City Council"/>
        <s v="Walsall Council"/>
        <s v="JDOWNINGRA-607080-10025863"/>
        <s v="SSMITH-607080-10025863"/>
        <s v="JDOWNING-607080-10025863"/>
        <s v="S JONES-607080-10025863"/>
        <s v="CLBROWN-607080-10025863"/>
        <s v="PHINDS-607080-10025863"/>
        <s v="DPILLINGER-607080-10025863"/>
        <s v="LBAYLISS-607080-10025863"/>
        <s v="P HINDS"/>
        <s v="Leslie Trumpeter"/>
        <s v="MR JOSHUA L MARSHA"/>
        <s v="Jacob Asset Management Ltd"/>
        <s v="CARE QUALITY COMMI"/>
        <s v="LHICKMAN-607080-10025863"/>
        <s v="HMISTRY-607080-10025863"/>
        <s v="SYDNEY JOHNSON"/>
        <s v="B VEGHAL"/>
        <s v="N SIMPSON"/>
        <s v="S Turner"/>
        <s v="GREEN AFJ"/>
        <s v="WWW.IWOCA.CO.UK"/>
        <s v="DVLA-BN24NYC"/>
        <s v="DVLA-BK24HHA"/>
        <s v="STRIPE"/>
        <s v="JWARD-607080-10025863"/>
        <s v="JHADDOCK-607080-10025863"/>
        <s v="JTURNER-607080-10025863"/>
        <s v="JSTONE-607080-10025863"/>
        <s v="JAMIE WARD"/>
        <s v="Porsche Charging GB"/>
        <s v="AVIVA"/>
        <s v="DVLA-SK73WWA"/>
        <s v="AVIVA PENSION"/>
        <s v="ANDREW HANDS-607080-10025863"/>
        <s v="JOSEPH WEBSTER"/>
        <s v="NC Horton Personal"/>
        <s v="Stearn Electric Co Ltd"/>
        <s v="Auto Windscreens"/>
        <s v="Regency Hampers Ltd"/>
        <s v="ORCHARD PARK PRESS"/>
        <s v="Jaki Salisbury"/>
        <s v="Grafenia Operations Limited"/>
        <s v="JPS Property Ltd"/>
        <s v="Levines"/>
        <s v="Marsons Property Investmends Ltd"/>
        <s v="INGLEWOOD"/>
        <s v="Nuco Training Ltd"/>
        <s v="Brannigans Cleaning Services Ltd"/>
        <s v="MOHS Workplace Health"/>
        <s v="Synium Limited"/>
        <s v="BMCS Limited"/>
        <s v="Trust Hygiene Services Ltd"/>
        <s v="Greenlab Pest Control Ltd"/>
        <s v="Muras Baker Jones Limited"/>
        <s v="Gloveman Supplies Ltd"/>
        <s v="Furncare Ltd"/>
        <s v="Leisure Automatics Properties"/>
        <s v="M Aggarwal"/>
        <s v="Mandeep Kandola"/>
        <s v="Trade UK"/>
        <s v="Blackacres"/>
        <s v="SF Recruitment Limited"/>
        <s v="Access 2 Growth"/>
        <s v="GreenPower Plant Hire Ltd"/>
        <s v="Richard Skyte"/>
        <s v="UKO SERVICED OFFIC"/>
        <s v="JOHNSON S P"/>
        <s v="Grant Kemble"/>
        <s v="T HARTLEY"/>
        <s v="SMITH H"/>
        <s v="BHOULDEN-607080-10025863"/>
        <s v="ZHUGHES-607080-10025863"/>
        <s v="A MORGAN"/>
        <s v="A PATEL"/>
        <s v="K MIAH"/>
      </sharedItems>
    </cacheField>
    <cacheField name="Payment Reference" uniqueList="1" numFmtId="0" sqlType="0" hierarchy="0" level="0" databaseField="1">
      <sharedItems count="0" containsBlank="1" containsInteger="1" containsMixedTypes="1" containsNumber="1" minValue="28" maxValue="6331640014093600"/>
    </cacheField>
    <cacheField name="Money In/Out" uniqueList="1" numFmtId="0" sqlType="0" hierarchy="0" level="0" databaseField="1">
      <sharedItems count="0" containsNumber="1" containsSemiMixedTypes="0" containsString="0" minValue="-757754.54" maxValue="653941.0600000001"/>
    </cacheField>
    <cacheField name="m" uniqueList="1" numFmtId="0" sqlType="0" hierarchy="0" level="0" databaseField="1">
      <sharedItems count="0" containsMixedTypes="1" containsNumber="1" minValue="6.08" maxValue="653941.0600000001"/>
    </cacheField>
    <cacheField name="Balance" uniqueList="1" numFmtId="0" sqlType="0" hierarchy="0" level="0" databaseField="1">
      <sharedItems count="0" containsNumber="1" containsSemiMixedTypes="0" containsString="0" minValue="21548" maxValue="908816.59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Elliot Horton" refreshedDate="46150.9759550926" createdVersion="8" refreshedVersion="8" minRefreshableVersion="3" recordCount="991" r:id="rId1">
  <cacheSource type="worksheet">
    <worksheetSource ref="A1:I992" sheet="APR"/>
  </cacheSource>
  <cacheFields count="9">
    <cacheField name="Transactiondate" uniqueList="1" numFmtId="14" sqlType="0" hierarchy="0" level="0" databaseField="1">
      <sharedItems count="0" containsDate="1" containsNonDate="0" containsSemiMixedTypes="0" containsString="0" minDate="2026-04-01T00:00:00" maxDate="2026-05-01T00:00:00"/>
    </cacheField>
    <cacheField name="ValueDate" uniqueList="1" numFmtId="14" sqlType="0" hierarchy="0" level="0" databaseField="1">
      <sharedItems count="27" containsDate="1" containsNonDate="0" containsSemiMixedTypes="0" containsString="0" minDate="2026-04-01T00:00:00" maxDate="2026-05-01T00:00:00">
        <d v="2026-04-30T00:00:00"/>
        <d v="2026-04-29T00:00:00"/>
        <d v="2026-04-28T00:00:00"/>
        <d v="2026-04-27T00:00:00"/>
        <d v="2026-04-26T00:00:00"/>
        <d v="2026-04-25T00:00:00"/>
        <d v="2026-04-24T00:00:00"/>
        <d v="2026-04-23T00:00:00"/>
        <d v="2026-04-22T00:00:00"/>
        <d v="2026-04-21T00:00:00"/>
        <d v="2026-04-20T00:00:00"/>
        <d v="2026-04-18T00:00:00"/>
        <d v="2026-04-17T00:00:00"/>
        <d v="2026-04-16T00:00:00"/>
        <d v="2026-04-15T00:00:00"/>
        <d v="2026-04-14T00:00:00"/>
        <d v="2026-04-13T00:00:00"/>
        <d v="2026-04-12T00:00:00"/>
        <d v="2026-04-11T00:00:00"/>
        <d v="2026-04-10T00:00:00"/>
        <d v="2026-04-09T00:00:00"/>
        <d v="2026-04-08T00:00:00"/>
        <d v="2026-04-07T00:00:00"/>
        <d v="2026-04-06T00:00:00"/>
        <d v="2026-04-05T00:00:00"/>
        <d v="2026-04-02T00:00:00"/>
        <d v="2026-04-01T00:00:00"/>
      </sharedItems>
    </cacheField>
    <cacheField name="Transaction Type" uniqueList="1" numFmtId="0" sqlType="0" hierarchy="0" level="0" databaseField="1">
      <sharedItems count="0"/>
    </cacheField>
    <cacheField name="Transaction Reference" uniqueList="1" numFmtId="0" sqlType="0" hierarchy="0" level="0" databaseField="1">
      <sharedItems count="0" containsInteger="1" containsMixedTypes="1" containsNumber="1" minValue="39565854" maxValue="39565854"/>
    </cacheField>
    <cacheField name="Payer/Payee Name" uniqueList="1" numFmtId="0" sqlType="0" hierarchy="0" level="0" databaseField="1">
      <sharedItems count="394" containsInteger="1" containsMixedTypes="1" containsNumber="1" minValue="800054" maxValue="800054">
        <s v="G Aldridge"/>
        <s v="Carbon Law"/>
        <s v="Simmons"/>
        <s v="HMRC Cumbernauld"/>
        <s v="SELECT LIFESTYLES LIMITED 2"/>
        <s v="A M Ford"/>
        <s v="S Cunningham"/>
        <s v="GLEDHILL AL"/>
        <s v="April Payroll.CSV"/>
        <s v="WWW.IWOCA.CO.UK"/>
        <s v="PARKING 1VR"/>
        <s v="MULTIFLEET VEHICLE"/>
        <s v="STRIPE"/>
        <s v="OYSTER COMMUNIC"/>
        <s v="Mohammed Perager"/>
        <s v="JOHNSON C"/>
        <s v="APPOINTR LTD SW"/>
        <s v="NHS BLACK COUNTRY-607080-10015272"/>
        <s v="MARKEL INT INS-200000-70892076"/>
        <s v="JDOLEMAN-607080-10025863"/>
        <s v="KMIAH-607080-10025863"/>
        <s v="WOLVERHAMPTON CC-560069-44470320"/>
        <s v="C BENNETT"/>
        <s v="RORY BAKER"/>
        <s v="ARLETTE FORSYTHE"/>
        <s v="NICOLE SARGENT"/>
        <s v="Balbir Kaur"/>
        <s v="HOLLY LAW"/>
        <s v="FDEL Faster Payment Safeguarding"/>
        <s v="TESCO GROCERY"/>
        <s v="WF  UK4414376974"/>
        <s v="M S Property Developments"/>
        <s v="ENGIE POWER"/>
        <s v="BCAMPBELL-607080-10025863"/>
        <s v="DSTOKES-607080-10025863"/>
        <s v="EPERAGER-607080-10025863"/>
        <s v="MARKER GRAY"/>
        <s v="D MEHMI"/>
        <s v="XFER FROM SUSPENSE TO A/C"/>
        <s v="Neal Laura"/>
        <s v="Chloe Skeldon"/>
        <s v="JASHUBEN PATEL"/>
        <s v="Wayne Thomas Etheridge"/>
        <s v="Howdens"/>
        <s v="Autofit Centre Ltd"/>
        <s v="SELECT LIFESTYLES LIMITED DEPOSIT"/>
        <s v="SP TOPGEAR PLATES"/>
        <s v="MR J Singh"/>
        <s v="PENDERELS TRUST LT"/>
        <s v="THOMAS AM"/>
        <s v="Lavender L S"/>
        <s v="FEDERAL CAPITAL"/>
        <s v="PURE CLOUD SOLS"/>
        <s v="SANDWELL MBCCTAX"/>
        <s v="DUDLEY M B C"/>
        <s v="TOTALENERGIES G&amp;P"/>
        <s v="BRITISH GAS BUSINE"/>
        <s v="KBREAKWELL-607080-10025863"/>
        <s v="WSKYTE-607080-10025863"/>
        <s v="WALSALL METROPOLIT-206877-58552541"/>
        <s v="LEANNE HAWKINS"/>
        <s v="ANTHONY MEACHIN"/>
        <s v="LEIGH AMES"/>
        <s v="JOHN PACE"/>
        <s v="BAYLISS JP"/>
        <s v="S JAMES"/>
        <s v="M KEANE"/>
        <s v="Cheema Manjit"/>
        <s v="Harris Peter"/>
        <s v="Maureen Goodin-Pryce"/>
        <s v="Olivia Walker"/>
        <s v="Neil Marsh"/>
        <s v="S GREEN DEPUTY FOR SUSAN LYNNE"/>
        <s v="TOUGH FURNIT"/>
        <s v="Humphries Deborah"/>
        <s v="Susan Grice"/>
        <s v="Mr Jagdish Lal"/>
        <s v="D Cahill"/>
        <s v="Old Bank Business Ltd"/>
        <s v="LDF FINANCE NO.3 L"/>
        <s v="BIFFA WASTE SERVIC"/>
        <s v="HMRC MY-DRS.CO.UK"/>
        <s v="SEVERN TRENT WATER"/>
        <s v="WALSALL MBC 2"/>
        <s v="MBFIN  S0BN24NYC01"/>
        <s v="E.ON NEXT LTD"/>
        <s v="SKY DIGITAL"/>
        <s v="FUNDING CIRCLE"/>
        <s v="SOUTH STAFFS WATER"/>
        <s v="Hughes Zachary"/>
        <s v="CAMPBELL P A"/>
        <s v="WOLVERHAMPTON C C-560069-44470320"/>
        <s v="SANDWELL MBC  BEN-601539-69624151"/>
        <s v="KATELYNNE-607080-10025863"/>
        <s v="G SPRIGGS-607080-10025863"/>
        <s v="PALETHORPE NT"/>
        <s v="ALLEN KJ"/>
        <s v="ASTLEY M"/>
        <s v="DAVID MORRIS"/>
        <s v="GEMMA BAKER"/>
        <s v="CHRISTOPHER MILLINGTON"/>
        <s v="KATHLEEN PARKER"/>
        <s v="MICHAEL JOHN GRIPTON"/>
        <s v="SIMON KELLY"/>
        <s v="A ELWELL"/>
        <s v="L WARD"/>
        <s v="SMBC EXECUTIVE DIR"/>
        <s v="M WOLVERSON"/>
        <s v="N SMITH"/>
        <s v="EXEC DIR RE ANTHON"/>
        <s v="EXECUTIVE DIRECTOR"/>
        <s v="SMBC EX DIR RE LOU"/>
        <s v="SMBC EXEC DIR RE M"/>
        <s v="SANDWELL MBC EXEC"/>
        <s v="EX DIRECTOR RE DAV"/>
        <s v="C BERRINGTON"/>
        <s v="Ryan Lawley"/>
        <s v="P MANSELL"/>
        <s v="J EASTWOOD"/>
        <s v="IVAN BUTLER"/>
        <s v="CAMERON SANJAY"/>
        <s v="WILSON DA"/>
        <s v="CAMPBELL B"/>
        <s v="L Walsh"/>
        <s v="Marcia Blick-Andrews"/>
        <s v="Aqua Install"/>
        <s v="KERRY WHITEHOUSE"/>
        <s v="Selco"/>
        <s v="Bate s Tool Hire Ltd"/>
        <s v="Dulux Decorator Centre"/>
        <s v="Toolstation Ltd"/>
        <s v="S Pugh Roofing"/>
        <s v="UK TRAINING WORLDWIDE LTD"/>
        <s v="BIZLEND LTD GBP AC"/>
        <s v="ENGIE GAS"/>
        <s v="ALD AUTOMOTIVE"/>
        <s v="EVERFLOW LIMITED"/>
        <s v="B-HAM CITY COUNCIL-200790-70489166"/>
        <s v="SANDWELL MBC-601539-69624135"/>
        <s v="HGPRYCE-607080-10025863"/>
        <s v="G BAKER-607080-10025863"/>
        <s v="BREYNOLDS-607080-10025863"/>
        <s v="KIERONWILSON-607080-10025863"/>
        <s v="WCC/COP/P BATSON"/>
        <s v="MR SHAQUILE A R BA"/>
        <s v="KIA HARVEY"/>
        <s v="S BEALE"/>
        <s v="B LUCAS"/>
        <s v="E DAWSON"/>
        <s v="Lockley Debbie"/>
        <s v="Charanjit Dhillon"/>
        <s v="FEDERAL CAPITAL LIMITED"/>
        <s v="N and C Horton Property"/>
        <s v="SPRIGGS UL"/>
        <s v="FIVE HENRY RISK MANAGEMENT"/>
        <s v="TELECOM CENTRAL"/>
        <s v="INFORMATION COMMIS"/>
        <s v="BNP PARIBAS LEASIN"/>
        <s v="LEX AUTOLEASE"/>
        <s v="LNEAL-607080-10025863"/>
        <s v="WYATES-607080-10025863"/>
        <s v="SANDWELL EX DIRECT"/>
        <s v="Hiten Mistry"/>
        <s v="ASHLEY DONNELLY"/>
        <s v="MAPHOSA B"/>
        <s v="SHARON A SIMPSON"/>
        <s v="PENNON WATER SRVCS"/>
        <s v="TV LICENCE DDA"/>
        <s v="VODAFONE LIMITED"/>
        <s v="KILSLEY-607080-10025863"/>
        <s v="JLOCKLEY-607080-10025863"/>
        <s v="Kent Ilsley"/>
        <s v="Tesla Inc."/>
        <s v="EE LIMITED"/>
        <s v="PC/COVEAEXECHOME"/>
        <s v="BIRMINGHAM CITY CO"/>
        <s v="NJAMES-607080-10025863"/>
        <s v="ALFORD LM"/>
        <s v="P HINDS"/>
        <s v="J WALSH"/>
        <s v="Sarah Jones"/>
        <s v="FASTFIT NATIONWIDE LIM"/>
        <s v="REYNOLDS B L"/>
        <s v="PEAC UK LTD"/>
        <s v="WALSALL M.B.C"/>
        <s v="VIRGIN MEDIA PYMTS"/>
        <s v="VWFS  UK  LIMITED"/>
        <s v="THE SHOPWORKS"/>
        <s v="QCS LTD"/>
        <s v="ADONNELLY-607080-10025863"/>
        <s v="SOLIHULL MBC EXP.-200771-00561525"/>
        <s v="LONDON BOROUGH OF-308012-12992868"/>
        <s v="SIGOURNEY CLARK"/>
        <s v="STEVEN BLAND"/>
        <s v="NATHAN FLETCHER"/>
        <s v="HILARY SUFFOLK"/>
        <s v="STEVEN MCMILLAN ACCOUNT"/>
        <s v="ADAM PEILE"/>
        <s v="SHERIDAN COGHLAN"/>
        <s v="DAVID CULLIS"/>
        <s v="RAWINDER SINGH"/>
        <s v="BOBBY LI"/>
        <s v="VICKY RUSSELL"/>
        <s v="JORDAN BURN"/>
        <s v="JADE FOSTER"/>
        <s v="REBECCA LOUISE"/>
        <s v="Faith Osayi Enabulele"/>
        <s v="EX DIRECTOR RE BRE"/>
        <s v="EX DIRECTOR RE LAU"/>
        <s v="SMBC EXEC DIR RE ."/>
        <s v="A WALLACE"/>
        <s v="DOMINIQUE MORRISSEY-LIMB"/>
        <s v="PETER HESSION"/>
        <s v="Ventol Maintenance Limited"/>
        <s v="Bloomfield Resources"/>
        <s v="Care Check Ltd"/>
        <s v="PARTON A D"/>
        <s v="OS MAPS SHOP"/>
        <s v="ACCEPT CARDS LTD"/>
        <s v="MBROUGH COUNCIL-541004-94586454"/>
        <s v="N COPSON-607080-10025863"/>
        <s v="LMALFORD-607080-10025863"/>
        <s v="JTINDALL-607080-10025863"/>
        <s v="MKAY-607080-10025863"/>
        <s v="FOENABULELE-607080-10025863"/>
        <s v="YDHILLION-607080-10025863"/>
        <s v="HBOWATER-607080-10025863"/>
        <s v="A Lowbridge"/>
        <s v="J NATTA"/>
        <s v="K COPSON"/>
        <s v="STRATSTONE AUTOMOTIVE LIMITED"/>
        <s v="SANDWICH-HOUSE.CO.UK"/>
        <s v="Johal Dairies Limited"/>
        <s v="ALPHABET GB"/>
        <s v="WATER PLUS"/>
        <s v="FDMS"/>
        <s v="SAGE SOFTWARE LTD"/>
        <s v="DWOODHALL-607080-10025863"/>
        <s v="JNATTA-607080-10025863"/>
        <s v="RSHAMREZ-607080-10025863"/>
        <s v="TCHEEMA-607080-10025863"/>
        <s v="CJOHNSON-607080-10025863"/>
        <s v="AELWELL-607080-10025863"/>
        <s v="LBH PAYMENTS BACS-602210-72430192"/>
        <s v="KIRKLEES COUNCIL-204312-63046958"/>
        <s v="HARINGEY COUNCIL-209847-03066010"/>
        <s v="Kaur S"/>
        <s v="MARSHALL JL"/>
        <s v="S Turner"/>
        <s v="MACE LTD"/>
        <s v="Tesla"/>
        <s v="UBER    TRIP"/>
        <s v="CAREBEANS"/>
        <s v="JURNI LIMITED"/>
        <s v="PREMIUM CREDIT LTD"/>
        <s v="SOLIHULL METROPOLI"/>
        <s v="SHIRE SECURITIES"/>
        <s v="SANDWELL MBCNNDR"/>
        <s v="WOLVERHAMPTON C C"/>
        <s v="ARVAL UK LTD"/>
        <s v="QUILTER LIFE PENS"/>
        <s v="AGREEN-607080-10025863"/>
        <s v="BSMITH-607080-10025863"/>
        <s v="STOLLEY-607080-10025863"/>
        <s v="PEOPLEPLUS GROUP L-600001-48991295"/>
        <s v="ILB-403526-11830651"/>
        <s v="SMITH B"/>
        <s v="Porsche Smart Mobility"/>
        <s v="HORTON Mom"/>
        <s v="POZITIVE ENERGY"/>
        <s v="FRANCOTYP POSTALIA"/>
        <s v="3716804629-607080-10025790"/>
        <s v="JLEE-607080-10025863"/>
        <s v="0000070236-607080-10025863"/>
        <s v="MCRIMMONS-607080-10025863"/>
        <s v="DEAKIN/HICKMAN"/>
        <s v="BOBBY SPEARS"/>
        <s v="SAVMAN CAPITAL LTD"/>
        <s v="BRANDON BULLOCK"/>
        <s v="Furncare Ltd"/>
        <s v="Nest EFT Receipts AC"/>
        <s v="C Brown"/>
        <s v="E.ON NEXT ENERGY LIMITED"/>
        <s v="BRITISH GAS"/>
        <s v="Bains Bains"/>
        <s v="Fletcher King Chartered Surveyors"/>
        <s v="Mr Mrs Aggarwal"/>
        <s v="TAYLOR A C"/>
        <n v="800054"/>
        <s v="GOCARDLESS"/>
        <s v="CALLUM BRADNICK-607080-10025863"/>
        <s v="N PATEL-607080-10025863"/>
        <s v="ASCULLION-607080-10025863"/>
        <s v="BIRMINGHAM   SOLIH-607080-10033610"/>
        <s v="Roxy Scullion"/>
        <s v="SUKVINDER KAUR"/>
        <s v="JOANNE HOULDEN"/>
        <s v="INST CHRTRD ACCTS ENGL"/>
        <s v="Jacob Asset Management Ltd"/>
        <s v="Domestic Heroes Ltd"/>
        <s v="Child Maintenance Centre"/>
        <s v="Wolverhampton CC"/>
        <s v="Department for Work and Pensions"/>
        <s v="Walsall Council"/>
        <s v="Birmingham City Council"/>
        <s v="MBFIN  S0BN25KWH01"/>
        <s v="L GARDNER"/>
        <s v="TPALETHORPE-607080-10025863"/>
        <s v="CLAVENDER-607080-10025863"/>
        <s v="107C-607080-10025863"/>
        <s v="RYAN OAKES-607080-10025863"/>
        <s v="CHLOE SKELDON-607080-10025863"/>
        <s v="LGARDNER-607080-10025863"/>
        <s v="BEVERLEY RICHARDS"/>
        <s v="JAMIE WARD"/>
        <s v="LBROWN-607080-10025863"/>
        <s v="BLUCAS-607080-10025863"/>
        <s v="KRUDD-607080-10025863"/>
        <s v="NHS BIRMINGHAM AND-607080-10017097"/>
        <s v="Kate-Lynne English"/>
        <s v="JOSEPH WEBSTER"/>
        <s v="Trust Hygiene Services Ltd"/>
        <s v="Tough Furniture Ltd"/>
        <s v="Access 2 Growth"/>
        <s v="Nuco Training Ltd"/>
        <s v="MFG Solicitors LLP"/>
        <s v="Trade UK"/>
        <s v="Gloveman Supplies Ltd"/>
        <s v="Brannigans Cleaning Services Ltd"/>
        <s v="Peters and Peters Client"/>
        <s v="Greenlab Pest Control Ltd"/>
        <s v="Synium Limited"/>
        <s v="Levines"/>
        <s v="TC LOANS LTD T/A T"/>
        <s v="SSMITH-607080-10025863"/>
        <s v="CLBROWN-607080-10025863"/>
        <s v="S JONES-607080-10025863"/>
        <s v="LBAYLISS-607080-10025863"/>
        <s v="EXECUTIVE DIRECTOR RE APPOINTEESHIP"/>
        <s v="Leslie Trumpeter"/>
        <s v="MRS TAMMIE MARIE N"/>
        <s v="INTERFLORA BRITISH UNI"/>
        <s v="Porsche Charging GB"/>
        <s v="Ratcliffe Property Services Ltd"/>
        <s v="Mrs R Matharu"/>
        <s v="MR JOSHUA L MARSHA"/>
        <s v="DVLA-BX63XJU"/>
        <s v="TOYOTA FIN SERV"/>
        <s v="ALLSTAR"/>
        <s v="CARE QUALITY COMMI"/>
        <s v="WALSALL MBC BARC-209073-10731692"/>
        <s v="N SIMPSON"/>
        <s v="B VEGHAL"/>
        <s v="Raymond Brown"/>
        <s v="GREEN AFJ"/>
        <s v="SYDNEY JOHNSON"/>
        <s v="IDEAL FOR ALL LTD REGISTERED CHARIT"/>
        <s v="INGLEWOOD"/>
        <s v="JOHNSON S P"/>
        <s v="AVIVA PENSION"/>
        <s v="JDOWNINGRA-607080-10025863"/>
        <s v="JTURNER-607080-10025863"/>
        <s v="JDOWNING-607080-10025863"/>
        <s v="ANDREW HANDS-607080-10025863"/>
        <s v="LHICKMAN-607080-10025863"/>
        <s v="JSTONE-607080-10025863"/>
        <s v="JHADDOCK-607080-10025863"/>
        <s v="JWARD-607080-10025863"/>
        <s v="PHINDS-607080-10025863"/>
        <s v="DPILLINGER-607080-10025863"/>
        <s v="HMISTRY-607080-10025863"/>
        <s v="Grant Kemble"/>
        <s v="SELECT LIFESTYLES LIMITED"/>
        <s v="NC Horton Personal"/>
        <s v="Marsons Property Investmends Ltd"/>
        <s v="JPS Property Ltd"/>
        <s v="Blackacres"/>
        <s v="M Aggarwal"/>
        <s v="BMCS Limited"/>
        <s v="Mandeep Kandola"/>
        <s v="Jaki Salisbury"/>
        <s v="Leisure Automatics Properties"/>
        <s v="CIPD"/>
        <s v="Richard Skyte"/>
        <s v="UKO SERVICED OFFIC"/>
        <s v="DVLA-BN25KWH"/>
        <s v="AVIVA"/>
        <s v="SMITH H"/>
        <s v="A PATEL"/>
        <s v="K MIAH"/>
        <s v="ZHUGHES-607080-10025863"/>
        <s v="BHOULDEN-607080-10025863"/>
        <s v="T HARTLEY"/>
        <s v="A MORGAN"/>
      </sharedItems>
    </cacheField>
    <cacheField name="Payment Reference" uniqueList="1" numFmtId="0" sqlType="0" hierarchy="0" level="0" databaseField="1">
      <sharedItems count="0" containsBlank="1" containsInteger="1" containsMixedTypes="1" containsNumber="1" minValue="28" maxValue="6331640014093600"/>
    </cacheField>
    <cacheField name="Money In/Out" uniqueList="1" numFmtId="0" sqlType="0" hierarchy="0" level="0" databaseField="1">
      <sharedItems count="0" containsNumber="1" containsSemiMixedTypes="0" containsString="0" minValue="-814968.99" maxValue="816631.98"/>
    </cacheField>
    <cacheField name="m" uniqueList="1" numFmtId="0" sqlType="0" hierarchy="0" level="0" databaseField="1">
      <sharedItems count="0" containsMixedTypes="1" containsNumber="1" minValue="6.04" maxValue="816631.98"/>
    </cacheField>
    <cacheField name="Balance" uniqueList="1" numFmtId="0" sqlType="0" hierarchy="0" level="0" databaseField="1">
      <sharedItems count="0" containsNumber="1" containsSemiMixedTypes="0" containsString="0" minValue="15001.54" maxValue="950238.0699999999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Elliot Horton" refreshedDate="46150.97630810185" createdVersion="8" refreshedVersion="8" minRefreshableVersion="3" recordCount="283" r:id="rId1">
  <cacheSource type="worksheet">
    <worksheetSource ref="A1:I284" sheet="MAY"/>
  </cacheSource>
  <cacheFields count="9">
    <cacheField name="Transactiondate" uniqueList="1" numFmtId="14" sqlType="0" hierarchy="0" level="0" databaseField="1">
      <sharedItems count="0" containsDate="1" containsNonDate="0" containsSemiMixedTypes="0" containsString="0" minDate="2026-05-01T00:00:00" maxDate="2026-05-09T00:00:00"/>
    </cacheField>
    <cacheField name="ValueDate" uniqueList="1" numFmtId="14" sqlType="0" hierarchy="0" level="0" databaseField="1">
      <sharedItems count="8" containsDate="1" containsNonDate="0" containsSemiMixedTypes="0" containsString="0" minDate="2026-05-01T00:00:00" maxDate="2026-05-09T00:00:00">
        <d v="2026-05-08T00:00:00"/>
        <d v="2026-05-07T00:00:00"/>
        <d v="2026-05-06T00:00:00"/>
        <d v="2026-05-05T00:00:00"/>
        <d v="2026-05-04T00:00:00"/>
        <d v="2026-05-03T00:00:00"/>
        <d v="2026-05-02T00:00:00"/>
        <d v="2026-05-01T00:00:00"/>
      </sharedItems>
    </cacheField>
    <cacheField name="Transaction Type" uniqueList="1" numFmtId="0" sqlType="0" hierarchy="0" level="0" databaseField="1">
      <sharedItems count="0"/>
    </cacheField>
    <cacheField name="Transaction Reference" uniqueList="1" numFmtId="0" sqlType="0" hierarchy="0" level="0" databaseField="1">
      <sharedItems count="0"/>
    </cacheField>
    <cacheField name="Payer/Payee Name" uniqueList="1" numFmtId="0" sqlType="0" hierarchy="0" level="0" databaseField="1">
      <sharedItems count="180">
        <s v="S BEALE"/>
        <s v="JOANNE HOULDEN"/>
        <s v="WILSON DA"/>
        <s v="FDEL Faster Payment Safeguarding"/>
        <s v="WCC/COP/P BATSON"/>
        <s v="THE WING MIRROR COMPAN"/>
        <s v="Tesla"/>
        <s v="Department for Work and Pensions"/>
        <s v="Wolverhampton CC"/>
        <s v="Walsall Council"/>
        <s v="Child Maintenance Centre"/>
        <s v="SELECT LIFESTYLES LIMITED"/>
        <s v="BIZLEND LTD GBP AC"/>
        <s v="TC LOANS LTD T/A T"/>
        <s v="WALSALL METROPOLIT-206877-58552541"/>
        <s v="B-HAM CITY COUNCIL-200790-70489166"/>
        <s v="LBROWN-607080-10025863"/>
        <s v="BLUCAS-607080-10025863"/>
        <s v="SSMITH-607080-10025863"/>
        <s v="S JONES-607080-10025863"/>
        <s v="CLBROWN-607080-10025863"/>
        <s v="KRUDD-607080-10025863"/>
        <s v="LBAYLISS-607080-10025863"/>
        <s v="B711NS VEGHAL JAGJ-607080-10025863"/>
        <s v="CHLOE SKELDON-607080-10025863"/>
        <s v="LGARDNER-607080-10025863"/>
        <s v="SANDWELL MBC-601539-69624135"/>
        <s v="WOLVERHAMPTON CC-560069-44470320"/>
        <s v="M WOLVERSON"/>
        <s v="B LUCAS"/>
        <s v="E DAWSON"/>
        <s v="BEVERLEY RICHARDS"/>
        <s v="Carbon Law"/>
        <s v="GLEDHILL AL"/>
        <s v="Tesla Inc."/>
        <s v="Mrs R Matharu"/>
        <s v="ALLSTAR"/>
        <s v="BRITISH GAS BUSINE"/>
        <s v="GOCARDLESS"/>
        <s v="ENGIE POWER"/>
        <s v="TOYOTA FIN SERV"/>
        <s v="APPOINTR LTD SW"/>
        <s v="NHS BIRMINGHAM AND-607080-10017097"/>
        <s v="C BENNETT"/>
        <s v="RORY BAKER"/>
        <s v="SELECT LIFESTYLES LIMITED 2"/>
        <s v="Ratcliffe Property Services Ltd"/>
        <s v="FRANCOTYP POSTALIA"/>
        <s v="BRITISH GAS"/>
        <s v="VIRGIN MEDIA PYMTS"/>
        <s v="WATER PLUS"/>
        <s v="JDOWNINGRA-607080-10025863"/>
        <s v="PHINDS-607080-10025863"/>
        <s v="JDOWNING-607080-10025863"/>
        <s v="DPILLINGER-607080-10025863"/>
        <s v="HOLLY LAW"/>
        <s v="MARKER GRAY"/>
        <s v="D MEHMI"/>
        <s v="P HINDS"/>
        <s v="Neal Laura"/>
        <s v="Sarah Jones"/>
        <s v="Howdens"/>
        <s v="SELECT LIFESTYLES LIMITED DEPOSIT"/>
        <s v="Access 2 Growth"/>
        <s v="N and C Horton Property"/>
        <s v="City Electrical Factors Limited"/>
        <s v="Levines"/>
        <s v="ASJ LTD"/>
        <s v="Trust Hygiene Services Ltd"/>
        <s v="AB Tyres"/>
        <s v="Crowe UK LLP"/>
        <s v="MFG Solicitors LLP"/>
        <s v="Amazon Payments UK Limited"/>
        <s v="Beaucare Medical Limited"/>
        <s v="Synium Limited"/>
        <s v="Furncare Ltd"/>
        <s v="Everwell Occupational Health Ltd"/>
        <s v="HMRC Cumbernauld"/>
        <s v="Jurni Limited"/>
        <s v="HEERA A"/>
        <s v="Adobe"/>
        <s v="Porsche Charging GB"/>
        <s v="INGLEWOOD"/>
        <s v="Jacob Asset Management Ltd"/>
        <s v="PEAC UK LTD"/>
        <s v="CARE QUALITY COMMI"/>
        <s v="AVIVA PENSION"/>
        <s v="DVLA-OX23SOH"/>
        <s v="PREMIUM CREDIT LTD"/>
        <s v="GREEN AFJ"/>
        <s v="PALETHORPE NT"/>
        <s v="Lavender L S"/>
        <s v="CAMPBELL P A"/>
        <s v="MR JOSHUA L MARSHA"/>
        <s v="PENDERELS TRUST LT"/>
        <s v="WALSALL MBC BARC-209073-10731692"/>
        <s v="LHICKMAN-607080-10025863"/>
        <s v="HMISTRY-607080-10025863"/>
        <s v="Humphries Deborah"/>
        <s v="JOHNSON S P"/>
        <s v="ASTLEY M"/>
        <s v="LEANNE HAWKINS"/>
        <s v="LEIGH AMES"/>
        <s v="ANTHONY MEACHIN"/>
        <s v="JOHN PACE"/>
        <s v="THOMAS AM"/>
        <s v="KATHLEEN PARKER"/>
        <s v="DAVID MORRIS"/>
        <s v="CHRISTOPHER MILLINGTON"/>
        <s v="SIMON KELLY"/>
        <s v="GEMMA BAKER"/>
        <s v="Hughes Zachary"/>
        <s v="Maureen Goodin-Pryce"/>
        <s v="REBECCA LOUISE"/>
        <s v="A ELWELL"/>
        <s v="Grant Kemble"/>
        <s v="SYDNEY JOHNSON"/>
        <s v="JAMIE WARD"/>
        <s v="SMBC EXECUTIVE DIR"/>
        <s v="SMBC EX DIR RE LOU"/>
        <s v="EXECUTIVE DIRECTOR"/>
        <s v="L WARD"/>
        <s v="SANDWELL MBC EXEC"/>
        <s v="S JAMES"/>
        <s v="EXEC DIR RE ANTHON"/>
        <s v="C BERRINGTON"/>
        <s v="B VEGHAL"/>
        <s v="N SIMPSON"/>
        <s v="SMBC EXEC DIR RE M"/>
        <s v="EX DIRECTOR RE DAV"/>
        <s v="N SMITH"/>
        <s v="M KEANE"/>
        <s v="IVAN BUTLER"/>
        <s v="J EASTWOOD"/>
        <s v="DOMINIQUE MORRISSEY-LIMB"/>
        <s v="CAMERON SANJAY"/>
        <s v="Ryan Lawley"/>
        <s v="BOBBY SPEARS"/>
        <s v="Raymond Brown"/>
        <s v="Regent Publicity Ltd"/>
        <s v="BM Limited"/>
        <s v="Regency Hampers Ltd"/>
        <s v="City Plumbing Supplies"/>
        <s v="Creative Engraving Ltd"/>
        <s v="Huws Gray Limited"/>
        <s v="Culligan UK Limited"/>
        <s v="Trade UK"/>
        <s v="Greenlab Pest Control Ltd"/>
        <s v="Brannigans Cleaning Services Ltd"/>
        <s v="SMITH H"/>
        <s v="NC Horton Personal"/>
        <s v="Marsons Property Investmends Ltd"/>
        <s v="JPS Property Ltd"/>
        <s v="Blackacres"/>
        <s v="M Aggarwal"/>
        <s v="BMCS Limited"/>
        <s v="Mandeep Kandola"/>
        <s v="Mr J Singh"/>
        <s v="Manjit Singh"/>
        <s v="Jaki Salisbury"/>
        <s v="Leisure Automatics Properties"/>
        <s v="Cheema Manjit"/>
        <s v="Richard Skyte"/>
        <s v="AVIVA"/>
        <s v="MULTIFLEET VEHICLE"/>
        <s v="UKO SERVICED OFFIC"/>
        <s v="SANDWELL EX DIRECT"/>
        <s v="T HARTLEY"/>
        <s v="A PATEL"/>
        <s v="K MIAH"/>
        <s v="A MORGAN"/>
        <s v="JHADDOCKRA-607080-10025863"/>
        <s v="JTURNER-607080-10025863"/>
        <s v="JSTONE-607080-10025863"/>
        <s v="JHADDOCK-607080-10025863"/>
        <s v="JWARD-607080-10025863"/>
        <s v="ANDREW HANDS-607080-10025863"/>
        <s v="ZHUGHES-607080-10025863"/>
        <s v="BHOULDEN-607080-10025863"/>
        <s v="ADAM PEILE"/>
      </sharedItems>
    </cacheField>
    <cacheField name="Payment Reference" uniqueList="1" numFmtId="0" sqlType="0" hierarchy="0" level="0" databaseField="1">
      <sharedItems count="0" containsInteger="1" containsMixedTypes="1" containsNumber="1" minValue="6812" maxValue="6331640014093600"/>
    </cacheField>
    <cacheField name="Money In/Out" uniqueList="1" numFmtId="0" sqlType="0" hierarchy="0" level="0" databaseField="1">
      <sharedItems count="0" containsNumber="1" containsSemiMixedTypes="0" containsString="0" minValue="-229488.59" maxValue="348905.81"/>
    </cacheField>
    <cacheField name="m" uniqueList="1" numFmtId="0" sqlType="0" hierarchy="0" level="0" databaseField="1">
      <sharedItems count="0" containsMixedTypes="1" containsNumber="1" minValue="6.08" maxValue="348905.81"/>
    </cacheField>
    <cacheField name="Balance" uniqueList="1" numFmtId="0" sqlType="0" hierarchy="0" level="0" databaseField="1">
      <sharedItems count="0" containsNumber="1" containsSemiMixedTypes="0" containsString="0" minValue="10206.45" maxValue="371896.41"/>
    </cacheField>
  </cacheFields>
</pivotCacheDefinition>
</file>

<file path=xl/pivotCache/pivotCacheRecords1.xml><?xml version="1.0" encoding="utf-8"?>
<pivotCacheRecords xmlns="http://schemas.openxmlformats.org/spreadsheetml/2006/main" count="1064">
  <r>
    <d v="2026-03-31T00:00:00"/>
    <x v="0"/>
    <s v="Outward Faster Payment"/>
    <s v="FT2609077LSX"/>
    <x v="0"/>
    <s v="Select Lifestyles"/>
    <n v="-2405"/>
    <s v=""/>
    <n v="86820.55"/>
  </r>
  <r>
    <d v="2026-03-31T00:00:00"/>
    <x v="0"/>
    <s v="Outward Faster Payment"/>
    <s v="FT26090GL8CZ"/>
    <x v="1"/>
    <s v="Inv 0790"/>
    <n v="-24"/>
    <s v=""/>
    <n v="89225.55"/>
  </r>
  <r>
    <d v="2026-03-31T00:00:00"/>
    <x v="0"/>
    <s v="Outward Faster Payment"/>
    <s v="FT26090XW8KV"/>
    <x v="2"/>
    <s v="SelectLife 36Slade"/>
    <n v="-166.67"/>
    <s v=""/>
    <n v="89249.55"/>
  </r>
  <r>
    <d v="2026-03-31T00:00:00"/>
    <x v="0"/>
    <s v="Outward Faster Payment"/>
    <s v="FT26090V34M0"/>
    <x v="3"/>
    <s v="Goodison Rent"/>
    <n v="-1200"/>
    <s v=""/>
    <n v="89416.22"/>
  </r>
  <r>
    <d v="2026-03-31T00:00:00"/>
    <x v="0"/>
    <s v="Outward Faster Payment"/>
    <s v="FT26090Q0SBL"/>
    <x v="4"/>
    <s v="Acc 521149"/>
    <n v="-68.88"/>
    <s v=""/>
    <n v="90616.22"/>
  </r>
  <r>
    <d v="2026-03-31T00:00:00"/>
    <x v="0"/>
    <s v="Outward Faster Payment"/>
    <s v="FT26090T849N"/>
    <x v="5"/>
    <s v="Select Lifestyles"/>
    <n v="-485.04"/>
    <s v=""/>
    <n v="90685.10000000001"/>
  </r>
  <r>
    <d v="2026-03-31T00:00:00"/>
    <x v="0"/>
    <s v="Outward Faster Payment"/>
    <s v="FT26090HRY6H"/>
    <x v="6"/>
    <s v="Acc SELECT"/>
    <n v="-1322.56"/>
    <s v=""/>
    <n v="91170.14"/>
  </r>
  <r>
    <d v="2026-03-31T00:00:00"/>
    <x v="0"/>
    <s v="Outward Faster Payment"/>
    <s v="FT260905MBD3"/>
    <x v="7"/>
    <s v="42001 Luke"/>
    <n v="-796.2"/>
    <s v=""/>
    <n v="92492.7"/>
  </r>
  <r>
    <d v="2026-03-31T00:00:00"/>
    <x v="0"/>
    <s v="Account to Account Transfer"/>
    <s v="FT26090QKHM2"/>
    <x v="8"/>
    <s v="CC D Stokes"/>
    <n v="-120"/>
    <s v=""/>
    <n v="93288.89999999999"/>
  </r>
  <r>
    <d v="2026-03-31T00:00:00"/>
    <x v="0"/>
    <s v="Account to Account Transfer"/>
    <s v="FT260904WGPM"/>
    <x v="9"/>
    <s v="SELECTLI"/>
    <n v="-1466.58"/>
    <s v=""/>
    <n v="93408.89999999999"/>
  </r>
  <r>
    <d v="2026-03-31T00:00:00"/>
    <x v="0"/>
    <s v="Outward Faster Payment"/>
    <s v="FT2609051RMV"/>
    <x v="10"/>
    <s v="TS22010371"/>
    <n v="-1636.61"/>
    <s v=""/>
    <n v="94875.48"/>
  </r>
  <r>
    <d v="2026-03-31T00:00:00"/>
    <x v="0"/>
    <s v="Outward Faster Payment"/>
    <s v="FT26090T5DS2"/>
    <x v="11"/>
    <n v="19219279"/>
    <n v="-1490.68"/>
    <s v=""/>
    <n v="96512.09"/>
  </r>
  <r>
    <d v="2026-03-31T00:00:00"/>
    <x v="0"/>
    <s v="Outward Faster Payment"/>
    <s v="FT26090KZ6W1"/>
    <x v="7"/>
    <s v="3666 Kian"/>
    <n v="-4500"/>
    <s v=""/>
    <n v="98002.77"/>
  </r>
  <r>
    <d v="2026-03-31T00:00:00"/>
    <x v="0"/>
    <s v="Outward Faster Payment"/>
    <s v="FT26090JZS37"/>
    <x v="3"/>
    <s v="Knipersley Rent"/>
    <n v="-1750"/>
    <s v=""/>
    <n v="102502.77"/>
  </r>
  <r>
    <d v="2026-03-31T00:00:00"/>
    <x v="0"/>
    <s v="Outward Faster Payment"/>
    <s v="FT26090NQWYP"/>
    <x v="3"/>
    <s v="Lincoln Rd Rent"/>
    <n v="-3500"/>
    <s v=""/>
    <n v="104252.77"/>
  </r>
  <r>
    <d v="2026-03-31T00:00:00"/>
    <x v="0"/>
    <s v="Outward Faster Payment"/>
    <s v="FT2609098NY6"/>
    <x v="3"/>
    <s v="Select House Rent"/>
    <n v="-12500"/>
    <s v=""/>
    <n v="107752.77"/>
  </r>
  <r>
    <d v="2026-03-31T00:00:00"/>
    <x v="0"/>
    <s v="Outward Faster Payment"/>
    <s v="FT2609048K92"/>
    <x v="12"/>
    <s v="SLCT"/>
    <n v="-30500"/>
    <s v=""/>
    <n v="120252.77"/>
  </r>
  <r>
    <d v="2026-03-31T00:00:00"/>
    <x v="0"/>
    <s v="Outward Faster Payment"/>
    <s v="FT26090GZ9HQ"/>
    <x v="13"/>
    <s v="Tesco payment"/>
    <n v="-31.8"/>
    <s v=""/>
    <n v="150752.77"/>
  </r>
  <r>
    <d v="2026-03-31T00:00:00"/>
    <x v="0"/>
    <s v="Inward Payment"/>
    <s v="FT26090T1TQD"/>
    <x v="14"/>
    <s v="WESTLEY YATES"/>
    <n v="47.5"/>
    <n v="47.5"/>
    <n v="150784.57"/>
  </r>
  <r>
    <d v="2026-03-31T00:00:00"/>
    <x v="0"/>
    <s v="Card Transaction"/>
    <s v="00001580192-20260330-1532153"/>
    <x v="15"/>
    <s v="GBR 20260326 B Q LTD EASTLEIGH"/>
    <n v="-145"/>
    <s v=""/>
    <n v="150737.07"/>
  </r>
  <r>
    <d v="2026-03-31T00:00:00"/>
    <x v="0"/>
    <s v="Card Transaction"/>
    <s v="00001580192-20260330-1532163"/>
    <x v="16"/>
    <s v="GBR 20260327 INTERFLORA BRITISH UNI SLEAFORD"/>
    <n v="-63.5"/>
    <s v=""/>
    <n v="150882.07"/>
  </r>
  <r>
    <d v="2026-03-31T00:00:00"/>
    <x v="0"/>
    <s v="Card Transaction"/>
    <s v="00001580192-20260330-1532173"/>
    <x v="17"/>
    <s v="IRL 20260328 Adobe DUBLIN"/>
    <n v="-55.41"/>
    <s v=""/>
    <n v="150945.57"/>
  </r>
  <r>
    <d v="2026-03-31T00:00:00"/>
    <x v="0"/>
    <s v="Card Transaction"/>
    <s v="00001580192-20260330-1532193"/>
    <x v="18"/>
    <s v="GBR 20260329 UBER    TRIP HELP.UBER.COM"/>
    <n v="-35.95"/>
    <s v=""/>
    <n v="151000.98"/>
  </r>
  <r>
    <d v="2026-03-31T00:00:00"/>
    <x v="0"/>
    <s v="Card Transaction"/>
    <s v="00001580192-20260330-1532183"/>
    <x v="19"/>
    <s v="GBR 20260329 Tesla Inc. West Drayton"/>
    <n v="-25.12"/>
    <s v=""/>
    <n v="151036.93"/>
  </r>
  <r>
    <d v="2026-03-31T00:00:00"/>
    <x v="0"/>
    <s v="Faster Payment SDMC"/>
    <s v="FT26090M5HJH"/>
    <x v="20"/>
    <s v="FT26090M5HJH"/>
    <n v="-757754.54"/>
    <s v=""/>
    <n v="151062.05"/>
  </r>
  <r>
    <d v="2026-03-31T00:00:00"/>
    <x v="0"/>
    <s v="Inward Payment"/>
    <s v="FT26090X9T1L"/>
    <x v="21"/>
    <s v="502869 B NOBLE"/>
    <n v="140"/>
    <n v="140"/>
    <n v="908816.59"/>
  </r>
  <r>
    <d v="2026-03-31T00:00:00"/>
    <x v="0"/>
    <s v="Inward Payment"/>
    <s v="FT260908S8HC"/>
    <x v="22"/>
    <s v="ERROLGRANT"/>
    <n v="65"/>
    <n v="65"/>
    <n v="908676.59"/>
  </r>
  <r>
    <d v="2026-03-31T00:00:00"/>
    <x v="0"/>
    <s v="Inward Payment"/>
    <s v="FT2609079VMD"/>
    <x v="23"/>
    <s v="C LAVANDER"/>
    <n v="102.51"/>
    <n v="102.51"/>
    <n v="908611.59"/>
  </r>
  <r>
    <d v="2026-03-31T00:00:00"/>
    <x v="0"/>
    <s v="Inward Payment"/>
    <s v="FT26090TX19Q"/>
    <x v="24"/>
    <s v="L HAWKINS-Utilit/S"/>
    <n v="65"/>
    <n v="65"/>
    <n v="908509.08"/>
  </r>
  <r>
    <d v="2026-03-31T00:00:00"/>
    <x v="0"/>
    <s v="Inward Payment"/>
    <s v="FT2609080JR1"/>
    <x v="25"/>
    <s v="ANTHONY MEACHIN UT"/>
    <n v="50"/>
    <n v="50"/>
    <n v="908444.08"/>
  </r>
  <r>
    <d v="2026-03-31T00:00:00"/>
    <x v="0"/>
    <s v="Inward Payment"/>
    <s v="FT260903SXJ0"/>
    <x v="24"/>
    <s v="L HAWKINS-RENT"/>
    <n v="120"/>
    <n v="120"/>
    <n v="908394.08"/>
  </r>
  <r>
    <d v="2026-03-31T00:00:00"/>
    <x v="0"/>
    <s v="Inward Payment"/>
    <s v="FT2609052JLH"/>
    <x v="26"/>
    <s v="LEIGH AMES RENT"/>
    <n v="120"/>
    <n v="120"/>
    <n v="908274.08"/>
  </r>
  <r>
    <d v="2026-03-31T00:00:00"/>
    <x v="0"/>
    <s v="Inward Payment"/>
    <s v="FT260904WNR1"/>
    <x v="27"/>
    <s v="JOHN PACE RENT"/>
    <n v="120"/>
    <n v="120"/>
    <n v="908154.08"/>
  </r>
  <r>
    <d v="2026-03-31T00:00:00"/>
    <x v="0"/>
    <s v="Direct Debit"/>
    <s v="DDC20260330239059"/>
    <x v="28"/>
    <s v="PURE CLOUD SOLS SELE01"/>
    <n v="-753.34"/>
    <s v=""/>
    <n v="908034.08"/>
  </r>
  <r>
    <d v="2026-03-31T00:00:00"/>
    <x v="0"/>
    <s v="BACS Payment Received"/>
    <s v="BACS20260330130863"/>
    <x v="29"/>
    <s v="SANDWELL MBC-601539-69624135 971830-SANDWELL MBC-&amp;--&amp;-129521 099 BACS CR SELECT LIFESTYLES"/>
    <n v="131304.4"/>
    <n v="131304.4"/>
    <n v="908787.42"/>
  </r>
  <r>
    <d v="2026-03-31T00:00:00"/>
    <x v="0"/>
    <s v="BACS Payment Received"/>
    <s v="BACS20260330102129"/>
    <x v="30"/>
    <s v="WALSALL METROPOLIT-206877-58552541 401256-WALSALL METROPOLIT-&amp;--&amp;-A H 099 BACS CR SELECT LIFESTYLES"/>
    <n v="50"/>
    <n v="50"/>
    <n v="777483.02"/>
  </r>
  <r>
    <d v="2026-03-31T00:00:00"/>
    <x v="0"/>
    <s v="BACS Payment Received"/>
    <s v="BACS20260330102130"/>
    <x v="30"/>
    <s v="WALSALL METROPOLIT-206877-58552541 401256-WALSALL METROPOLIT-&amp;--&amp;-S B 099 BACS CR SELECT LIFESTYSLES"/>
    <n v="50"/>
    <n v="50"/>
    <n v="777433.02"/>
  </r>
  <r>
    <d v="2026-03-31T00:00:00"/>
    <x v="0"/>
    <s v="BACS Payment Received"/>
    <s v="BACS20260330102131"/>
    <x v="30"/>
    <s v="WALSALL METROPOLIT-206877-58552541 401256-WALSALL METROPOLIT-&amp;--&amp;-H 099 BACS CR SELECT LIFESTYLES"/>
    <n v="50"/>
    <n v="50"/>
    <n v="777383.02"/>
  </r>
  <r>
    <d v="2026-03-31T00:00:00"/>
    <x v="0"/>
    <s v="Inward Payment"/>
    <s v="FT26090WY9N8"/>
    <x v="31"/>
    <s v="DS WEEKLY SPEND"/>
    <n v="120"/>
    <n v="120"/>
    <n v="777333.02"/>
  </r>
  <r>
    <d v="2026-03-31T00:00:00"/>
    <x v="0"/>
    <s v="Inward Payment"/>
    <s v="FT26090S7GWK"/>
    <x v="32"/>
    <s v="TREVOR KEANE"/>
    <n v="50"/>
    <n v="50"/>
    <n v="777213.02"/>
  </r>
  <r>
    <d v="2026-03-31T00:00:00"/>
    <x v="0"/>
    <s v="Inward Payment"/>
    <s v="FT26090SQ7SL"/>
    <x v="33"/>
    <s v="S L SERVICE CHARGE"/>
    <n v="50"/>
    <n v="50"/>
    <n v="777163.02"/>
  </r>
  <r>
    <d v="2026-03-31T00:00:00"/>
    <x v="0"/>
    <s v="Inward Payment"/>
    <s v="FT26090X8755"/>
    <x v="34"/>
    <s v="OLIVIAWA"/>
    <n v="380"/>
    <n v="380"/>
    <n v="777113.02"/>
  </r>
  <r>
    <d v="2026-03-30T00:00:00"/>
    <x v="1"/>
    <s v="Inward Payment"/>
    <s v="FT26089B1J81"/>
    <x v="35"/>
    <s v="FDMS 510799083"/>
    <n v="962"/>
    <n v="962"/>
    <n v="776733.02"/>
  </r>
  <r>
    <d v="2026-03-30T00:00:00"/>
    <x v="1"/>
    <s v="Inward Payment"/>
    <s v="FT26089CSSZN"/>
    <x v="36"/>
    <s v="Loan"/>
    <n v="30000"/>
    <n v="30000"/>
    <n v="775771.02"/>
  </r>
  <r>
    <d v="2026-03-30T00:00:00"/>
    <x v="1"/>
    <s v="Outward Faster Payment"/>
    <s v="FT26089ZBF0V"/>
    <x v="37"/>
    <s v="Select Lifestyles"/>
    <n v="-5000"/>
    <s v=""/>
    <n v="745771.02"/>
  </r>
  <r>
    <d v="2026-03-30T00:00:00"/>
    <x v="1"/>
    <s v="Account to Account Transfer"/>
    <s v="FT26089PMC4F"/>
    <x v="8"/>
    <s v="Transfer"/>
    <n v="-66"/>
    <s v=""/>
    <n v="750771.02"/>
  </r>
  <r>
    <d v="2026-03-30T00:00:00"/>
    <x v="1"/>
    <s v="Account to Account Transfer"/>
    <s v="FT26089M2B70"/>
    <x v="38"/>
    <s v="Transfer"/>
    <n v="653941.0600000001"/>
    <n v="653941.0600000001"/>
    <n v="750837.02"/>
  </r>
  <r>
    <d v="2026-03-30T00:00:00"/>
    <x v="1"/>
    <s v="Inward Payment"/>
    <s v="FT2608925520"/>
    <x v="39"/>
    <s v="POCKET MONEY"/>
    <n v="400"/>
    <n v="400"/>
    <n v="96895.96000000001"/>
  </r>
  <r>
    <d v="2026-03-30T00:00:00"/>
    <x v="1"/>
    <s v="Inward Payment"/>
    <s v="FT26089WK530"/>
    <x v="39"/>
    <s v="POCKET MONEY"/>
    <n v="200"/>
    <n v="200"/>
    <n v="96495.96000000001"/>
  </r>
  <r>
    <d v="2026-03-30T00:00:00"/>
    <x v="1"/>
    <s v="Card Transaction"/>
    <s v="00001580192-20260327-1521312"/>
    <x v="19"/>
    <s v="GBR 20260326 Tesla Inc. West Drayton"/>
    <n v="-18.91"/>
    <s v=""/>
    <n v="96295.96000000001"/>
  </r>
  <r>
    <d v="2026-03-30T00:00:00"/>
    <x v="1"/>
    <s v="Standing Order"/>
    <s v="FT2608941X5J"/>
    <x v="40"/>
    <s v="Penns Road Rent"/>
    <n v="-2750"/>
    <s v=""/>
    <n v="96314.87"/>
  </r>
  <r>
    <d v="2026-03-30T00:00:00"/>
    <x v="1"/>
    <s v="Standing Order"/>
    <s v="FT26089FZDSS"/>
    <x v="41"/>
    <s v="Greswold Street Re"/>
    <n v="-1925"/>
    <s v=""/>
    <n v="99064.87"/>
  </r>
  <r>
    <d v="2026-03-30T00:00:00"/>
    <x v="1"/>
    <s v="Standing Order"/>
    <s v="FT26089JG8GS"/>
    <x v="41"/>
    <s v="The Bantocks Rent"/>
    <n v="-1850"/>
    <s v=""/>
    <n v="100989.87"/>
  </r>
  <r>
    <d v="2026-03-30T00:00:00"/>
    <x v="1"/>
    <s v="Standing Order"/>
    <s v="FT260897VLHD"/>
    <x v="41"/>
    <s v="Peacock Close Rent"/>
    <n v="-1350"/>
    <s v=""/>
    <n v="102839.87"/>
  </r>
  <r>
    <d v="2026-03-30T00:00:00"/>
    <x v="1"/>
    <s v="Inward Payment"/>
    <s v="FT26089XK5T7"/>
    <x v="42"/>
    <s v="MICHAELG/UTIL/SRV"/>
    <n v="740"/>
    <n v="740"/>
    <n v="104189.87"/>
  </r>
  <r>
    <d v="2026-03-30T00:00:00"/>
    <x v="1"/>
    <s v="Inward Payment"/>
    <s v="FT26089322WS"/>
    <x v="43"/>
    <s v="MARKEY GRAY-RENT"/>
    <n v="120"/>
    <n v="120"/>
    <n v="103449.87"/>
  </r>
  <r>
    <d v="2026-03-30T00:00:00"/>
    <x v="1"/>
    <s v="Inward Payment"/>
    <s v="FT260895832S"/>
    <x v="44"/>
    <s v="KATIE PARKER RENT"/>
    <n v="6.08"/>
    <n v="6.08"/>
    <n v="103329.87"/>
  </r>
  <r>
    <d v="2026-03-30T00:00:00"/>
    <x v="1"/>
    <s v="Inward Payment"/>
    <s v="FT2608990X8T"/>
    <x v="26"/>
    <s v="LEIGH AMES UTILITI"/>
    <n v="65"/>
    <n v="65"/>
    <n v="103323.79"/>
  </r>
  <r>
    <d v="2026-03-30T00:00:00"/>
    <x v="1"/>
    <s v="Inward Payment"/>
    <s v="FT26089JDVK4"/>
    <x v="45"/>
    <s v="DAVID MORRIS RENT"/>
    <n v="95"/>
    <n v="95"/>
    <n v="103258.79"/>
  </r>
  <r>
    <d v="2026-03-30T00:00:00"/>
    <x v="1"/>
    <s v="Inward Payment"/>
    <s v="FT260897V9DN"/>
    <x v="44"/>
    <s v="KATIE PARKER VEHIC"/>
    <n v="11.96"/>
    <n v="11.96"/>
    <n v="103163.79"/>
  </r>
  <r>
    <d v="2026-03-30T00:00:00"/>
    <x v="1"/>
    <s v="Inward Payment"/>
    <s v="FT26089GP7CH"/>
    <x v="44"/>
    <s v="KATIE PARKER UTILI"/>
    <n v="65"/>
    <n v="65"/>
    <n v="103151.83"/>
  </r>
  <r>
    <d v="2026-03-30T00:00:00"/>
    <x v="1"/>
    <s v="Inward Payment"/>
    <s v="FT26089QC0NK"/>
    <x v="43"/>
    <s v="MARKER GRAY-UTILIT"/>
    <n v="65"/>
    <n v="65"/>
    <n v="103086.83"/>
  </r>
  <r>
    <d v="2026-03-30T00:00:00"/>
    <x v="1"/>
    <s v="Inward Payment"/>
    <s v="FT26089P1MY6"/>
    <x v="25"/>
    <s v="ANTHONY MEACHIN RE"/>
    <n v="95"/>
    <n v="95"/>
    <n v="103021.83"/>
  </r>
  <r>
    <d v="2026-03-30T00:00:00"/>
    <x v="1"/>
    <s v="Inward Payment"/>
    <s v="FT26089SK6LN"/>
    <x v="46"/>
    <s v="SIMON KELLY UTILIT"/>
    <n v="50"/>
    <n v="50"/>
    <n v="102926.83"/>
  </r>
  <r>
    <d v="2026-03-30T00:00:00"/>
    <x v="1"/>
    <s v="Inward Payment"/>
    <s v="FT26089859R1"/>
    <x v="45"/>
    <s v="DAVID MORRIS UTILI"/>
    <n v="50"/>
    <n v="50"/>
    <n v="102876.83"/>
  </r>
  <r>
    <d v="2026-03-30T00:00:00"/>
    <x v="1"/>
    <s v="Inward Payment"/>
    <s v="FT26089LW103"/>
    <x v="47"/>
    <s v="GEMMA BAKER UTILIT"/>
    <n v="65"/>
    <n v="65"/>
    <n v="102826.83"/>
  </r>
  <r>
    <d v="2026-03-30T00:00:00"/>
    <x v="1"/>
    <s v="Inward Payment"/>
    <s v="FT26089G93N4"/>
    <x v="48"/>
    <s v="CHRISTOPHER MILLIN"/>
    <n v="50"/>
    <n v="50"/>
    <n v="102761.83"/>
  </r>
  <r>
    <d v="2026-03-30T00:00:00"/>
    <x v="1"/>
    <s v="Inward Payment"/>
    <s v="FT26089V1T1Y"/>
    <x v="49"/>
    <s v="PAUL CAMPBELL HBSF"/>
    <n v="50"/>
    <n v="50"/>
    <n v="102711.83"/>
  </r>
  <r>
    <d v="2026-03-30T00:00:00"/>
    <x v="1"/>
    <s v="Inward Payment"/>
    <s v="FT26089Y6XWD"/>
    <x v="49"/>
    <s v="PAUL CAMPBELL"/>
    <n v="50"/>
    <n v="50"/>
    <n v="102661.83"/>
  </r>
  <r>
    <d v="2026-03-30T00:00:00"/>
    <x v="1"/>
    <s v="Inward Payment"/>
    <s v="FT26089G5ZMM"/>
    <x v="27"/>
    <n v="38252"/>
    <n v="65"/>
    <n v="65"/>
    <n v="102611.83"/>
  </r>
  <r>
    <d v="2026-03-30T00:00:00"/>
    <x v="1"/>
    <s v="Inward Payment"/>
    <s v="FT260895NT7R"/>
    <x v="46"/>
    <s v="SIMON KELLY WEEKLY"/>
    <n v="95"/>
    <n v="95"/>
    <n v="102546.83"/>
  </r>
  <r>
    <d v="2026-03-30T00:00:00"/>
    <x v="1"/>
    <s v="Inward Payment"/>
    <s v="FT26089HWZBK"/>
    <x v="50"/>
    <s v="ADAM ASTLEY"/>
    <n v="50"/>
    <n v="50"/>
    <n v="102451.83"/>
  </r>
  <r>
    <d v="2026-03-30T00:00:00"/>
    <x v="1"/>
    <s v="Direct Debit"/>
    <s v="DDC202603272107390"/>
    <x v="51"/>
    <s v="FRANCOTYP POSTALIA T053359"/>
    <n v="-100"/>
    <s v=""/>
    <n v="102401.83"/>
  </r>
  <r>
    <d v="2026-03-30T00:00:00"/>
    <x v="1"/>
    <s v="Direct Debit"/>
    <s v="DDC20260327278798"/>
    <x v="52"/>
    <s v="FEDERAL CAPITAL JAN3FCP-FC605393"/>
    <n v="-11918.5"/>
    <s v=""/>
    <n v="102501.83"/>
  </r>
  <r>
    <d v="2026-03-30T00:00:00"/>
    <x v="1"/>
    <s v="Direct Debit"/>
    <s v="DDC20260327272094"/>
    <x v="53"/>
    <s v="WOLVERHAMPTON CC 16036010  /2603232"/>
    <n v="-713.7"/>
    <s v=""/>
    <n v="114420.33"/>
  </r>
  <r>
    <d v="2026-03-30T00:00:00"/>
    <x v="1"/>
    <s v="Direct Debit"/>
    <s v="DDC20260327271991"/>
    <x v="54"/>
    <s v="SANDWELL MBCCTAX 81735626"/>
    <n v="-119"/>
    <s v=""/>
    <n v="115134.03"/>
  </r>
  <r>
    <d v="2026-03-30T00:00:00"/>
    <x v="1"/>
    <s v="Inward Payment"/>
    <s v="FT260898GRJT"/>
    <x v="55"/>
    <s v="TOBY PALETHORPE"/>
    <n v="100"/>
    <n v="100"/>
    <n v="115253.03"/>
  </r>
  <r>
    <d v="2026-03-30T00:00:00"/>
    <x v="1"/>
    <s v="BACS Payment Received"/>
    <s v="BACS20260327117519"/>
    <x v="56"/>
    <s v="B-HAM CITY COUNCIL-200790-70489166 972201-B-HAM CITY COUNCIL-&amp;--&amp;-2024758 099 BACS CR SELECT LIFESTYLES"/>
    <n v="59419.08"/>
    <n v="59419.08"/>
    <n v="115153.03"/>
  </r>
  <r>
    <d v="2026-03-30T00:00:00"/>
    <x v="1"/>
    <s v="BACS Payment Received"/>
    <s v="BACS20260327101027"/>
    <x v="30"/>
    <s v="WALSALL METROPOLIT-206877-58552541 401256-WALSALL METROPOLIT-&amp;--&amp;-LRG WEEKLY FOOD 099 BACS CR SELECT LIFESTYLES"/>
    <n v="50"/>
    <n v="50"/>
    <n v="55733.95"/>
  </r>
  <r>
    <d v="2026-03-30T00:00:00"/>
    <x v="1"/>
    <s v="BACS Payment Received"/>
    <s v="BACS20260327101030"/>
    <x v="30"/>
    <s v="WALSALL METROPOLIT-206877-58552541 401256-WALSALL METROPOLIT-&amp;--&amp;-S P      S 099 BACS CR SELECT LIFESTYLES"/>
    <n v="50"/>
    <n v="50"/>
    <n v="55683.95"/>
  </r>
  <r>
    <d v="2026-03-30T00:00:00"/>
    <x v="1"/>
    <s v="BACS Payment Received"/>
    <s v="BACS20260327101034"/>
    <x v="30"/>
    <s v="WALSALL METROPOLIT-206877-58552541 401256-WALSALL METROPOLIT-&amp;--&amp;-S HOLMES UTILITY 099 BACS CR SELECT LIFESTYLES"/>
    <n v="50"/>
    <n v="50"/>
    <n v="55633.95"/>
  </r>
  <r>
    <d v="2026-03-30T00:00:00"/>
    <x v="1"/>
    <s v="BACS Payment Received"/>
    <s v="BACS20260327101029"/>
    <x v="30"/>
    <s v="WALSALL METROPOLIT-206877-58552541 401256-WALSALL METROPOLIT-&amp;--&amp;-LEO RONALD GUY 099 BACS CR SELECT LIFESTYLES"/>
    <n v="65"/>
    <n v="65"/>
    <n v="55583.95"/>
  </r>
  <r>
    <d v="2026-03-30T00:00:00"/>
    <x v="1"/>
    <s v="BACS Payment Received"/>
    <s v="BACS20260327101026"/>
    <x v="30"/>
    <s v="WALSALL METROPOLIT-206877-58552541 401256-WALSALL METROPOLIT-&amp;--&amp;-RBATE HB TOP UP 099 BACS CR SELECT LIFESTYLES"/>
    <n v="120"/>
    <n v="120"/>
    <n v="55518.95"/>
  </r>
  <r>
    <d v="2026-03-30T00:00:00"/>
    <x v="1"/>
    <s v="BACS Payment Received"/>
    <s v="BACS20260327101033"/>
    <x v="30"/>
    <s v="WALSALL METROPOLIT-206877-58552541 401256-WALSALL METROPOLIT-&amp;--&amp;-TIA BRYON 099 BACS CR LIFESTYLES"/>
    <n v="120"/>
    <n v="120"/>
    <n v="55398.95"/>
  </r>
  <r>
    <d v="2026-03-30T00:00:00"/>
    <x v="1"/>
    <s v="BACS Payment Received"/>
    <s v="BACS20260327101037"/>
    <x v="30"/>
    <s v="WALSALL METROPOLIT-206877-58552541 401256-WALSALL METROPOLIT-&amp;--&amp;-L R GUY RENT 099 BACS CR SELECT LIFESTYLES"/>
    <n v="120"/>
    <n v="120"/>
    <n v="55278.95"/>
  </r>
  <r>
    <d v="2026-03-30T00:00:00"/>
    <x v="1"/>
    <s v="BACS Payment Received"/>
    <s v="BACS20260327101031"/>
    <x v="30"/>
    <s v="WALSALL METROPOLIT-206877-58552541 401256-WALSALL METROPOLIT-&amp;--&amp;-KWILEMAN RENT 099 BACS CR SELECT LIFESTYLES"/>
    <n v="145"/>
    <n v="145"/>
    <n v="55158.95"/>
  </r>
  <r>
    <d v="2026-03-30T00:00:00"/>
    <x v="1"/>
    <s v="BACS Payment Received"/>
    <s v="BACS20260327101035"/>
    <x v="30"/>
    <s v="WALSALL METROPOLIT-206877-58552541 401256-WALSALL METROPOLIT-&amp;--&amp;-PROGERS RENT/UTIL 099 BACS CR SELECT LIFESTYLES"/>
    <n v="145"/>
    <n v="145"/>
    <n v="55013.95"/>
  </r>
  <r>
    <d v="2026-03-30T00:00:00"/>
    <x v="1"/>
    <s v="BACS Payment Received"/>
    <s v="BACS20260327101036"/>
    <x v="30"/>
    <s v="WALSALL METROPOLIT-206877-58552541 401256-WALSALL METROPOLIT-&amp;--&amp;-DSWAIN RENT &amp; SC 099 BACS CR SELECT LIFESTYLES"/>
    <n v="185"/>
    <n v="185"/>
    <n v="54868.95"/>
  </r>
  <r>
    <d v="2026-03-30T00:00:00"/>
    <x v="1"/>
    <s v="BACS Payment Received"/>
    <s v="BACS20260327138685"/>
    <x v="57"/>
    <s v="WOLVERHAMPTON C C-560069-44470320 973636-WOLVERHAMPTON C C-&amp;--&amp;-3563 099 BACS CR SELECT  LIFESTYLES"/>
    <n v="42.3"/>
    <n v="42.3"/>
    <n v="54683.95"/>
  </r>
  <r>
    <d v="2026-03-30T00:00:00"/>
    <x v="1"/>
    <s v="BACS Payment Received"/>
    <s v="BACS20260327138686"/>
    <x v="57"/>
    <s v="WOLVERHAMPTON C C-560069-44470320 973636-WOLVERHAMPTON C C-&amp;--&amp;-3591 099 BACS CR SELECT  LIFESTYLES"/>
    <n v="42.3"/>
    <n v="42.3"/>
    <n v="54641.65"/>
  </r>
  <r>
    <d v="2026-03-30T00:00:00"/>
    <x v="1"/>
    <s v="BACS Payment Received"/>
    <s v="BACS20260327138712"/>
    <x v="58"/>
    <s v="SANDWELL MBC  BEN-601539-69624151 973200-SANDWELL MBC  BEN-&amp;--&amp;-17509 099 BACS CR SELECT LIFESTYLES"/>
    <n v="380"/>
    <n v="380"/>
    <n v="54599.35"/>
  </r>
  <r>
    <d v="2026-03-30T00:00:00"/>
    <x v="1"/>
    <s v="BACS Payment Received"/>
    <s v="BACS20260327138683"/>
    <x v="57"/>
    <s v="WOLVERHAMPTON C C-560069-44470320 973636-WOLVERHAMPTON C C-&amp;--&amp;-6738 099 BACS CR SELECT LIFESTYLES"/>
    <n v="835.6799999999999"/>
    <n v="835.6799999999999"/>
    <n v="54219.35"/>
  </r>
  <r>
    <d v="2026-03-30T00:00:00"/>
    <x v="1"/>
    <s v="BACS Payment Received"/>
    <s v="BACS20260327138694"/>
    <x v="59"/>
    <s v="WOLVERHAMPTON CC-560069-44470320 972860-WOLVERHAMPTON CC-&amp;--&amp;-0 099 BACS CR SELECT LIFESTYLES"/>
    <n v="3437.6"/>
    <n v="3437.6"/>
    <n v="53383.67"/>
  </r>
  <r>
    <d v="2026-03-30T00:00:00"/>
    <x v="1"/>
    <s v="BACS Payment Received"/>
    <s v="BACS20260327133297"/>
    <x v="60"/>
    <s v="JDOLEMAN-607080-10025863 278961-JDOLEMAN-&amp;--&amp;-000000003688975203 099 BACS CR JAMIE DOLEMAN"/>
    <n v="411.67"/>
    <n v="411.67"/>
    <n v="49946.07"/>
  </r>
  <r>
    <d v="2026-03-30T00:00:00"/>
    <x v="1"/>
    <s v="BACS Payment Received"/>
    <s v="BACS20260327133516"/>
    <x v="61"/>
    <s v="KMIAH-607080-10025863 278961-KMIAH-&amp;--&amp;-000000003688992680 099 BACS CR KAMAL MIAH"/>
    <n v="411.67"/>
    <n v="411.67"/>
    <n v="49534.4"/>
  </r>
  <r>
    <d v="2026-03-30T00:00:00"/>
    <x v="1"/>
    <s v="Inward Payment"/>
    <s v="FT26089D94SF"/>
    <x v="62"/>
    <s v="Ebrahim Perager"/>
    <n v="25"/>
    <n v="25"/>
    <n v="49122.73"/>
  </r>
  <r>
    <d v="2026-03-30T00:00:00"/>
    <x v="1"/>
    <s v="Inward Payment"/>
    <s v="FT26089G46GF"/>
    <x v="63"/>
    <s v="RYAN LAWLEY"/>
    <n v="95"/>
    <n v="95"/>
    <n v="49097.73"/>
  </r>
  <r>
    <d v="2026-03-30T00:00:00"/>
    <x v="1"/>
    <s v="Inward Payment"/>
    <s v="FT260892MMYV"/>
    <x v="64"/>
    <s v="JAMES COOPER RENT"/>
    <n v="95"/>
    <n v="95"/>
    <n v="49002.73"/>
  </r>
  <r>
    <d v="2026-03-30T00:00:00"/>
    <x v="1"/>
    <s v="Inward Payment"/>
    <s v="FT26089TC05W"/>
    <x v="65"/>
    <s v="JOHN UPCOTT"/>
    <n v="145"/>
    <n v="145"/>
    <n v="48907.73"/>
  </r>
  <r>
    <d v="2026-03-30T00:00:00"/>
    <x v="1"/>
    <s v="Inward Payment"/>
    <s v="FT26089SW905"/>
    <x v="64"/>
    <s v="J COOPER SC"/>
    <n v="50"/>
    <n v="50"/>
    <n v="48762.73"/>
  </r>
  <r>
    <d v="2026-03-30T00:00:00"/>
    <x v="1"/>
    <s v="Inward Payment"/>
    <s v="FT26089M8FM2"/>
    <x v="66"/>
    <s v="LUKE BAYLISS"/>
    <n v="359.85"/>
    <n v="359.85"/>
    <n v="48712.73"/>
  </r>
  <r>
    <d v="2026-03-30T00:00:00"/>
    <x v="1"/>
    <s v="Inward Payment"/>
    <s v="FT26089H4DTR"/>
    <x v="67"/>
    <s v="TARENBIR CHEEMA"/>
    <n v="736.0599999999999"/>
    <n v="736.0599999999999"/>
    <n v="48352.88"/>
  </r>
  <r>
    <d v="2026-03-30T00:00:00"/>
    <x v="1"/>
    <s v="Inward Payment"/>
    <s v="FT26089T42CZ"/>
    <x v="68"/>
    <s v="PETER HARRIS"/>
    <n v="216.67"/>
    <n v="216.67"/>
    <n v="47616.82"/>
  </r>
  <r>
    <d v="2026-03-30T00:00:00"/>
    <x v="1"/>
    <s v="Inward Payment"/>
    <s v="FT26089RR43H"/>
    <x v="34"/>
    <s v="OLIVIA U WALKER"/>
    <n v="180"/>
    <n v="180"/>
    <n v="47400.15"/>
  </r>
  <r>
    <d v="2026-03-30T00:00:00"/>
    <x v="1"/>
    <s v="Inward Payment"/>
    <s v="FT26089XKQFF"/>
    <x v="69"/>
    <s v="ZACHARY J HUGHES"/>
    <n v="50"/>
    <n v="50"/>
    <n v="47220.15"/>
  </r>
  <r>
    <d v="2026-03-30T00:00:00"/>
    <x v="1"/>
    <s v="Inward Payment"/>
    <s v="FT26089TWQCS"/>
    <x v="70"/>
    <s v="SERVICE CHARGE PW"/>
    <n v="50"/>
    <n v="50"/>
    <n v="47170.15"/>
  </r>
  <r>
    <d v="2026-03-30T00:00:00"/>
    <x v="1"/>
    <s v="Inward Payment"/>
    <s v="FT26089PXVTB"/>
    <x v="71"/>
    <s v="DANIEL MEHMI"/>
    <n v="95"/>
    <n v="95"/>
    <n v="47120.15"/>
  </r>
  <r>
    <d v="2026-03-30T00:00:00"/>
    <x v="1"/>
    <s v="Inward Payment"/>
    <s v="FT26089HMH3Z"/>
    <x v="72"/>
    <s v="AMY ELWELL"/>
    <n v="50"/>
    <n v="50"/>
    <n v="47025.15"/>
  </r>
  <r>
    <d v="2026-03-30T00:00:00"/>
    <x v="1"/>
    <s v="Inward Payment"/>
    <s v="FT260892W0LP"/>
    <x v="73"/>
    <s v="FOOD SHOPPING"/>
    <n v="50"/>
    <n v="50"/>
    <n v="46975.15"/>
  </r>
  <r>
    <d v="2026-03-30T00:00:00"/>
    <x v="1"/>
    <s v="Inward Payment"/>
    <s v="FT26089BFT63"/>
    <x v="74"/>
    <s v="DAVID PILLINGER"/>
    <n v="65"/>
    <n v="65"/>
    <n v="46925.15"/>
  </r>
  <r>
    <d v="2026-03-30T00:00:00"/>
    <x v="1"/>
    <s v="Inward Payment"/>
    <s v="FT26089TMDKY"/>
    <x v="75"/>
    <s v="MRS M WOLVERSON"/>
    <n v="6.08"/>
    <n v="6.08"/>
    <n v="46860.15"/>
  </r>
  <r>
    <d v="2026-03-30T00:00:00"/>
    <x v="1"/>
    <s v="Inward Payment"/>
    <s v="FT26089GBSSW"/>
    <x v="74"/>
    <s v="DPILLINGER TRANSP"/>
    <n v="11.96"/>
    <n v="11.96"/>
    <n v="46854.07"/>
  </r>
  <r>
    <d v="2026-03-27T00:00:00"/>
    <x v="2"/>
    <s v="Transaction Charges"/>
    <n v="39565854"/>
    <x v="76"/>
    <s v="Transaction Charges"/>
    <n v="-559.25"/>
    <s v=""/>
    <n v="46842.11"/>
  </r>
  <r>
    <d v="2026-03-30T00:00:00"/>
    <x v="1"/>
    <s v="Inward Payment"/>
    <s v="FT26089T6SQH"/>
    <x v="77"/>
    <s v="GARY EDWARDS"/>
    <n v="50"/>
    <n v="50"/>
    <n v="47401.36"/>
  </r>
  <r>
    <d v="2026-03-30T00:00:00"/>
    <x v="1"/>
    <s v="Inward Payment"/>
    <s v="FT2608990FTY"/>
    <x v="78"/>
    <s v="DAVID SEABRIGHT"/>
    <n v="120"/>
    <n v="120"/>
    <n v="47351.36"/>
  </r>
  <r>
    <d v="2026-03-30T00:00:00"/>
    <x v="1"/>
    <s v="Inward Payment"/>
    <s v="FT26089Q3KYZ"/>
    <x v="79"/>
    <s v="ANTHONY FRANCE"/>
    <n v="50"/>
    <n v="50"/>
    <n v="47231.36"/>
  </r>
  <r>
    <d v="2026-03-30T00:00:00"/>
    <x v="1"/>
    <s v="Inward Payment"/>
    <s v="FT26089WCF9C"/>
    <x v="80"/>
    <s v="LOUISE ROBERTS"/>
    <n v="95"/>
    <n v="95"/>
    <n v="47181.36"/>
  </r>
  <r>
    <d v="2026-03-30T00:00:00"/>
    <x v="1"/>
    <s v="Inward Payment"/>
    <s v="FT260893F24W"/>
    <x v="81"/>
    <s v="LOUISE ROBERTS"/>
    <n v="50"/>
    <n v="50"/>
    <n v="47086.36"/>
  </r>
  <r>
    <d v="2026-03-30T00:00:00"/>
    <x v="1"/>
    <s v="Inward Payment"/>
    <s v="FT26089ZPZV6"/>
    <x v="82"/>
    <s v="LAUREN SMITH"/>
    <n v="150"/>
    <n v="150"/>
    <n v="47036.36"/>
  </r>
  <r>
    <d v="2026-03-30T00:00:00"/>
    <x v="1"/>
    <s v="Inward Payment"/>
    <s v="FT26089362ZY"/>
    <x v="83"/>
    <s v="A FRANCE - RENT"/>
    <n v="95"/>
    <n v="95"/>
    <n v="46886.36"/>
  </r>
  <r>
    <d v="2026-03-30T00:00:00"/>
    <x v="1"/>
    <s v="Inward Payment"/>
    <s v="FT26089SMY28"/>
    <x v="84"/>
    <s v="D Limb Utilities"/>
    <n v="216.66"/>
    <n v="216.66"/>
    <n v="46791.36"/>
  </r>
  <r>
    <d v="2026-03-30T00:00:00"/>
    <x v="1"/>
    <s v="Inward Payment"/>
    <s v="FT260898ZBTV"/>
    <x v="85"/>
    <s v="JAMES EASTWOOD"/>
    <n v="50"/>
    <n v="50"/>
    <n v="46574.7"/>
  </r>
  <r>
    <d v="2026-03-30T00:00:00"/>
    <x v="1"/>
    <s v="Inward Payment"/>
    <s v="FT26089D2Y10"/>
    <x v="86"/>
    <s v="RENT NICOLE S"/>
    <n v="411.67"/>
    <n v="411.67"/>
    <n v="46524.7"/>
  </r>
  <r>
    <d v="2026-03-30T00:00:00"/>
    <x v="1"/>
    <s v="Inward Payment"/>
    <s v="FT260895S1LL"/>
    <x v="87"/>
    <s v="select Utility"/>
    <n v="50"/>
    <n v="50"/>
    <n v="46113.03"/>
  </r>
  <r>
    <d v="2026-03-30T00:00:00"/>
    <x v="1"/>
    <s v="Inward Payment"/>
    <s v="FT260891TNWZ"/>
    <x v="63"/>
    <s v="RYAN LAWLEY"/>
    <n v="50"/>
    <n v="50"/>
    <n v="46063.03"/>
  </r>
  <r>
    <d v="2026-03-30T00:00:00"/>
    <x v="1"/>
    <s v="Inward Payment"/>
    <s v="FT26089B9D9H"/>
    <x v="88"/>
    <s v="SHEYLLA"/>
    <n v="120"/>
    <n v="120"/>
    <n v="46013.03"/>
  </r>
  <r>
    <d v="2026-03-27T00:00:00"/>
    <x v="2"/>
    <s v="Inward Payment"/>
    <s v="FT26086YPGY4"/>
    <x v="89"/>
    <s v="KIERON WILSON CASH"/>
    <n v="200"/>
    <n v="200"/>
    <n v="45893.03"/>
  </r>
  <r>
    <d v="2026-03-27T00:00:00"/>
    <x v="2"/>
    <s v="Inward Payment"/>
    <s v="FT260860GYYF"/>
    <x v="89"/>
    <s v="KIERONWI"/>
    <n v="332.84"/>
    <n v="332.84"/>
    <n v="45693.03"/>
  </r>
  <r>
    <d v="2026-03-27T00:00:00"/>
    <x v="2"/>
    <s v="Inward Payment"/>
    <s v="FT26086CWN56"/>
    <x v="90"/>
    <s v="C SKELDON"/>
    <n v="20"/>
    <n v="20"/>
    <n v="45360.19"/>
  </r>
  <r>
    <d v="2026-03-27T00:00:00"/>
    <x v="3"/>
    <s v="Inward Payment"/>
    <s v="FT2608690Y8S"/>
    <x v="91"/>
    <s v="BRANLUCASSERVICE"/>
    <n v="50"/>
    <n v="50"/>
    <n v="45340.19"/>
  </r>
  <r>
    <d v="2026-03-27T00:00:00"/>
    <x v="3"/>
    <s v="Account to Account Transfer"/>
    <s v="FT26086643VS"/>
    <x v="8"/>
    <s v="CC KH/YD"/>
    <n v="-500"/>
    <s v=""/>
    <n v="45290.19"/>
  </r>
  <r>
    <d v="2026-03-27T00:00:00"/>
    <x v="3"/>
    <s v="Inward Payment"/>
    <s v="FT26086MZ1PR"/>
    <x v="92"/>
    <s v="WEEKLY RENT PAUL B"/>
    <n v="95"/>
    <n v="95"/>
    <n v="45790.19"/>
  </r>
  <r>
    <d v="2026-03-27T00:00:00"/>
    <x v="3"/>
    <s v="Inward Payment"/>
    <s v="FT26086ZYTP7"/>
    <x v="92"/>
    <s v="PAUL BATSON WKLY U"/>
    <n v="50"/>
    <n v="50"/>
    <n v="45695.19"/>
  </r>
  <r>
    <d v="2026-03-27T00:00:00"/>
    <x v="3"/>
    <s v="Standing Order"/>
    <s v="FT26086Z5SHM"/>
    <x v="93"/>
    <s v="56 Lea Rd Rent"/>
    <n v="-2400"/>
    <s v=""/>
    <n v="45645.19"/>
  </r>
  <r>
    <d v="2026-03-27T00:00:00"/>
    <x v="3"/>
    <s v="Outward Faster Payment"/>
    <s v="FT26085F3J9W"/>
    <x v="94"/>
    <s v="Select Lifestyles"/>
    <n v="-792.5"/>
    <s v=""/>
    <n v="48045.19"/>
  </r>
  <r>
    <d v="2026-03-27T00:00:00"/>
    <x v="3"/>
    <s v="Outward Faster Payment"/>
    <s v="FT26085YSH1S"/>
    <x v="95"/>
    <s v="INV 2793"/>
    <n v="-780"/>
    <s v=""/>
    <n v="48837.69"/>
  </r>
  <r>
    <d v="2026-03-27T00:00:00"/>
    <x v="3"/>
    <s v="Outward Faster Payment"/>
    <s v="FT2608571F3B"/>
    <x v="96"/>
    <s v="SEL001"/>
    <n v="-414"/>
    <s v=""/>
    <n v="49617.69"/>
  </r>
  <r>
    <d v="2026-03-27T00:00:00"/>
    <x v="3"/>
    <s v="Inward Payment"/>
    <s v="FT26086VZL8W"/>
    <x v="97"/>
    <s v="BJORN CAMPBELL"/>
    <n v="216.67"/>
    <n v="216.67"/>
    <n v="50031.69"/>
  </r>
  <r>
    <d v="2026-03-27T00:00:00"/>
    <x v="3"/>
    <s v="Inward Payment"/>
    <s v="FT26086CTH5X"/>
    <x v="64"/>
    <s v="REEHAN SHAMREZ"/>
    <n v="40"/>
    <n v="40"/>
    <n v="49815.02"/>
  </r>
  <r>
    <d v="2026-03-27T00:00:00"/>
    <x v="3"/>
    <s v="Direct Debit"/>
    <s v="DDC20260326228978"/>
    <x v="98"/>
    <s v="SKY DIGITAL 00625083842454"/>
    <n v="-163.96"/>
    <s v=""/>
    <n v="49775.02"/>
  </r>
  <r>
    <d v="2026-03-27T00:00:00"/>
    <x v="3"/>
    <s v="Direct Debit"/>
    <s v="DDC20260326201418"/>
    <x v="99"/>
    <s v="BIZLEND LTD GBP AC BIZLEND4444"/>
    <n v="-5625"/>
    <s v=""/>
    <n v="49938.98"/>
  </r>
  <r>
    <d v="2026-03-27T00:00:00"/>
    <x v="3"/>
    <s v="Direct Debit"/>
    <s v="DDC20260326222092"/>
    <x v="100"/>
    <s v="MBFIN  S0BN24NYC01 S0BN24NYC014068984"/>
    <n v="-703.37"/>
    <s v=""/>
    <n v="55563.98"/>
  </r>
  <r>
    <d v="2026-03-27T00:00:00"/>
    <x v="3"/>
    <s v="Direct Debit"/>
    <s v="DDC20260326223501"/>
    <x v="101"/>
    <s v="BRITISH GAS BUSINE 604100248301024000"/>
    <n v="-86"/>
    <s v=""/>
    <n v="56267.35"/>
  </r>
  <r>
    <d v="2026-03-27T00:00:00"/>
    <x v="3"/>
    <s v="Inward Payment"/>
    <s v="FT26086Q54N0"/>
    <x v="102"/>
    <s v="D WOODHALL"/>
    <n v="45"/>
    <n v="45"/>
    <n v="56353.35"/>
  </r>
  <r>
    <d v="2026-03-27T00:00:00"/>
    <x v="3"/>
    <s v="Inward Payment"/>
    <s v="FT26086J58BG"/>
    <x v="75"/>
    <s v="ANGELA WOLVERSON"/>
    <n v="65"/>
    <n v="65"/>
    <n v="56308.35"/>
  </r>
  <r>
    <d v="2026-03-27T00:00:00"/>
    <x v="3"/>
    <s v="BACS Payment Received"/>
    <s v="BACS20260326102263"/>
    <x v="30"/>
    <s v="WALSALL METROPOLIT-206877-58552541 401256-WALSALL METROPOLIT-&amp;--&amp;-N SMITH SC 099 BACS CR SELECT LIFESTYLES"/>
    <n v="50"/>
    <n v="50"/>
    <n v="56243.35"/>
  </r>
  <r>
    <d v="2026-03-27T00:00:00"/>
    <x v="3"/>
    <s v="BACS Payment Received"/>
    <s v="BACS20260326102258"/>
    <x v="30"/>
    <s v="WALSALL METROPOLIT-206877-58552541 401256-WALSALL METROPOLIT-&amp;--&amp;-S HOLMES UTILITY 099 BACS CR SELECT LIFESTYLES"/>
    <n v="95"/>
    <n v="95"/>
    <n v="56193.35"/>
  </r>
  <r>
    <d v="2026-03-27T00:00:00"/>
    <x v="3"/>
    <s v="BACS Payment Received"/>
    <s v="BACS20260326102260"/>
    <x v="30"/>
    <s v="WALSALL METROPOLIT-206877-58552541 401256-WALSALL METROPOLIT-&amp;--&amp;-NM SMITH RENT 099 BACS CR SELECT LIFESTYLES"/>
    <n v="95"/>
    <n v="95"/>
    <n v="56098.35"/>
  </r>
  <r>
    <d v="2026-03-27T00:00:00"/>
    <x v="3"/>
    <s v="BACS Payment Received"/>
    <s v="BACS20260326102261"/>
    <x v="30"/>
    <s v="WALSALL METROPOLIT-206877-58552541 401256-WALSALL METROPOLIT-&amp;--&amp;-S        R 099 BACS CR SELECT LIFESTYLES"/>
    <n v="95"/>
    <n v="95"/>
    <n v="56003.35"/>
  </r>
  <r>
    <d v="2026-03-27T00:00:00"/>
    <x v="3"/>
    <s v="BACS Payment Received"/>
    <s v="BACS20260326102262"/>
    <x v="30"/>
    <s v="WALSALL METROPOLIT-206877-58552541 401256-WALSALL METROPOLIT-&amp;--&amp;-S B     W     R 099 BACS CR SELECT LIFESTYLES"/>
    <n v="95"/>
    <n v="95"/>
    <n v="55908.35"/>
  </r>
  <r>
    <d v="2026-03-27T00:00:00"/>
    <x v="3"/>
    <s v="BACS Payment Received"/>
    <s v="BACS20260326129477"/>
    <x v="103"/>
    <s v="KBREAKWELL-607080-10025863 278961-KBREAKWELL-&amp;--&amp;-000000003684972485 099 BACS CR KILE BREAKWELL"/>
    <n v="411.67"/>
    <n v="411.67"/>
    <n v="55813.35"/>
  </r>
  <r>
    <d v="2026-03-27T00:00:00"/>
    <x v="3"/>
    <s v="BACS Payment Received"/>
    <s v="BACS20260326129706"/>
    <x v="104"/>
    <s v="KATELYNNE-607080-10025863 278961-KATELYNNE-&amp;--&amp;-000000003684703010 099 BACS CR KATE-LYNNE ENGLISH"/>
    <n v="411.67"/>
    <n v="411.67"/>
    <n v="55401.68"/>
  </r>
  <r>
    <d v="2026-03-27T00:00:00"/>
    <x v="3"/>
    <s v="BACS Payment Received"/>
    <s v="BACS20260326130780"/>
    <x v="105"/>
    <s v="G SPRIGGS-607080-10025863 278961-G SPRIGGS-&amp;--&amp;-000000003684960083 099 BACS CR GEORGE SPRIGGS"/>
    <n v="411.67"/>
    <n v="411.67"/>
    <n v="54990.01"/>
  </r>
  <r>
    <d v="2026-03-27T00:00:00"/>
    <x v="3"/>
    <s v="BACS Payment Received"/>
    <s v="BACS20260326131695"/>
    <x v="106"/>
    <s v="BCAMPBELL-607080-10025863 278961-BCAMPBELL-&amp;--&amp;-000000003684468065 099 BACS CR BJORN CAMPBELL"/>
    <n v="411.67"/>
    <n v="411.67"/>
    <n v="54578.34"/>
  </r>
  <r>
    <d v="2026-03-27T00:00:00"/>
    <x v="3"/>
    <s v="BACS Payment Received"/>
    <s v="BACS20260326129611"/>
    <x v="107"/>
    <s v="WSKYTE-607080-10025863 278961-WSKYTE-&amp;--&amp;-000000003684730058 099 BACS CR WILLIAM SKYTE"/>
    <n v="495"/>
    <n v="495"/>
    <n v="54166.67"/>
  </r>
  <r>
    <d v="2026-03-27T00:00:00"/>
    <x v="3"/>
    <s v="BACS Payment Received"/>
    <s v="BACS20260326131640"/>
    <x v="108"/>
    <s v="DSTOKES-607080-10025863 278961-DSTOKES-&amp;--&amp;-000000003684645613 099 BACS CR DANIEL STOKES"/>
    <n v="495"/>
    <n v="495"/>
    <n v="53671.67"/>
  </r>
  <r>
    <d v="2026-03-27T00:00:00"/>
    <x v="3"/>
    <s v="BACS Payment Received"/>
    <s v="BACS20260326131698"/>
    <x v="109"/>
    <s v="EPERAGER-607080-10025863 278961-EPERAGER-&amp;--&amp;-000000003684464397 099 BACS CR EBRAHIM PERAGER"/>
    <n v="495"/>
    <n v="495"/>
    <n v="53176.67"/>
  </r>
  <r>
    <d v="2026-03-27T00:00:00"/>
    <x v="3"/>
    <s v="Inward Payment"/>
    <s v="FT26086DQX8W"/>
    <x v="110"/>
    <s v="R DAWSON RENT"/>
    <n v="50"/>
    <n v="50"/>
    <n v="52681.67"/>
  </r>
  <r>
    <d v="2026-03-27T00:00:00"/>
    <x v="3"/>
    <s v="Inward Payment"/>
    <s v="FT26086Y8S41"/>
    <x v="111"/>
    <s v="CHARANJIT DHILLON"/>
    <n v="480"/>
    <n v="480"/>
    <n v="52631.67"/>
  </r>
  <r>
    <d v="2026-03-27T00:00:00"/>
    <x v="3"/>
    <s v="Inward Payment"/>
    <s v="FT26086GV6P0"/>
    <x v="112"/>
    <s v="Kia Harvey-Utiliti"/>
    <n v="780"/>
    <n v="780"/>
    <n v="52151.67"/>
  </r>
  <r>
    <d v="2026-03-26T00:00:00"/>
    <x v="4"/>
    <s v="Inward Payment"/>
    <s v="FT26085K6588"/>
    <x v="113"/>
    <n v="43857"/>
    <n v="380"/>
    <n v="380"/>
    <n v="51371.67"/>
  </r>
  <r>
    <d v="2026-03-26T00:00:00"/>
    <x v="4"/>
    <s v="Inward Payment"/>
    <s v="FT26085T64FT"/>
    <x v="35"/>
    <s v="FDMS 510799083"/>
    <n v="991.67"/>
    <n v="991.67"/>
    <n v="50991.67"/>
  </r>
  <r>
    <d v="2026-03-26T00:00:00"/>
    <x v="4"/>
    <s v="Account to Account Transfer"/>
    <s v="FT26085X2P6M"/>
    <x v="38"/>
    <s v="Transfer"/>
    <n v="-87682.75"/>
    <s v=""/>
    <n v="50000"/>
  </r>
  <r>
    <d v="2026-03-26T00:00:00"/>
    <x v="4"/>
    <s v="Account to Account Transfer"/>
    <s v="FT26085Y049G"/>
    <x v="8"/>
    <s v="CC MG/JW"/>
    <n v="-1224.4"/>
    <s v=""/>
    <n v="137682.75"/>
  </r>
  <r>
    <d v="2026-03-26T00:00:00"/>
    <x v="4"/>
    <s v="Inward Payment"/>
    <s v="FT26085JDXH8"/>
    <x v="50"/>
    <s v="ADAM ASTLEY - RENT"/>
    <n v="412"/>
    <n v="412"/>
    <n v="138907.15"/>
  </r>
  <r>
    <d v="2026-03-26T00:00:00"/>
    <x v="4"/>
    <s v="Inward Payment"/>
    <s v="FT26085PXY8M"/>
    <x v="114"/>
    <s v="LIFESTYLES"/>
    <n v="65"/>
    <n v="65"/>
    <n v="138495.15"/>
  </r>
  <r>
    <d v="2026-03-26T00:00:00"/>
    <x v="4"/>
    <s v="Card Transaction"/>
    <s v="00001580192-20260325-1521184"/>
    <x v="115"/>
    <s v="GBR 20260324 BRITISH GAS LEEDS"/>
    <n v="-99"/>
    <s v=""/>
    <n v="138430.15"/>
  </r>
  <r>
    <d v="2026-03-26T00:00:00"/>
    <x v="4"/>
    <s v="Card Transaction"/>
    <s v="00001580192-20260325-1521174"/>
    <x v="116"/>
    <s v="GBR 20260324 SANDWICH-HOUSE.CO.UK WEDNESBURY"/>
    <n v="-42.42"/>
    <s v=""/>
    <n v="138529.15"/>
  </r>
  <r>
    <d v="2026-03-26T00:00:00"/>
    <x v="4"/>
    <s v="Standing Order"/>
    <s v="FT2608566FGS"/>
    <x v="117"/>
    <s v="Select Lifestyles"/>
    <n v="-525"/>
    <s v=""/>
    <n v="138571.57"/>
  </r>
  <r>
    <d v="2026-03-26T00:00:00"/>
    <x v="4"/>
    <s v="Inward Payment"/>
    <s v="FT26085XF1BN"/>
    <x v="64"/>
    <s v="JOSIAHLEE"/>
    <n v="50"/>
    <n v="50"/>
    <n v="139096.57"/>
  </r>
  <r>
    <d v="2026-03-26T00:00:00"/>
    <x v="4"/>
    <s v="Direct Debit"/>
    <s v="DDC20260325213761"/>
    <x v="118"/>
    <s v="TOTALENERGIES G&amp;P 1257875"/>
    <n v="-1982.73"/>
    <s v=""/>
    <n v="139046.57"/>
  </r>
  <r>
    <d v="2026-03-26T00:00:00"/>
    <x v="4"/>
    <s v="Direct Debit"/>
    <s v="DDC20260325204645"/>
    <x v="119"/>
    <s v="ENGIE POWER 10340153003"/>
    <n v="-4627.49"/>
    <s v=""/>
    <n v="141029.3"/>
  </r>
  <r>
    <d v="2026-03-26T00:00:00"/>
    <x v="4"/>
    <s v="Direct Debit"/>
    <s v="DDC20260325204642"/>
    <x v="119"/>
    <s v="ENGIE POWER 10340152001"/>
    <n v="-2242.25"/>
    <s v=""/>
    <n v="145656.79"/>
  </r>
  <r>
    <d v="2026-03-26T00:00:00"/>
    <x v="4"/>
    <s v="Direct Debit"/>
    <s v="DDC20260325204646"/>
    <x v="119"/>
    <s v="ENGIE POWER 10340156002"/>
    <n v="-500.87"/>
    <s v=""/>
    <n v="147899.04"/>
  </r>
  <r>
    <d v="2026-03-26T00:00:00"/>
    <x v="4"/>
    <s v="Direct Debit"/>
    <s v="DDC20260325204644"/>
    <x v="119"/>
    <s v="ENGIE POWER 10340154002"/>
    <n v="-119.89"/>
    <s v=""/>
    <n v="148399.91"/>
  </r>
  <r>
    <d v="2026-03-26T00:00:00"/>
    <x v="4"/>
    <s v="Direct Debit"/>
    <s v="DDC20260325203237"/>
    <x v="120"/>
    <s v="SEVERN TRENT WATER 5110056835"/>
    <n v="-86.52"/>
    <s v=""/>
    <n v="148519.8"/>
  </r>
  <r>
    <d v="2026-03-26T00:00:00"/>
    <x v="4"/>
    <s v="Direct Debit"/>
    <s v="DDC20260325204647"/>
    <x v="119"/>
    <s v="ENGIE POWER 10340155001"/>
    <n v="-2930.87"/>
    <s v=""/>
    <n v="148606.32"/>
  </r>
  <r>
    <d v="2026-03-26T00:00:00"/>
    <x v="4"/>
    <s v="Direct Debit"/>
    <s v="DDC20260325204651"/>
    <x v="119"/>
    <s v="ENGIE POWER 10309428003"/>
    <n v="-1653.56"/>
    <s v=""/>
    <n v="151537.19"/>
  </r>
  <r>
    <d v="2026-03-26T00:00:00"/>
    <x v="4"/>
    <s v="Direct Debit"/>
    <s v="DDC20260325204648"/>
    <x v="119"/>
    <s v="ENGIE POWER 10340157001"/>
    <n v="-1268.2"/>
    <s v=""/>
    <n v="153190.75"/>
  </r>
  <r>
    <d v="2026-03-26T00:00:00"/>
    <x v="4"/>
    <s v="Direct Debit"/>
    <s v="DDC20260325204695"/>
    <x v="119"/>
    <s v="ENGIE POWER 10285429002"/>
    <n v="-1174.94"/>
    <s v=""/>
    <n v="154458.95"/>
  </r>
  <r>
    <d v="2026-03-26T00:00:00"/>
    <x v="4"/>
    <s v="Direct Debit"/>
    <s v="DDC20260325204665"/>
    <x v="119"/>
    <s v="ENGIE POWER 10281446003"/>
    <n v="-1117.38"/>
    <s v=""/>
    <n v="155633.89"/>
  </r>
  <r>
    <d v="2026-03-26T00:00:00"/>
    <x v="4"/>
    <s v="Direct Debit"/>
    <s v="DDC20260325204661"/>
    <x v="119"/>
    <s v="ENGIE POWER 10281445002"/>
    <n v="-721.9400000000001"/>
    <s v=""/>
    <n v="156751.27"/>
  </r>
  <r>
    <d v="2026-03-26T00:00:00"/>
    <x v="4"/>
    <s v="Direct Debit"/>
    <s v="DDC20260325204704"/>
    <x v="119"/>
    <s v="ENGIE POWER 10287256001"/>
    <n v="-542.95"/>
    <s v=""/>
    <n v="157473.21"/>
  </r>
  <r>
    <d v="2026-03-26T00:00:00"/>
    <x v="4"/>
    <s v="Direct Debit"/>
    <s v="DDC20260325204703"/>
    <x v="119"/>
    <s v="ENGIE POWER 10287255001"/>
    <n v="-539.78"/>
    <s v=""/>
    <n v="158016.16"/>
  </r>
  <r>
    <d v="2026-03-26T00:00:00"/>
    <x v="4"/>
    <s v="Direct Debit"/>
    <s v="DDC20260325204664"/>
    <x v="119"/>
    <s v="ENGIE POWER 10281444001"/>
    <n v="-519.3200000000001"/>
    <s v=""/>
    <n v="158555.94"/>
  </r>
  <r>
    <d v="2026-03-26T00:00:00"/>
    <x v="4"/>
    <s v="Direct Debit"/>
    <s v="DDC20260325204650"/>
    <x v="119"/>
    <s v="ENGIE POWER 10309247002"/>
    <n v="-498.8"/>
    <s v=""/>
    <n v="159075.26"/>
  </r>
  <r>
    <d v="2026-03-26T00:00:00"/>
    <x v="4"/>
    <s v="Direct Debit"/>
    <s v="DDC20260325204669"/>
    <x v="119"/>
    <s v="ENGIE POWER 10281554001"/>
    <n v="-412.19"/>
    <s v=""/>
    <n v="159574.06"/>
  </r>
  <r>
    <d v="2026-03-26T00:00:00"/>
    <x v="4"/>
    <s v="Direct Debit"/>
    <s v="DDC20260325204735"/>
    <x v="119"/>
    <s v="ENGIE POWER 10293979002"/>
    <n v="-402.6"/>
    <s v=""/>
    <n v="159986.25"/>
  </r>
  <r>
    <d v="2026-03-26T00:00:00"/>
    <x v="4"/>
    <s v="Direct Debit"/>
    <s v="DDC20260325204673"/>
    <x v="119"/>
    <s v="ENGIE POWER 10281557001"/>
    <n v="-358.79"/>
    <s v=""/>
    <n v="160388.85"/>
  </r>
  <r>
    <d v="2026-03-26T00:00:00"/>
    <x v="4"/>
    <s v="Direct Debit"/>
    <s v="DDC20260325204671"/>
    <x v="119"/>
    <s v="ENGIE POWER 10281548003"/>
    <n v="-322.4"/>
    <s v=""/>
    <n v="160747.64"/>
  </r>
  <r>
    <d v="2026-03-26T00:00:00"/>
    <x v="4"/>
    <s v="Direct Debit"/>
    <s v="DDC20260325204652"/>
    <x v="119"/>
    <s v="ENGIE POWER 10309429003"/>
    <n v="-308.05"/>
    <s v=""/>
    <n v="161070.04"/>
  </r>
  <r>
    <d v="2026-03-26T00:00:00"/>
    <x v="4"/>
    <s v="Direct Debit"/>
    <s v="DDC20260325204693"/>
    <x v="119"/>
    <s v="ENGIE POWER 10285235002"/>
    <n v="-307.33"/>
    <s v=""/>
    <n v="161378.09"/>
  </r>
  <r>
    <d v="2026-03-26T00:00:00"/>
    <x v="4"/>
    <s v="Direct Debit"/>
    <s v="DDC20260325204755"/>
    <x v="119"/>
    <s v="ENGIE POWER 11430728001"/>
    <n v="-265.16"/>
    <s v=""/>
    <n v="161685.42"/>
  </r>
  <r>
    <d v="2026-03-26T00:00:00"/>
    <x v="4"/>
    <s v="Direct Debit"/>
    <s v="DDC20260325204677"/>
    <x v="119"/>
    <s v="ENGIE POWER 10407632001"/>
    <n v="-240.76"/>
    <s v=""/>
    <n v="161950.58"/>
  </r>
  <r>
    <d v="2026-03-26T00:00:00"/>
    <x v="4"/>
    <s v="Direct Debit"/>
    <s v="DDC20260325204670"/>
    <x v="119"/>
    <s v="ENGIE POWER 10281555001"/>
    <n v="-237.3"/>
    <s v=""/>
    <n v="162191.34"/>
  </r>
  <r>
    <d v="2026-03-26T00:00:00"/>
    <x v="4"/>
    <s v="Direct Debit"/>
    <s v="DDC20260325204730"/>
    <x v="119"/>
    <s v="ENGIE POWER 11453931001"/>
    <n v="-203.9"/>
    <s v=""/>
    <n v="162428.64"/>
  </r>
  <r>
    <d v="2026-03-26T00:00:00"/>
    <x v="4"/>
    <s v="Direct Debit"/>
    <s v="DDC20260325204667"/>
    <x v="119"/>
    <s v="ENGIE POWER 10281552001"/>
    <n v="-195.32"/>
    <s v=""/>
    <n v="162632.54"/>
  </r>
  <r>
    <d v="2026-03-26T00:00:00"/>
    <x v="4"/>
    <s v="Direct Debit"/>
    <s v="DDC20260325204691"/>
    <x v="119"/>
    <s v="ENGIE POWER 10285233002"/>
    <n v="-191.22"/>
    <s v=""/>
    <n v="162827.86"/>
  </r>
  <r>
    <d v="2026-03-26T00:00:00"/>
    <x v="4"/>
    <s v="Direct Debit"/>
    <s v="DDC20260325204729"/>
    <x v="119"/>
    <s v="ENGIE POWER 10293978002"/>
    <n v="-186.93"/>
    <s v=""/>
    <n v="163019.08"/>
  </r>
  <r>
    <d v="2026-03-26T00:00:00"/>
    <x v="4"/>
    <s v="Direct Debit"/>
    <s v="DDC20260325204668"/>
    <x v="119"/>
    <s v="ENGIE POWER 10281553001"/>
    <n v="-181.15"/>
    <s v=""/>
    <n v="163206.01"/>
  </r>
  <r>
    <d v="2026-03-26T00:00:00"/>
    <x v="4"/>
    <s v="Direct Debit"/>
    <s v="DDC20260325204672"/>
    <x v="119"/>
    <s v="ENGIE POWER 10281556001"/>
    <n v="-178.54"/>
    <s v=""/>
    <n v="163387.16"/>
  </r>
  <r>
    <d v="2026-03-26T00:00:00"/>
    <x v="4"/>
    <s v="Direct Debit"/>
    <s v="DDC20260325204692"/>
    <x v="119"/>
    <s v="ENGIE POWER 10285234002"/>
    <n v="-163.7"/>
    <s v=""/>
    <n v="163565.7"/>
  </r>
  <r>
    <d v="2026-03-26T00:00:00"/>
    <x v="4"/>
    <s v="Direct Debit"/>
    <s v="DDC20260325204702"/>
    <x v="119"/>
    <s v="ENGIE POWER 10287246002"/>
    <n v="-139.31"/>
    <s v=""/>
    <n v="163729.4"/>
  </r>
  <r>
    <d v="2026-03-26T00:00:00"/>
    <x v="4"/>
    <s v="Direct Debit"/>
    <s v="DDC20260325204662"/>
    <x v="119"/>
    <s v="ENGIE POWER 10281443001"/>
    <n v="-104.46"/>
    <s v=""/>
    <n v="163868.71"/>
  </r>
  <r>
    <d v="2026-03-26T00:00:00"/>
    <x v="4"/>
    <s v="Direct Debit"/>
    <s v="DDC20260325235331"/>
    <x v="121"/>
    <s v="FUNDING CIRCLE FW2ZFN3"/>
    <n v="-4589.17"/>
    <s v=""/>
    <n v="163973.17"/>
  </r>
  <r>
    <d v="2026-03-26T00:00:00"/>
    <x v="4"/>
    <s v="BACS Payment Received"/>
    <s v="BACS20260325114917"/>
    <x v="29"/>
    <s v="SANDWELL MBC-601539-69624135 971830-SANDWELL MBC-&amp;--&amp;-128016 099 BACS CR SELECT LIFESTYLES"/>
    <n v="3631.2"/>
    <n v="3631.2"/>
    <n v="168562.34"/>
  </r>
  <r>
    <d v="2026-03-26T00:00:00"/>
    <x v="4"/>
    <s v="BACS Payment Received"/>
    <s v="BACS20260325114931"/>
    <x v="59"/>
    <s v="WOLVERHAMPTON CC-560069-44470320 972860-WOLVERHAMPTON CC-&amp;--&amp;-0 099 BACS CR SELECT LIFESTYLES"/>
    <n v="137871.25"/>
    <n v="137871.25"/>
    <n v="164931.14"/>
  </r>
  <r>
    <d v="2026-03-26T00:00:00"/>
    <x v="4"/>
    <s v="BACS Payment Received"/>
    <s v="BACS20260325101040"/>
    <x v="30"/>
    <s v="WALSALL METROPOLIT-206877-58552541 401256-WALSALL METROPOLIT-&amp;--&amp;-SELECT D SHAW 099 BACS CR SELECT LIFESTYLES"/>
    <n v="520"/>
    <n v="520"/>
    <n v="27059.89"/>
  </r>
  <r>
    <d v="2026-03-26T00:00:00"/>
    <x v="4"/>
    <s v="BACS Payment Received"/>
    <s v="BACS20260325113881"/>
    <x v="122"/>
    <s v="HGPRYCE-607080-10025863 278961-HGPRYCE-&amp;--&amp;-000000003682083213 099 BACS CR HARLEY GOODIN-PRYC"/>
    <n v="262.24"/>
    <n v="262.24"/>
    <n v="26539.89"/>
  </r>
  <r>
    <d v="2026-03-26T00:00:00"/>
    <x v="4"/>
    <s v="Inward Payment"/>
    <s v="FT26085NQZ0N"/>
    <x v="123"/>
    <s v="SERVICE CHARGES"/>
    <n v="71.08"/>
    <n v="71.08"/>
    <n v="26277.65"/>
  </r>
  <r>
    <d v="2026-03-26T00:00:00"/>
    <x v="4"/>
    <s v="Inward Payment"/>
    <s v="FT2608569QS4"/>
    <x v="124"/>
    <s v="KRYSTIAN"/>
    <n v="260"/>
    <n v="260"/>
    <n v="26206.57"/>
  </r>
  <r>
    <d v="2026-03-26T00:00:00"/>
    <x v="4"/>
    <s v="Inward Payment"/>
    <s v="FT26085062V4"/>
    <x v="70"/>
    <s v="RENT"/>
    <n v="95"/>
    <n v="95"/>
    <n v="25946.57"/>
  </r>
  <r>
    <d v="2026-03-25T00:00:00"/>
    <x v="5"/>
    <s v="Inward Payment"/>
    <s v="FT2608451PRR"/>
    <x v="125"/>
    <s v="Ashley"/>
    <n v="216.67"/>
    <n v="216.67"/>
    <n v="25851.57"/>
  </r>
  <r>
    <d v="2026-03-25T00:00:00"/>
    <x v="5"/>
    <s v="Inward Payment"/>
    <s v="FT26084TTY55"/>
    <x v="126"/>
    <s v="GFRAM 44063"/>
    <n v="890.04"/>
    <n v="890.04"/>
    <n v="25634.9"/>
  </r>
  <r>
    <d v="2026-03-25T00:00:00"/>
    <x v="5"/>
    <s v="Inward Payment"/>
    <s v="FT26084L8RD9"/>
    <x v="127"/>
    <s v="Devante Blick And"/>
    <n v="801.67"/>
    <n v="801.67"/>
    <n v="24744.86"/>
  </r>
  <r>
    <d v="2026-03-25T00:00:00"/>
    <x v="5"/>
    <s v="Inward Payment"/>
    <s v="FT2608467HHH"/>
    <x v="64"/>
    <s v="44197 RSHAMREZ"/>
    <n v="260"/>
    <n v="260"/>
    <n v="23943.19"/>
  </r>
  <r>
    <d v="2026-03-25T00:00:00"/>
    <x v="5"/>
    <s v="Inward Payment"/>
    <s v="FT26084YK96N"/>
    <x v="35"/>
    <s v="FDMS 510799083"/>
    <n v="2135.19"/>
    <n v="2135.19"/>
    <n v="23683.19"/>
  </r>
  <r>
    <d v="2026-03-25T00:00:00"/>
    <x v="5"/>
    <s v="Standing Order"/>
    <s v="FT260845ZPRC"/>
    <x v="128"/>
    <s v="Select Lifestyles"/>
    <n v="-3055.55"/>
    <s v=""/>
    <n v="21548"/>
  </r>
  <r>
    <d v="2026-03-25T00:00:00"/>
    <x v="5"/>
    <s v="Standing Order"/>
    <s v="FT26084TFX9R"/>
    <x v="129"/>
    <s v="Select Lifestyles"/>
    <n v="-2250"/>
    <s v=""/>
    <n v="24603.55"/>
  </r>
  <r>
    <d v="2026-03-25T00:00:00"/>
    <x v="5"/>
    <s v="Direct Debit"/>
    <s v="DDC20260324232689"/>
    <x v="130"/>
    <s v="E.ON NEXT LTD A-7AB901FF-001"/>
    <n v="-37.21"/>
    <s v=""/>
    <n v="26853.55"/>
  </r>
  <r>
    <d v="2026-03-25T00:00:00"/>
    <x v="5"/>
    <s v="Direct Debit"/>
    <s v="DDC20260324221500"/>
    <x v="131"/>
    <s v="LDF FINANCE NO.3 L 94847"/>
    <n v="-5244.03"/>
    <s v=""/>
    <n v="26890.76"/>
  </r>
  <r>
    <d v="2026-03-25T00:00:00"/>
    <x v="5"/>
    <s v="Direct Debit"/>
    <s v="DDC20260324257619"/>
    <x v="132"/>
    <s v="SOUTH STAFFS WATER 3144157701"/>
    <n v="-27.97"/>
    <s v=""/>
    <n v="32134.79"/>
  </r>
  <r>
    <d v="2026-03-25T00:00:00"/>
    <x v="5"/>
    <s v="Direct Debit"/>
    <s v="DDC20260324200935"/>
    <x v="133"/>
    <s v="HMRC MY-DRS.CO.UK A04564941"/>
    <n v="-869.48"/>
    <s v=""/>
    <n v="32162.76"/>
  </r>
  <r>
    <d v="2026-03-25T00:00:00"/>
    <x v="5"/>
    <s v="Direct Debit"/>
    <s v="DDC20260324209132"/>
    <x v="134"/>
    <s v="WALSALL MBC 2 1000029107"/>
    <n v="-184.15"/>
    <s v=""/>
    <n v="33032.24"/>
  </r>
  <r>
    <d v="2026-03-25T00:00:00"/>
    <x v="5"/>
    <s v="Direct Debit"/>
    <s v="DDC20260324207827"/>
    <x v="120"/>
    <s v="SEVERN TRENT WATER 6270102117"/>
    <n v="-105.31"/>
    <s v=""/>
    <n v="33216.39"/>
  </r>
  <r>
    <d v="2026-03-25T00:00:00"/>
    <x v="5"/>
    <s v="Direct Debit"/>
    <s v="DDC20260324207813"/>
    <x v="120"/>
    <s v="SEVERN TRENT WATER 3400071263"/>
    <n v="-100.68"/>
    <s v=""/>
    <n v="33321.7"/>
  </r>
  <r>
    <d v="2026-03-25T00:00:00"/>
    <x v="5"/>
    <s v="Direct Debit"/>
    <s v="DDC20260324207843"/>
    <x v="120"/>
    <s v="SEVERN TRENT WATER 3780135565"/>
    <n v="-79.06999999999999"/>
    <s v=""/>
    <n v="33422.38"/>
  </r>
  <r>
    <d v="2026-03-25T00:00:00"/>
    <x v="5"/>
    <s v="Direct Debit"/>
    <s v="DDC20260324207845"/>
    <x v="120"/>
    <s v="SEVERN TRENT WATER 4950066851"/>
    <n v="-4.27"/>
    <s v=""/>
    <n v="33501.45"/>
  </r>
  <r>
    <d v="2026-03-25T00:00:00"/>
    <x v="5"/>
    <s v="BACS Payment Received"/>
    <s v="BACS20260324103521"/>
    <x v="56"/>
    <s v="B-HAM CITY COUNCIL-200790-70489166 972201-B-HAM CITY COUNCIL-&amp;--&amp;-2021861 099 BACS CR SELECT LIFESTYLES"/>
    <n v="626.54"/>
    <n v="626.54"/>
    <n v="33505.72"/>
  </r>
  <r>
    <d v="2026-03-25T00:00:00"/>
    <x v="5"/>
    <s v="BACS Payment Received"/>
    <s v="BACS20260324117931"/>
    <x v="135"/>
    <s v="P UC-607080-10025847 273589-P UC-&amp;--&amp;-000000003681481184 099 BACS CR S      L"/>
    <n v="83.33"/>
    <n v="83.33"/>
    <n v="32879.18"/>
  </r>
  <r>
    <d v="2026-03-25T00:00:00"/>
    <x v="5"/>
    <s v="BACS Payment Received"/>
    <s v="BACS20260324120953"/>
    <x v="136"/>
    <s v="KIERONWILSON-607080-10025863 278961-KIERONWILSON-&amp;--&amp;-000000003680672833 099 BACS CR KIERON WILSON"/>
    <n v="495"/>
    <n v="495"/>
    <n v="32795.85"/>
  </r>
  <r>
    <d v="2026-03-25T00:00:00"/>
    <x v="5"/>
    <s v="BACS Payment Received"/>
    <s v="BACS20260324120969"/>
    <x v="137"/>
    <s v="BREYNOLDS-607080-10025863 278961-BREYNOLDS-&amp;--&amp;-000000003680683242 099 BACS CR BETHANY REYNOLDS"/>
    <n v="495"/>
    <n v="495"/>
    <n v="32300.85"/>
  </r>
  <r>
    <d v="2026-03-25T00:00:00"/>
    <x v="5"/>
    <s v="BACS Payment Received"/>
    <s v="BACS20260324121025"/>
    <x v="138"/>
    <s v="G BAKER-607080-10025863 278961-G BAKER-&amp;--&amp;-000000003680677754 099 BACS CR GEMMA BAKER"/>
    <n v="495"/>
    <n v="495"/>
    <n v="31805.85"/>
  </r>
  <r>
    <d v="2026-03-25T00:00:00"/>
    <x v="5"/>
    <s v="Inward Payment"/>
    <s v="FT26084N4RSY"/>
    <x v="71"/>
    <s v="DANIEL MEHMI"/>
    <n v="69.86"/>
    <n v="69.86"/>
    <n v="31310.85"/>
  </r>
  <r>
    <d v="2026-03-25T00:00:00"/>
    <x v="5"/>
    <s v="Inward Payment"/>
    <s v="FT260842SYKH"/>
    <x v="80"/>
    <s v="CALLUM BRADNICK"/>
    <n v="200"/>
    <n v="200"/>
    <n v="31240.99"/>
  </r>
  <r>
    <d v="2026-03-25T00:00:00"/>
    <x v="5"/>
    <s v="Inward Payment"/>
    <s v="FT26084B3YBM"/>
    <x v="43"/>
    <s v="MARKEY GRAY- PERSO"/>
    <n v="200"/>
    <n v="200"/>
    <n v="31040.99"/>
  </r>
  <r>
    <d v="2026-03-25T00:00:00"/>
    <x v="5"/>
    <s v="Inward Payment"/>
    <s v="FT26084245LY"/>
    <x v="139"/>
    <s v="LAURA NEAL"/>
    <n v="45"/>
    <n v="45"/>
    <n v="30840.99"/>
  </r>
  <r>
    <d v="2026-03-24T00:00:00"/>
    <x v="6"/>
    <s v="Account to Account Transfer"/>
    <s v="FT26083R78Y2"/>
    <x v="8"/>
    <s v="CC KW/DD/DS"/>
    <n v="-1079"/>
    <s v=""/>
    <n v="30795.99"/>
  </r>
  <r>
    <d v="2026-03-24T00:00:00"/>
    <x v="6"/>
    <s v="Inward Payment"/>
    <s v="FT26083NM5X4"/>
    <x v="14"/>
    <s v="WESTLEY YATES"/>
    <n v="47.5"/>
    <n v="47.5"/>
    <n v="31874.99"/>
  </r>
  <r>
    <d v="2026-03-24T00:00:00"/>
    <x v="6"/>
    <s v="Card Transaction"/>
    <s v="00001580192-20260323-1529287"/>
    <x v="140"/>
    <s v="GBR 20260319 LEAFLETFROG 01204328273"/>
    <n v="-150"/>
    <s v=""/>
    <n v="31827.49"/>
  </r>
  <r>
    <d v="2026-03-24T00:00:00"/>
    <x v="6"/>
    <s v="Card Transaction"/>
    <s v="00001580192-20260323-1529297"/>
    <x v="19"/>
    <s v="GBR 20260323 Tesla Inc. West Drayton"/>
    <n v="-22.72"/>
    <s v=""/>
    <n v="31977.49"/>
  </r>
  <r>
    <d v="2026-03-24T00:00:00"/>
    <x v="6"/>
    <s v="Inward Payment"/>
    <s v="FT260832L59X"/>
    <x v="21"/>
    <s v="502869 B NOBLE"/>
    <n v="140"/>
    <n v="140"/>
    <n v="32000.21"/>
  </r>
  <r>
    <d v="2026-03-24T00:00:00"/>
    <x v="6"/>
    <s v="Inward Payment"/>
    <s v="FT26083WXQVX"/>
    <x v="22"/>
    <s v="ERROLGRANT"/>
    <n v="65"/>
    <n v="65"/>
    <n v="31860.21"/>
  </r>
  <r>
    <d v="2026-03-24T00:00:00"/>
    <x v="6"/>
    <s v="Inward Payment"/>
    <s v="FT26083SR29H"/>
    <x v="141"/>
    <s v="SHARQUILLE BARNABY"/>
    <n v="250"/>
    <n v="250"/>
    <n v="31795.21"/>
  </r>
  <r>
    <d v="2026-03-24T00:00:00"/>
    <x v="6"/>
    <s v="Inward Payment"/>
    <s v="FT26083VC8WG"/>
    <x v="23"/>
    <s v="C LAVANDER"/>
    <n v="102.51"/>
    <n v="102.51"/>
    <n v="31545.21"/>
  </r>
  <r>
    <d v="2026-03-24T00:00:00"/>
    <x v="6"/>
    <s v="Direct Debit"/>
    <s v="DDC20260323225688"/>
    <x v="142"/>
    <s v="TELECOM CENTRAL TC10216"/>
    <n v="-6658.74"/>
    <s v=""/>
    <n v="31442.7"/>
  </r>
  <r>
    <d v="2026-03-24T00:00:00"/>
    <x v="6"/>
    <s v="Direct Debit"/>
    <s v="DDC20260323212586"/>
    <x v="118"/>
    <s v="TOTALENERGIES G&amp;P 1215483"/>
    <n v="-2185.69"/>
    <s v=""/>
    <n v="38101.44"/>
  </r>
  <r>
    <d v="2026-03-24T00:00:00"/>
    <x v="6"/>
    <s v="Direct Debit"/>
    <s v="DDC20260323212591"/>
    <x v="118"/>
    <s v="TOTALENERGIES G&amp;P 1249855"/>
    <n v="-909.65"/>
    <s v=""/>
    <n v="40287.13"/>
  </r>
  <r>
    <d v="2026-03-24T00:00:00"/>
    <x v="6"/>
    <s v="Direct Debit"/>
    <s v="DDC20260323212585"/>
    <x v="118"/>
    <s v="TOTALENERGIES G&amp;P 1215482"/>
    <n v="-374.4"/>
    <s v=""/>
    <n v="41196.78"/>
  </r>
  <r>
    <d v="2026-03-24T00:00:00"/>
    <x v="6"/>
    <s v="Direct Debit"/>
    <s v="DDC20260323235232"/>
    <x v="143"/>
    <s v="ALD AUTOMOTIVE SQ2337843"/>
    <n v="-6123.51"/>
    <s v=""/>
    <n v="41571.18"/>
  </r>
  <r>
    <d v="2026-03-24T00:00:00"/>
    <x v="6"/>
    <s v="Direct Debit"/>
    <s v="DDC20260323235262"/>
    <x v="143"/>
    <s v="ALD AUTOMOTIVE SQ2675397"/>
    <n v="-964.79"/>
    <s v=""/>
    <n v="47694.69"/>
  </r>
  <r>
    <d v="2026-03-24T00:00:00"/>
    <x v="6"/>
    <s v="Direct Debit"/>
    <s v="DDC20260323235698"/>
    <x v="144"/>
    <s v="EVERFLOW LIMITED B248025A"/>
    <n v="-264.94"/>
    <s v=""/>
    <n v="48659.48"/>
  </r>
  <r>
    <d v="2026-03-24T00:00:00"/>
    <x v="6"/>
    <s v="Direct Debit"/>
    <s v="DDC20260323203707"/>
    <x v="145"/>
    <s v="VODAFONE LIMITED 30880282M881781"/>
    <n v="-338.8"/>
    <s v=""/>
    <n v="48924.42"/>
  </r>
  <r>
    <d v="2026-03-24T00:00:00"/>
    <x v="6"/>
    <s v="BACS Payment Received"/>
    <s v="BACS20260323100591"/>
    <x v="30"/>
    <s v="WALSALL METROPOLIT-206877-58552541 401256-WALSALL METROPOLIT-&amp;--&amp;-S B 099 BACS CR SELECT LIFESTYSLES"/>
    <n v="50"/>
    <n v="50"/>
    <n v="49263.22"/>
  </r>
  <r>
    <d v="2026-03-24T00:00:00"/>
    <x v="6"/>
    <s v="BACS Payment Received"/>
    <s v="BACS20260323100592"/>
    <x v="30"/>
    <s v="WALSALL METROPOLIT-206877-58552541 401256-WALSALL METROPOLIT-&amp;--&amp;-A H 099 BACS CR SELECT LIFESTYLES"/>
    <n v="50"/>
    <n v="50"/>
    <n v="49213.22"/>
  </r>
  <r>
    <d v="2026-03-24T00:00:00"/>
    <x v="6"/>
    <s v="BACS Payment Received"/>
    <s v="BACS20260323100593"/>
    <x v="30"/>
    <s v="WALSALL METROPOLIT-206877-58552541 401256-WALSALL METROPOLIT-&amp;--&amp;-H 099 BACS CR SELECT LIFESTYLES"/>
    <n v="50"/>
    <n v="50"/>
    <n v="49163.22"/>
  </r>
  <r>
    <d v="2026-03-24T00:00:00"/>
    <x v="6"/>
    <s v="BACS Payment Received"/>
    <s v="BACS20260323105319"/>
    <x v="146"/>
    <s v="KIRKLEES COUNCIL-204312-63046958 626099-KIRKLEES COUNCIL-&amp;--&amp;-1000 2004096801 K 099 BACS CR SELECT LIFESTYLES"/>
    <n v="6241.54"/>
    <n v="6241.54"/>
    <n v="49113.22"/>
  </r>
  <r>
    <d v="2026-03-24T00:00:00"/>
    <x v="6"/>
    <s v="Inward Payment"/>
    <s v="FT260835J4ZN"/>
    <x v="32"/>
    <s v="TREVOR KEANE"/>
    <n v="50"/>
    <n v="50"/>
    <n v="42871.68"/>
  </r>
  <r>
    <d v="2026-03-24T00:00:00"/>
    <x v="6"/>
    <s v="Inward Payment"/>
    <s v="FT260837JNZH"/>
    <x v="31"/>
    <s v="DS WEEKLY SPEND"/>
    <n v="120"/>
    <n v="120"/>
    <n v="42821.68"/>
  </r>
  <r>
    <d v="2026-03-24T00:00:00"/>
    <x v="6"/>
    <s v="Inward Payment"/>
    <s v="FT26083HDCNX"/>
    <x v="24"/>
    <s v="L HAWKINS-Utilit/S"/>
    <n v="65"/>
    <n v="65"/>
    <n v="42701.68"/>
  </r>
  <r>
    <d v="2026-03-24T00:00:00"/>
    <x v="6"/>
    <s v="Inward Payment"/>
    <s v="FT2608391319"/>
    <x v="24"/>
    <s v="L HAWKINS-RENT"/>
    <n v="120"/>
    <n v="120"/>
    <n v="42636.68"/>
  </r>
  <r>
    <d v="2026-03-24T00:00:00"/>
    <x v="6"/>
    <s v="Inward Payment"/>
    <s v="FT260837JX91"/>
    <x v="26"/>
    <s v="LEIGH AMES RENT"/>
    <n v="120"/>
    <n v="120"/>
    <n v="42516.68"/>
  </r>
  <r>
    <d v="2026-03-24T00:00:00"/>
    <x v="6"/>
    <s v="Inward Payment"/>
    <s v="FT26083VGNZV"/>
    <x v="27"/>
    <s v="JOHN PACE RENT"/>
    <n v="120"/>
    <n v="120"/>
    <n v="42396.68"/>
  </r>
  <r>
    <d v="2026-03-24T00:00:00"/>
    <x v="6"/>
    <s v="Inward Payment"/>
    <s v="FT26083GL5QN"/>
    <x v="25"/>
    <s v="ANTHONY MEACHIN UT"/>
    <n v="50"/>
    <n v="50"/>
    <n v="42276.68"/>
  </r>
  <r>
    <d v="2026-03-24T00:00:00"/>
    <x v="6"/>
    <s v="Inward Payment"/>
    <s v="FT26083WVJ78"/>
    <x v="147"/>
    <s v="JAYDON LOCKLEYS RE"/>
    <n v="25"/>
    <n v="25"/>
    <n v="42226.68"/>
  </r>
  <r>
    <d v="2026-03-24T00:00:00"/>
    <x v="6"/>
    <s v="Inward Payment"/>
    <s v="FT26083G23QC"/>
    <x v="33"/>
    <s v="S L SERVICE CHARGE"/>
    <n v="50"/>
    <n v="50"/>
    <n v="42201.68"/>
  </r>
  <r>
    <d v="2026-03-23T00:00:00"/>
    <x v="7"/>
    <s v="Inward Payment"/>
    <s v="FT260820LS5Y"/>
    <x v="89"/>
    <s v="KIERON WILSON CASH"/>
    <n v="200"/>
    <n v="200"/>
    <n v="42151.68"/>
  </r>
  <r>
    <d v="2026-03-23T00:00:00"/>
    <x v="7"/>
    <s v="Inward Payment"/>
    <s v="FT260823PVY2"/>
    <x v="148"/>
    <s v="Cash for DD boxing"/>
    <n v="759"/>
    <n v="759"/>
    <n v="41951.68"/>
  </r>
  <r>
    <d v="2026-03-23T00:00:00"/>
    <x v="7"/>
    <s v="Inward Payment"/>
    <s v="FT26082XFRRX"/>
    <x v="149"/>
    <n v="44084"/>
    <n v="740"/>
    <n v="740"/>
    <n v="41192.68"/>
  </r>
  <r>
    <d v="2026-03-23T00:00:00"/>
    <x v="7"/>
    <s v="Account to Account Transfer"/>
    <s v="FT26082K7S06"/>
    <x v="150"/>
    <s v="SUSAN PRICE 44086"/>
    <n v="740"/>
    <n v="740"/>
    <n v="40452.68"/>
  </r>
  <r>
    <d v="2026-03-23T00:00:00"/>
    <x v="7"/>
    <s v="Inward Payment"/>
    <s v="FT26082M5N0C"/>
    <x v="151"/>
    <s v="HOLLY LAW-UTILIT/Y"/>
    <n v="260"/>
    <n v="260"/>
    <n v="39712.68"/>
  </r>
  <r>
    <d v="2026-03-23T00:00:00"/>
    <x v="7"/>
    <s v="Inward Payment"/>
    <s v="FT26082PGJJR"/>
    <x v="152"/>
    <s v="Jashuben Patel Ren"/>
    <n v="380"/>
    <n v="380"/>
    <n v="39452.68"/>
  </r>
  <r>
    <d v="2026-03-23T00:00:00"/>
    <x v="7"/>
    <s v="Inward Payment"/>
    <s v="FT26082WJ2GV"/>
    <x v="152"/>
    <s v="Jashuben Patel Ren"/>
    <n v="1045"/>
    <n v="1045"/>
    <n v="39072.68"/>
  </r>
  <r>
    <d v="2026-03-23T00:00:00"/>
    <x v="7"/>
    <s v="Account to Account Transfer"/>
    <s v="FT26082KTYT1"/>
    <x v="8"/>
    <s v="CC TP/JB/LS/PC/LG/GS"/>
    <n v="-783.33"/>
    <s v=""/>
    <n v="38027.68"/>
  </r>
  <r>
    <d v="2026-03-23T00:00:00"/>
    <x v="7"/>
    <s v="Outward Faster Payment"/>
    <s v="FT260822SP5C"/>
    <x v="153"/>
    <n v="6802"/>
    <n v="-24222.06"/>
    <s v=""/>
    <n v="38811.01"/>
  </r>
  <r>
    <d v="2026-03-23T00:00:00"/>
    <x v="7"/>
    <s v="Card Transaction"/>
    <s v="00001580192-20260320-1521263"/>
    <x v="154"/>
    <s v="GBR 20260319 Uber Payments UK London"/>
    <n v="-149.33"/>
    <s v=""/>
    <n v="63033.07"/>
  </r>
  <r>
    <d v="2026-03-23T00:00:00"/>
    <x v="7"/>
    <s v="Inward Payment"/>
    <s v="FT26082ZB71P"/>
    <x v="155"/>
    <s v="BETHANY REYNOLDS"/>
    <n v="307.84"/>
    <n v="307.84"/>
    <n v="63182.4"/>
  </r>
  <r>
    <d v="2026-03-23T00:00:00"/>
    <x v="7"/>
    <s v="Inward Payment"/>
    <s v="FT26082SLDP5"/>
    <x v="49"/>
    <s v="PAUL CAMPBELL"/>
    <n v="50"/>
    <n v="50"/>
    <n v="62874.56"/>
  </r>
  <r>
    <d v="2026-03-23T00:00:00"/>
    <x v="7"/>
    <s v="Inward Payment"/>
    <s v="FT2608294GZS"/>
    <x v="49"/>
    <s v="PAUL CAMPBELL HBSF"/>
    <n v="50"/>
    <n v="50"/>
    <n v="62824.56"/>
  </r>
  <r>
    <d v="2026-03-23T00:00:00"/>
    <x v="7"/>
    <s v="Inward Payment"/>
    <s v="FT26082YTZRZ"/>
    <x v="156"/>
    <s v="SERVICE CHARGES"/>
    <n v="650"/>
    <n v="650"/>
    <n v="62774.56"/>
  </r>
  <r>
    <d v="2026-03-23T00:00:00"/>
    <x v="7"/>
    <s v="Standing Order"/>
    <s v="FT260825GPQ8"/>
    <x v="157"/>
    <s v="SELECT LIFESTYLES"/>
    <n v="-750"/>
    <s v=""/>
    <n v="62124.56"/>
  </r>
  <r>
    <d v="2026-03-23T00:00:00"/>
    <x v="7"/>
    <s v="Direct Debit"/>
    <s v="DDC20260320256931"/>
    <x v="101"/>
    <s v="BRITISH GAS BUSINE 602963428031123000"/>
    <n v="-1784.55"/>
    <s v=""/>
    <n v="62874.56"/>
  </r>
  <r>
    <d v="2026-03-23T00:00:00"/>
    <x v="7"/>
    <s v="Direct Debit"/>
    <s v="DDC20260320256767"/>
    <x v="101"/>
    <s v="BRITISH GAS BUSINE 602950241070923000"/>
    <n v="-1273.83"/>
    <s v=""/>
    <n v="64659.11"/>
  </r>
  <r>
    <d v="2026-03-23T00:00:00"/>
    <x v="7"/>
    <s v="Direct Debit"/>
    <s v="DDC20260320256741"/>
    <x v="101"/>
    <s v="BRITISH GAS BUSINE 602970373031123000"/>
    <n v="-841"/>
    <s v=""/>
    <n v="65932.94"/>
  </r>
  <r>
    <d v="2026-03-23T00:00:00"/>
    <x v="7"/>
    <s v="Direct Debit"/>
    <s v="DDC20260320256930"/>
    <x v="101"/>
    <s v="BRITISH GAS BUSINE 602963427300124000"/>
    <n v="-24.34"/>
    <s v=""/>
    <n v="66773.94"/>
  </r>
  <r>
    <d v="2026-03-23T00:00:00"/>
    <x v="7"/>
    <s v="Direct Debit"/>
    <s v="DDC20260320227264"/>
    <x v="158"/>
    <s v="EE LIMITED Q47903011707393225"/>
    <n v="-1744.42"/>
    <s v=""/>
    <n v="66798.28"/>
  </r>
  <r>
    <d v="2026-03-23T00:00:00"/>
    <x v="7"/>
    <s v="Inward Payment"/>
    <s v="FT26082YCBKZ"/>
    <x v="64"/>
    <s v="JAMES COOPER RENT"/>
    <n v="95"/>
    <n v="95"/>
    <n v="68542.7"/>
  </r>
  <r>
    <d v="2026-03-23T00:00:00"/>
    <x v="7"/>
    <s v="Inward Payment"/>
    <s v="FT26082V95LB"/>
    <x v="64"/>
    <s v="J COOPER SC"/>
    <n v="50"/>
    <n v="50"/>
    <n v="68447.7"/>
  </r>
  <r>
    <d v="2026-03-23T00:00:00"/>
    <x v="7"/>
    <s v="Direct Debit"/>
    <s v="DDC20260320247194"/>
    <x v="159"/>
    <s v="TV LICENCE DDA 3997569041"/>
    <n v="-174.5"/>
    <s v=""/>
    <n v="68397.7"/>
  </r>
  <r>
    <d v="2026-03-23T00:00:00"/>
    <x v="7"/>
    <s v="Direct Debit"/>
    <s v="DDC20260320247202"/>
    <x v="159"/>
    <s v="TV LICENCE DDA 4085889818"/>
    <n v="-174.5"/>
    <s v=""/>
    <n v="68572.2"/>
  </r>
  <r>
    <d v="2026-03-23T00:00:00"/>
    <x v="7"/>
    <s v="Direct Debit"/>
    <s v="DDC20260320247203"/>
    <x v="159"/>
    <s v="TV LICENCE DDA 4085891060"/>
    <n v="-174.5"/>
    <s v=""/>
    <n v="68746.7"/>
  </r>
  <r>
    <d v="2026-03-23T00:00:00"/>
    <x v="7"/>
    <s v="Direct Debit"/>
    <s v="DDC20260320247215"/>
    <x v="159"/>
    <s v="TV LICENCE DDA 4201555027"/>
    <n v="-174.5"/>
    <s v=""/>
    <n v="68921.2"/>
  </r>
  <r>
    <d v="2026-03-23T00:00:00"/>
    <x v="7"/>
    <s v="Direct Debit"/>
    <s v="DDC20260320247219"/>
    <x v="159"/>
    <s v="TV LICENCE DDA 4235239256"/>
    <n v="-174.5"/>
    <s v=""/>
    <n v="69095.7"/>
  </r>
  <r>
    <d v="2026-03-23T00:00:00"/>
    <x v="7"/>
    <s v="Direct Debit"/>
    <s v="DDC20260320279980"/>
    <x v="160"/>
    <s v="LEX AUTOLEASE 576482V00447102"/>
    <n v="-498.36"/>
    <s v=""/>
    <n v="69270.2"/>
  </r>
  <r>
    <d v="2026-03-23T00:00:00"/>
    <x v="7"/>
    <s v="Direct Debit"/>
    <s v="DDC20260320282418"/>
    <x v="161"/>
    <s v="PENNON WATER SRVCS 5059027201"/>
    <n v="-22"/>
    <s v=""/>
    <n v="69768.56"/>
  </r>
  <r>
    <d v="2026-03-23T00:00:00"/>
    <x v="7"/>
    <s v="Direct Debit"/>
    <s v="DDC20260320201164"/>
    <x v="162"/>
    <s v="BIFFA WASTE SERVIC S55587"/>
    <n v="-1466.4"/>
    <s v=""/>
    <n v="69790.56"/>
  </r>
  <r>
    <d v="2026-03-23T00:00:00"/>
    <x v="7"/>
    <s v="Direct Debit"/>
    <s v="DDC20260320286298"/>
    <x v="132"/>
    <s v="SOUTH STAFFS WATER 1789297801"/>
    <n v="-152.73"/>
    <s v=""/>
    <n v="71256.96000000001"/>
  </r>
  <r>
    <d v="2026-03-23T00:00:00"/>
    <x v="7"/>
    <s v="Direct Debit"/>
    <s v="DDC20260320286273"/>
    <x v="132"/>
    <s v="SOUTH STAFFS WATER 1225542001"/>
    <n v="-87.59999999999999"/>
    <s v=""/>
    <n v="71409.69"/>
  </r>
  <r>
    <d v="2026-03-23T00:00:00"/>
    <x v="7"/>
    <s v="Direct Debit"/>
    <s v="DDC20260320285496"/>
    <x v="144"/>
    <s v="EVERFLOW LIMITED B259114A"/>
    <n v="-61.53"/>
    <s v=""/>
    <n v="71497.28999999999"/>
  </r>
  <r>
    <d v="2026-03-23T00:00:00"/>
    <x v="7"/>
    <s v="Direct Debit"/>
    <s v="DDC20260320286303"/>
    <x v="132"/>
    <s v="SOUTH STAFFS WATER 2010939601"/>
    <n v="-60.09"/>
    <s v=""/>
    <n v="71558.82000000001"/>
  </r>
  <r>
    <d v="2026-03-23T00:00:00"/>
    <x v="7"/>
    <s v="Direct Debit"/>
    <s v="DDC20260320286281"/>
    <x v="132"/>
    <s v="SOUTH STAFFS WATER 1965284701"/>
    <n v="-59.81"/>
    <s v=""/>
    <n v="71618.91"/>
  </r>
  <r>
    <d v="2026-03-23T00:00:00"/>
    <x v="7"/>
    <s v="Direct Debit"/>
    <s v="DDC20260320286294"/>
    <x v="132"/>
    <s v="SOUTH STAFFS WATER 1726030501"/>
    <n v="-19.55"/>
    <s v=""/>
    <n v="71678.72"/>
  </r>
  <r>
    <d v="2026-03-23T00:00:00"/>
    <x v="7"/>
    <s v="Direct Debit"/>
    <s v="DDC20260320223983"/>
    <x v="163"/>
    <s v="PC/COVEAEXECHOME 04AFEK2558/010/110"/>
    <n v="-533.24"/>
    <s v=""/>
    <n v="71698.27"/>
  </r>
  <r>
    <d v="2026-03-23T00:00:00"/>
    <x v="7"/>
    <s v="Direct Debit"/>
    <s v="DDC20260320216268"/>
    <x v="164"/>
    <s v="BIRMINGHAM CITY CO 5057617358"/>
    <n v="-117"/>
    <s v=""/>
    <n v="72231.50999999999"/>
  </r>
  <r>
    <d v="2026-03-23T00:00:00"/>
    <x v="7"/>
    <s v="Direct Debit"/>
    <s v="DDC20260320221993"/>
    <x v="165"/>
    <s v="BNP PARIBAS LEASIN A1E93446  V5804613"/>
    <n v="-101.82"/>
    <s v=""/>
    <n v="72348.50999999999"/>
  </r>
  <r>
    <d v="2026-03-23T00:00:00"/>
    <x v="7"/>
    <s v="Direct Debit"/>
    <s v="DDC20260320216267"/>
    <x v="164"/>
    <s v="BIRMINGHAM CITY CO 5056103873"/>
    <n v="-83"/>
    <s v=""/>
    <n v="72450.33"/>
  </r>
  <r>
    <d v="2026-03-23T00:00:00"/>
    <x v="7"/>
    <s v="Inward Payment"/>
    <s v="FT26082XVR0S"/>
    <x v="166"/>
    <s v="MARTIN CRIMMONS"/>
    <n v="470.56"/>
    <n v="470.56"/>
    <n v="72533.33"/>
  </r>
  <r>
    <d v="2026-03-23T00:00:00"/>
    <x v="7"/>
    <s v="Inward Payment"/>
    <s v="FT26082KTBT4"/>
    <x v="50"/>
    <s v="ADAM ASTLEY"/>
    <n v="50"/>
    <n v="50"/>
    <n v="72062.77"/>
  </r>
  <r>
    <d v="2026-03-23T00:00:00"/>
    <x v="7"/>
    <s v="Inward Payment"/>
    <s v="FT260823N29X"/>
    <x v="55"/>
    <s v="TOBY PALETHORPE"/>
    <n v="100"/>
    <n v="100"/>
    <n v="72012.77"/>
  </r>
  <r>
    <d v="2026-03-23T00:00:00"/>
    <x v="7"/>
    <s v="Direct Debit"/>
    <s v="DDC20260320211946"/>
    <x v="167"/>
    <s v="ENGIE GAS 10325152002"/>
    <n v="-1625.27"/>
    <s v=""/>
    <n v="71912.77"/>
  </r>
  <r>
    <d v="2026-03-23T00:00:00"/>
    <x v="7"/>
    <s v="Direct Debit"/>
    <s v="DDC20260320211950"/>
    <x v="167"/>
    <s v="ENGIE GAS 10405533001"/>
    <n v="-1325.93"/>
    <s v=""/>
    <n v="73538.03999999999"/>
  </r>
  <r>
    <d v="2026-03-23T00:00:00"/>
    <x v="7"/>
    <s v="Direct Debit"/>
    <s v="DDC20260320212008"/>
    <x v="167"/>
    <s v="ENGIE GAS 10430727001"/>
    <n v="-784.74"/>
    <s v=""/>
    <n v="74863.97"/>
  </r>
  <r>
    <d v="2026-03-23T00:00:00"/>
    <x v="7"/>
    <s v="Direct Debit"/>
    <s v="DDC20260320211929"/>
    <x v="167"/>
    <s v="ENGIE GAS 10293463001"/>
    <n v="-767.98"/>
    <s v=""/>
    <n v="75648.71000000001"/>
  </r>
  <r>
    <d v="2026-03-23T00:00:00"/>
    <x v="7"/>
    <s v="Direct Debit"/>
    <s v="DDC20260320211964"/>
    <x v="167"/>
    <s v="ENGIE GAS 10281434002"/>
    <n v="-722.78"/>
    <s v=""/>
    <n v="76416.69"/>
  </r>
  <r>
    <d v="2026-03-23T00:00:00"/>
    <x v="7"/>
    <s v="Direct Debit"/>
    <s v="DDC20260320211979"/>
    <x v="167"/>
    <s v="ENGIE GAS 10285849001"/>
    <n v="-385.49"/>
    <s v=""/>
    <n v="77139.47"/>
  </r>
  <r>
    <d v="2026-03-23T00:00:00"/>
    <x v="7"/>
    <s v="Direct Debit"/>
    <s v="DDC20260320211959"/>
    <x v="167"/>
    <s v="ENGIE GAS 10280832001"/>
    <n v="-362.58"/>
    <s v=""/>
    <n v="77524.96000000001"/>
  </r>
  <r>
    <d v="2026-03-23T00:00:00"/>
    <x v="7"/>
    <s v="Direct Debit"/>
    <s v="DDC20260320211933"/>
    <x v="167"/>
    <s v="ENGIE GAS 10293982002"/>
    <n v="-347.95"/>
    <s v=""/>
    <n v="77887.53999999999"/>
  </r>
  <r>
    <d v="2026-03-23T00:00:00"/>
    <x v="7"/>
    <s v="Direct Debit"/>
    <s v="DDC20260320212031"/>
    <x v="167"/>
    <s v="ENGIE GAS 10276835001"/>
    <n v="-322.53"/>
    <s v=""/>
    <n v="78235.49000000001"/>
  </r>
  <r>
    <d v="2026-03-23T00:00:00"/>
    <x v="7"/>
    <s v="Direct Debit"/>
    <s v="DDC20260320211937"/>
    <x v="167"/>
    <s v="ENGIE GAS 10340026001"/>
    <n v="-300.8"/>
    <s v=""/>
    <n v="78558.02"/>
  </r>
  <r>
    <d v="2026-03-23T00:00:00"/>
    <x v="7"/>
    <s v="Direct Debit"/>
    <s v="DDC20260320211980"/>
    <x v="167"/>
    <s v="ENGIE GAS 10285854001"/>
    <n v="-297.11"/>
    <s v=""/>
    <n v="78858.82000000001"/>
  </r>
  <r>
    <d v="2026-03-23T00:00:00"/>
    <x v="7"/>
    <s v="Direct Debit"/>
    <s v="DDC20260320212024"/>
    <x v="167"/>
    <s v="ENGIE GAS 10453833001"/>
    <n v="-284.24"/>
    <s v=""/>
    <n v="79155.92999999999"/>
  </r>
  <r>
    <d v="2026-03-23T00:00:00"/>
    <x v="7"/>
    <s v="Direct Debit"/>
    <s v="DDC20260320212026"/>
    <x v="167"/>
    <s v="ENGIE GAS 10453834001"/>
    <n v="-284.24"/>
    <s v=""/>
    <n v="79440.17"/>
  </r>
  <r>
    <d v="2026-03-23T00:00:00"/>
    <x v="7"/>
    <s v="Direct Debit"/>
    <s v="DDC20260320211957"/>
    <x v="167"/>
    <s v="ENGIE GAS 10280830001"/>
    <n v="-240.96"/>
    <s v=""/>
    <n v="79724.41"/>
  </r>
  <r>
    <d v="2026-03-23T00:00:00"/>
    <x v="7"/>
    <s v="Direct Debit"/>
    <s v="DDC20260320211958"/>
    <x v="167"/>
    <s v="ENGIE GAS 10280831001"/>
    <n v="-202.72"/>
    <s v=""/>
    <n v="79965.37"/>
  </r>
  <r>
    <d v="2026-03-23T00:00:00"/>
    <x v="7"/>
    <s v="Direct Debit"/>
    <s v="DDC20260320211981"/>
    <x v="167"/>
    <s v="ENGIE GAS 10285850001"/>
    <n v="-184.07"/>
    <s v=""/>
    <n v="80168.09"/>
  </r>
  <r>
    <d v="2026-03-23T00:00:00"/>
    <x v="7"/>
    <s v="Direct Debit"/>
    <s v="DDC20260320211955"/>
    <x v="167"/>
    <s v="ENGIE GAS 10280833001"/>
    <n v="-169.3"/>
    <s v=""/>
    <n v="80352.16"/>
  </r>
  <r>
    <d v="2026-03-23T00:00:00"/>
    <x v="7"/>
    <s v="Direct Debit"/>
    <s v="DDC20260320212027"/>
    <x v="167"/>
    <s v="ENGIE GAS 10276836001"/>
    <n v="-157.5"/>
    <s v=""/>
    <n v="80521.46000000001"/>
  </r>
  <r>
    <d v="2026-03-23T00:00:00"/>
    <x v="7"/>
    <s v="Direct Debit"/>
    <s v="DDC20260320211982"/>
    <x v="167"/>
    <s v="ENGIE GAS 10285852002"/>
    <n v="-140.22"/>
    <s v=""/>
    <n v="80678.96000000001"/>
  </r>
  <r>
    <d v="2026-03-23T00:00:00"/>
    <x v="7"/>
    <s v="Direct Debit"/>
    <s v="DDC20260320211956"/>
    <x v="167"/>
    <s v="ENGIE GAS 10280829003"/>
    <n v="-120.76"/>
    <s v=""/>
    <n v="80819.17999999999"/>
  </r>
  <r>
    <d v="2026-03-23T00:00:00"/>
    <x v="7"/>
    <s v="Direct Debit"/>
    <s v="DDC20260320211947"/>
    <x v="167"/>
    <s v="ENGIE GAS 10309525001"/>
    <n v="-119.94"/>
    <s v=""/>
    <n v="80939.94"/>
  </r>
  <r>
    <d v="2026-03-23T00:00:00"/>
    <x v="7"/>
    <s v="Direct Debit"/>
    <s v="DDC20260320211936"/>
    <x v="167"/>
    <s v="ENGIE GAS 10293980001"/>
    <n v="-46.24"/>
    <s v=""/>
    <n v="81059.88"/>
  </r>
  <r>
    <d v="2026-03-23T00:00:00"/>
    <x v="7"/>
    <s v="Direct Debit"/>
    <s v="DDC20260320212030"/>
    <x v="167"/>
    <s v="ENGIE GAS 10276837001"/>
    <n v="-5.52"/>
    <s v=""/>
    <n v="81106.12"/>
  </r>
  <r>
    <d v="2026-03-23T00:00:00"/>
    <x v="7"/>
    <s v="Inward Payment"/>
    <s v="FT26082CR58R"/>
    <x v="168"/>
    <s v="SERVICECHARGE"/>
    <n v="216.67"/>
    <n v="216.67"/>
    <n v="81111.64"/>
  </r>
  <r>
    <d v="2026-03-23T00:00:00"/>
    <x v="7"/>
    <s v="Inward Payment"/>
    <s v="FT26082LDJ25"/>
    <x v="169"/>
    <s v="R WILKINS"/>
    <n v="200"/>
    <n v="200"/>
    <n v="80894.97"/>
  </r>
  <r>
    <d v="2026-03-23T00:00:00"/>
    <x v="7"/>
    <s v="BACS Payment Received"/>
    <s v="BACS20260320134011"/>
    <x v="170"/>
    <s v="LNEAL-607080-10025863 278961-LNEAL-&amp;--&amp;-000000003676529696 099 BACS CR LAURA NEAL"/>
    <n v="411.67"/>
    <n v="411.67"/>
    <n v="80694.97"/>
  </r>
  <r>
    <d v="2026-03-23T00:00:00"/>
    <x v="7"/>
    <s v="Inward Payment"/>
    <s v="FT26082FF6G8"/>
    <x v="171"/>
    <s v="S CLARK - rent/uti"/>
    <n v="740"/>
    <n v="740"/>
    <n v="80283.3"/>
  </r>
  <r>
    <d v="2026-03-23T00:00:00"/>
    <x v="7"/>
    <s v="BACS Payment Received"/>
    <s v="BACS20260320141981"/>
    <x v="172"/>
    <s v="LONDON BOROUGH OF-308012-12992868 293730-LONDON BOROUGH OF-&amp;--&amp;-T PEART 099 BACS CR SELECT LIFESTYLES"/>
    <n v="260"/>
    <n v="260"/>
    <n v="79543.3"/>
  </r>
  <r>
    <d v="2026-03-23T00:00:00"/>
    <x v="7"/>
    <s v="BACS Payment Received"/>
    <s v="BACS20260320141982"/>
    <x v="172"/>
    <s v="LONDON BOROUGH OF-308012-12992868 293730-LONDON BOROUGH OF-&amp;--&amp;-TREVORPEART 099 BACS CR SELECT LIFESTYLES"/>
    <n v="480"/>
    <n v="480"/>
    <n v="79283.3"/>
  </r>
  <r>
    <d v="2026-03-23T00:00:00"/>
    <x v="7"/>
    <s v="BACS Payment Received"/>
    <s v="BACS20260320100647"/>
    <x v="30"/>
    <s v="WALSALL METROPOLIT-206877-58552541 401256-WALSALL METROPOLIT-&amp;--&amp;-LRG WEEKLY FOOD 099 BACS CR SELECT LIFESTYLES"/>
    <n v="50"/>
    <n v="50"/>
    <n v="78803.3"/>
  </r>
  <r>
    <d v="2026-03-23T00:00:00"/>
    <x v="7"/>
    <s v="BACS Payment Received"/>
    <s v="BACS20260320100648"/>
    <x v="30"/>
    <s v="WALSALL METROPOLIT-206877-58552541 401256-WALSALL METROPOLIT-&amp;--&amp;-S P      S 099 BACS CR SELECT LIFESTYLES"/>
    <n v="50"/>
    <n v="50"/>
    <n v="78753.3"/>
  </r>
  <r>
    <d v="2026-03-23T00:00:00"/>
    <x v="7"/>
    <s v="BACS Payment Received"/>
    <s v="BACS20260320100653"/>
    <x v="30"/>
    <s v="WALSALL METROPOLIT-206877-58552541 401256-WALSALL METROPOLIT-&amp;--&amp;-S HOLMES UTILITY 099 BACS CR SELECT LIFESTYLES"/>
    <n v="50"/>
    <n v="50"/>
    <n v="78703.3"/>
  </r>
  <r>
    <d v="2026-03-23T00:00:00"/>
    <x v="7"/>
    <s v="BACS Payment Received"/>
    <s v="BACS20260320100651"/>
    <x v="30"/>
    <s v="WALSALL METROPOLIT-206877-58552541 401256-WALSALL METROPOLIT-&amp;--&amp;-LEO RONALD GUY 099 BACS CR SELECT LIFESTYLES"/>
    <n v="65"/>
    <n v="65"/>
    <n v="78653.3"/>
  </r>
  <r>
    <d v="2026-03-23T00:00:00"/>
    <x v="7"/>
    <s v="BACS Payment Received"/>
    <s v="BACS20260320100644"/>
    <x v="30"/>
    <s v="WALSALL METROPOLIT-206877-58552541 401256-WALSALL METROPOLIT-&amp;--&amp;-RBATE HB TOP UP 099 BACS CR SELECT LIFESTYLES"/>
    <n v="120"/>
    <n v="120"/>
    <n v="78588.3"/>
  </r>
  <r>
    <d v="2026-03-23T00:00:00"/>
    <x v="7"/>
    <s v="BACS Payment Received"/>
    <s v="BACS20260320100649"/>
    <x v="30"/>
    <s v="WALSALL METROPOLIT-206877-58552541 401256-WALSALL METROPOLIT-&amp;--&amp;-TIA BRYON 099 BACS CR LIFESTYLES"/>
    <n v="120"/>
    <n v="120"/>
    <n v="78468.3"/>
  </r>
  <r>
    <d v="2026-03-23T00:00:00"/>
    <x v="7"/>
    <s v="BACS Payment Received"/>
    <s v="BACS20260320100654"/>
    <x v="30"/>
    <s v="WALSALL METROPOLIT-206877-58552541 401256-WALSALL METROPOLIT-&amp;--&amp;-L R GUY RENT 099 BACS CR SELECT LIFESTYLES"/>
    <n v="120"/>
    <n v="120"/>
    <n v="78348.3"/>
  </r>
  <r>
    <d v="2026-03-23T00:00:00"/>
    <x v="7"/>
    <s v="BACS Payment Received"/>
    <s v="BACS20260320100643"/>
    <x v="30"/>
    <s v="WALSALL METROPOLIT-206877-58552541 401256-WALSALL METROPOLIT-&amp;--&amp;-KWILEMAN RENT 099 BACS CR SELECT LIFESTYLES"/>
    <n v="145"/>
    <n v="145"/>
    <n v="78228.3"/>
  </r>
  <r>
    <d v="2026-03-23T00:00:00"/>
    <x v="7"/>
    <s v="BACS Payment Received"/>
    <s v="BACS20260320100652"/>
    <x v="30"/>
    <s v="WALSALL METROPOLIT-206877-58552541 401256-WALSALL METROPOLIT-&amp;--&amp;-PROGERS RENT/UTIL 099 BACS CR SELECT LIFESTYLES"/>
    <n v="145"/>
    <n v="145"/>
    <n v="78083.3"/>
  </r>
  <r>
    <d v="2026-03-23T00:00:00"/>
    <x v="7"/>
    <s v="BACS Payment Received"/>
    <s v="BACS20260320100657"/>
    <x v="30"/>
    <s v="WALSALL METROPOLIT-206877-58552541 401256-WALSALL METROPOLIT-&amp;--&amp;-DSWAIN RENT &amp; SC 099 BACS CR SELECT LIFESTYLES"/>
    <n v="185"/>
    <n v="185"/>
    <n v="77938.3"/>
  </r>
  <r>
    <d v="2026-03-23T00:00:00"/>
    <x v="7"/>
    <s v="BACS Payment Received"/>
    <s v="BACS20260320100655"/>
    <x v="30"/>
    <s v="WALSALL METROPOLIT-206877-58552541 401256-WALSALL METROPOLIT-&amp;--&amp;-R      B    B 099 BACS CR SELECT LIFESTYLES"/>
    <n v="260"/>
    <n v="260"/>
    <n v="77753.3"/>
  </r>
  <r>
    <d v="2026-03-23T00:00:00"/>
    <x v="7"/>
    <s v="BACS Payment Received"/>
    <s v="BACS20260320100645"/>
    <x v="30"/>
    <s v="WALSALL METROPOLIT-206877-58552541 401256-WALSALL METROPOLIT-&amp;--&amp;-RENT &amp; SC  DDAVIES 099 BACS CR SELECT LIFESTYLES"/>
    <n v="580"/>
    <n v="580"/>
    <n v="77493.3"/>
  </r>
  <r>
    <d v="2026-03-23T00:00:00"/>
    <x v="7"/>
    <s v="BACS Payment Received"/>
    <s v="BACS20260320101089"/>
    <x v="173"/>
    <s v="SOLIHULL MBC EXP.-200771-00561525 990787-SOLIHULL MBC EXP.-&amp;--&amp;-347449 099 BACS CR SELECT LIFESTYLES"/>
    <n v="33031.6"/>
    <n v="33031.6"/>
    <n v="76913.3"/>
  </r>
  <r>
    <d v="2026-03-23T00:00:00"/>
    <x v="7"/>
    <s v="Inward Payment"/>
    <s v="FT260820GQYX"/>
    <x v="174"/>
    <s v="STEVEN BLAND Utili"/>
    <n v="580"/>
    <n v="580"/>
    <n v="43881.7"/>
  </r>
  <r>
    <d v="2026-03-23T00:00:00"/>
    <x v="7"/>
    <s v="Inward Payment"/>
    <s v="FT260828NQ2H"/>
    <x v="175"/>
    <s v="NATHANFL"/>
    <n v="787.84"/>
    <n v="787.84"/>
    <n v="43301.7"/>
  </r>
  <r>
    <d v="2026-03-23T00:00:00"/>
    <x v="7"/>
    <s v="Inward Payment"/>
    <s v="FT26082H8257"/>
    <x v="71"/>
    <s v="DANIEL MEHMI"/>
    <n v="95"/>
    <n v="95"/>
    <n v="42513.86"/>
  </r>
  <r>
    <d v="2026-03-23T00:00:00"/>
    <x v="7"/>
    <s v="Inward Payment"/>
    <s v="FT26082CJH9X"/>
    <x v="72"/>
    <s v="AMY ELWELL"/>
    <n v="50"/>
    <n v="50"/>
    <n v="42418.86"/>
  </r>
  <r>
    <d v="2026-03-23T00:00:00"/>
    <x v="7"/>
    <s v="Inward Payment"/>
    <s v="FT260825CT56"/>
    <x v="73"/>
    <s v="FOOD SHOPPING"/>
    <n v="50"/>
    <n v="50"/>
    <n v="42368.86"/>
  </r>
  <r>
    <d v="2026-03-23T00:00:00"/>
    <x v="7"/>
    <s v="Inward Payment"/>
    <s v="FT260824XYZT"/>
    <x v="113"/>
    <s v="ADAM PEILE rent"/>
    <n v="380"/>
    <n v="380"/>
    <n v="42318.86"/>
  </r>
  <r>
    <d v="2026-03-23T00:00:00"/>
    <x v="7"/>
    <s v="Inward Payment"/>
    <s v="FT26082LX017"/>
    <x v="176"/>
    <s v="STEVEN MCMILLAN RE"/>
    <n v="740"/>
    <n v="740"/>
    <n v="41938.86"/>
  </r>
  <r>
    <d v="2026-03-23T00:00:00"/>
    <x v="7"/>
    <s v="Inward Payment"/>
    <s v="FT26082DXRBB"/>
    <x v="177"/>
    <s v="MR A WALLACE"/>
    <n v="580"/>
    <n v="580"/>
    <n v="41198.86"/>
  </r>
  <r>
    <d v="2026-03-23T00:00:00"/>
    <x v="7"/>
    <s v="Inward Payment"/>
    <s v="FT26082ZPR0J"/>
    <x v="178"/>
    <s v="S COGHLANUtility/S"/>
    <n v="580"/>
    <n v="580"/>
    <n v="40618.86"/>
  </r>
  <r>
    <d v="2026-03-23T00:00:00"/>
    <x v="7"/>
    <s v="Inward Payment"/>
    <s v="FT26082SMGW1"/>
    <x v="48"/>
    <s v="CHRISMIL"/>
    <n v="380"/>
    <n v="380"/>
    <n v="40038.86"/>
  </r>
  <r>
    <d v="2026-03-23T00:00:00"/>
    <x v="7"/>
    <s v="Inward Payment"/>
    <s v="FT260823FPMX"/>
    <x v="179"/>
    <s v="DAVIDCUL -UTILITY/"/>
    <n v="787.84"/>
    <n v="787.84"/>
    <n v="39658.86"/>
  </r>
  <r>
    <d v="2026-03-23T00:00:00"/>
    <x v="7"/>
    <s v="Inward Payment"/>
    <s v="FT26082QM0DH"/>
    <x v="180"/>
    <s v="HILARY SUFFOLK SER"/>
    <n v="740"/>
    <n v="740"/>
    <n v="38871.02"/>
  </r>
  <r>
    <d v="2026-03-23T00:00:00"/>
    <x v="7"/>
    <s v="Inward Payment"/>
    <s v="FT2608215728"/>
    <x v="43"/>
    <s v="MARKEY GRAY-RENT"/>
    <n v="120"/>
    <n v="120"/>
    <n v="38131.02"/>
  </r>
  <r>
    <d v="2026-03-23T00:00:00"/>
    <x v="7"/>
    <s v="Inward Payment"/>
    <s v="FT26082316T4"/>
    <x v="181"/>
    <s v="R Singh - Utility/"/>
    <n v="740"/>
    <n v="740"/>
    <n v="38011.02"/>
  </r>
  <r>
    <d v="2026-03-23T00:00:00"/>
    <x v="7"/>
    <s v="Inward Payment"/>
    <s v="FT2608278DX0"/>
    <x v="152"/>
    <s v="Jashuben Patel Ren"/>
    <n v="200"/>
    <n v="200"/>
    <n v="37271.02"/>
  </r>
  <r>
    <d v="2026-03-23T00:00:00"/>
    <x v="7"/>
    <s v="Inward Payment"/>
    <s v="FT26082NQZ2N"/>
    <x v="44"/>
    <s v="KATIE PARKER RENT"/>
    <n v="6.08"/>
    <n v="6.08"/>
    <n v="37071.02"/>
  </r>
  <r>
    <d v="2026-03-23T00:00:00"/>
    <x v="7"/>
    <s v="Inward Payment"/>
    <s v="FT260824LGPP"/>
    <x v="74"/>
    <s v="DAVID PILLINGER"/>
    <n v="65"/>
    <n v="65"/>
    <n v="37064.94"/>
  </r>
  <r>
    <d v="2026-03-23T00:00:00"/>
    <x v="7"/>
    <s v="Inward Payment"/>
    <s v="FT26082W4D44"/>
    <x v="75"/>
    <s v="MRS M WOLVERSON"/>
    <n v="6.08"/>
    <n v="6.08"/>
    <n v="36999.94"/>
  </r>
  <r>
    <d v="2026-03-23T00:00:00"/>
    <x v="7"/>
    <s v="Inward Payment"/>
    <s v="FT2608252NDX"/>
    <x v="74"/>
    <s v="DPILLINGER TRANSP"/>
    <n v="11.96"/>
    <n v="11.96"/>
    <n v="36993.86"/>
  </r>
  <r>
    <d v="2026-03-23T00:00:00"/>
    <x v="7"/>
    <s v="Inward Payment"/>
    <s v="FT26082VW6JC"/>
    <x v="182"/>
    <s v="NO REF"/>
    <n v="50"/>
    <n v="50"/>
    <n v="36981.9"/>
  </r>
  <r>
    <d v="2026-03-23T00:00:00"/>
    <x v="7"/>
    <s v="Inward Payment"/>
    <s v="FT26082GT9SV"/>
    <x v="77"/>
    <s v="GARY EDWARDS"/>
    <n v="50"/>
    <n v="50"/>
    <n v="36931.9"/>
  </r>
  <r>
    <d v="2026-03-23T00:00:00"/>
    <x v="7"/>
    <s v="Inward Payment"/>
    <s v="FT2608289K2R"/>
    <x v="83"/>
    <s v="A FRANCE - RENT"/>
    <n v="95"/>
    <n v="95"/>
    <n v="36881.9"/>
  </r>
  <r>
    <d v="2026-03-23T00:00:00"/>
    <x v="7"/>
    <s v="Inward Payment"/>
    <s v="FT26082MVBKM"/>
    <x v="45"/>
    <s v="DAVID MORRIS UTILI"/>
    <n v="50"/>
    <n v="50"/>
    <n v="36786.9"/>
  </r>
  <r>
    <d v="2026-03-23T00:00:00"/>
    <x v="7"/>
    <s v="Inward Payment"/>
    <s v="FT260820WT0B"/>
    <x v="183"/>
    <s v="L CRESSWELL"/>
    <n v="200"/>
    <n v="200"/>
    <n v="36736.9"/>
  </r>
  <r>
    <d v="2026-03-23T00:00:00"/>
    <x v="7"/>
    <s v="Inward Payment"/>
    <s v="FT26082YWMJL"/>
    <x v="79"/>
    <s v="ANTHONY FRANCE"/>
    <n v="50"/>
    <n v="50"/>
    <n v="36536.9"/>
  </r>
  <r>
    <d v="2026-03-23T00:00:00"/>
    <x v="7"/>
    <s v="Inward Payment"/>
    <s v="FT26082CD08P"/>
    <x v="44"/>
    <s v="KATIE PARKER VEHIC"/>
    <n v="11.96"/>
    <n v="11.96"/>
    <n v="36486.9"/>
  </r>
  <r>
    <d v="2026-03-23T00:00:00"/>
    <x v="7"/>
    <s v="Inward Payment"/>
    <s v="FT260829P43N"/>
    <x v="184"/>
    <s v="BOBBY LI RENT UTI"/>
    <n v="787.84"/>
    <n v="787.84"/>
    <n v="36474.94"/>
  </r>
  <r>
    <d v="2026-03-23T00:00:00"/>
    <x v="7"/>
    <s v="Inward Payment"/>
    <s v="FT26082PFSBG"/>
    <x v="48"/>
    <s v="CHRISTOPHER MILLIN"/>
    <n v="50"/>
    <n v="50"/>
    <n v="35687.1"/>
  </r>
  <r>
    <d v="2026-03-23T00:00:00"/>
    <x v="7"/>
    <s v="Inward Payment"/>
    <s v="FT26082XBK84"/>
    <x v="78"/>
    <s v="DAVID SEABRIGHT"/>
    <n v="120"/>
    <n v="120"/>
    <n v="35637.1"/>
  </r>
  <r>
    <d v="2026-03-23T00:00:00"/>
    <x v="7"/>
    <s v="Inward Payment"/>
    <s v="FT260823GDNK"/>
    <x v="185"/>
    <s v="BDWYER RENT"/>
    <n v="380"/>
    <n v="380"/>
    <n v="35517.1"/>
  </r>
  <r>
    <d v="2026-03-23T00:00:00"/>
    <x v="7"/>
    <s v="Inward Payment"/>
    <s v="FT26082ZXJG0"/>
    <x v="43"/>
    <s v="MARKER GRAY-UTILIT"/>
    <n v="65"/>
    <n v="65"/>
    <n v="35137.1"/>
  </r>
  <r>
    <d v="2026-03-23T00:00:00"/>
    <x v="7"/>
    <s v="Inward Payment"/>
    <s v="FT26082GJ1H1"/>
    <x v="25"/>
    <s v="ANTHONY MEACHIN RE"/>
    <n v="95"/>
    <n v="95"/>
    <n v="35072.1"/>
  </r>
  <r>
    <d v="2026-03-23T00:00:00"/>
    <x v="7"/>
    <s v="Inward Payment"/>
    <s v="FT260827JZ9W"/>
    <x v="186"/>
    <s v="JORDAN BURN RENT"/>
    <n v="580"/>
    <n v="580"/>
    <n v="34977.1"/>
  </r>
  <r>
    <d v="2026-03-23T00:00:00"/>
    <x v="7"/>
    <s v="Inward Payment"/>
    <s v="FT26082619NQ"/>
    <x v="81"/>
    <s v="LOUISE ROBERTS"/>
    <n v="50"/>
    <n v="50"/>
    <n v="34397.1"/>
  </r>
  <r>
    <d v="2026-03-23T00:00:00"/>
    <x v="7"/>
    <s v="Inward Payment"/>
    <s v="FT26082XLD0N"/>
    <x v="26"/>
    <s v="LEIGH AMES UTILITI"/>
    <n v="65"/>
    <n v="65"/>
    <n v="34347.1"/>
  </r>
  <r>
    <d v="2026-03-23T00:00:00"/>
    <x v="7"/>
    <s v="Inward Payment"/>
    <s v="FT26082YKJZ3"/>
    <x v="27"/>
    <n v="38252"/>
    <n v="65"/>
    <n v="65"/>
    <n v="34282.1"/>
  </r>
  <r>
    <d v="2026-03-23T00:00:00"/>
    <x v="7"/>
    <s v="Inward Payment"/>
    <s v="FT26082HQCCY"/>
    <x v="78"/>
    <s v="DAVID SEABRIGHT"/>
    <n v="260"/>
    <n v="260"/>
    <n v="34217.1"/>
  </r>
  <r>
    <d v="2026-03-23T00:00:00"/>
    <x v="7"/>
    <s v="Inward Payment"/>
    <s v="FT26082W4F9B"/>
    <x v="46"/>
    <s v="SIMON KELLY UTILIT"/>
    <n v="50"/>
    <n v="50"/>
    <n v="33957.1"/>
  </r>
  <r>
    <d v="2026-03-23T00:00:00"/>
    <x v="7"/>
    <s v="Inward Payment"/>
    <s v="FT26082D03JF"/>
    <x v="44"/>
    <s v="KATIE PARKER UTILI"/>
    <n v="65"/>
    <n v="65"/>
    <n v="33907.1"/>
  </r>
  <r>
    <d v="2026-03-23T00:00:00"/>
    <x v="7"/>
    <s v="Inward Payment"/>
    <s v="FT26082GMZMM"/>
    <x v="80"/>
    <s v="LOUISE ROBERTS"/>
    <n v="95"/>
    <n v="95"/>
    <n v="33842.1"/>
  </r>
  <r>
    <d v="2026-03-23T00:00:00"/>
    <x v="7"/>
    <s v="Inward Payment"/>
    <s v="FT26082MFDP5"/>
    <x v="45"/>
    <s v="DAVID MORRIS RENT"/>
    <n v="95"/>
    <n v="95"/>
    <n v="33747.1"/>
  </r>
  <r>
    <d v="2026-03-23T00:00:00"/>
    <x v="7"/>
    <s v="Inward Payment"/>
    <s v="FT26082VCBNF"/>
    <x v="187"/>
    <s v="Jade Foster-RentU"/>
    <n v="580"/>
    <n v="580"/>
    <n v="33652.1"/>
  </r>
  <r>
    <d v="2026-03-23T00:00:00"/>
    <x v="7"/>
    <s v="Inward Payment"/>
    <s v="FT26082WMFJH"/>
    <x v="47"/>
    <s v="GEMMA BAKER UTILIT"/>
    <n v="65"/>
    <n v="65"/>
    <n v="33072.1"/>
  </r>
  <r>
    <d v="2026-03-23T00:00:00"/>
    <x v="7"/>
    <s v="Inward Payment"/>
    <s v="FT260829D561"/>
    <x v="185"/>
    <s v="BRETT DWYER"/>
    <n v="200"/>
    <n v="200"/>
    <n v="33007.1"/>
  </r>
  <r>
    <d v="2026-03-23T00:00:00"/>
    <x v="7"/>
    <s v="Inward Payment"/>
    <s v="FT26082TQVST"/>
    <x v="82"/>
    <s v="LAUREN SMITH"/>
    <n v="411.67"/>
    <n v="411.67"/>
    <n v="32807.1"/>
  </r>
  <r>
    <d v="2026-03-23T00:00:00"/>
    <x v="7"/>
    <s v="Inward Payment"/>
    <s v="FT26082HNCNX"/>
    <x v="183"/>
    <s v="LAURA CRESSWELL"/>
    <n v="380"/>
    <n v="380"/>
    <n v="32395.43"/>
  </r>
  <r>
    <d v="2026-03-23T00:00:00"/>
    <x v="7"/>
    <s v="Inward Payment"/>
    <s v="FT26082WBCTQ"/>
    <x v="188"/>
    <s v="GARYEDWA"/>
    <n v="380"/>
    <n v="380"/>
    <n v="32015.43"/>
  </r>
  <r>
    <d v="2026-03-23T00:00:00"/>
    <x v="7"/>
    <s v="Inward Payment"/>
    <s v="FT26082PZGJF"/>
    <x v="82"/>
    <s v="LAUREN SMITH"/>
    <n v="150"/>
    <n v="150"/>
    <n v="31635.43"/>
  </r>
  <r>
    <d v="2026-03-23T00:00:00"/>
    <x v="7"/>
    <s v="Inward Payment"/>
    <s v="FT26082167KZ"/>
    <x v="65"/>
    <s v="JOHN UPCOTT"/>
    <n v="145"/>
    <n v="145"/>
    <n v="31485.43"/>
  </r>
  <r>
    <d v="2026-03-23T00:00:00"/>
    <x v="7"/>
    <s v="Inward Payment"/>
    <s v="FT260823H4YJ"/>
    <x v="85"/>
    <s v="JAMES EASTWOOD"/>
    <n v="50"/>
    <n v="50"/>
    <n v="31340.43"/>
  </r>
  <r>
    <d v="2026-03-23T00:00:00"/>
    <x v="7"/>
    <s v="Inward Payment"/>
    <s v="FT26082GVB7S"/>
    <x v="80"/>
    <s v="DAVID WILCOX"/>
    <n v="580"/>
    <n v="580"/>
    <n v="31290.43"/>
  </r>
  <r>
    <d v="2026-03-23T00:00:00"/>
    <x v="7"/>
    <s v="Inward Payment"/>
    <s v="FT26082NN6G3"/>
    <x v="189"/>
    <s v="JOSEPH WALSH"/>
    <n v="25"/>
    <n v="25"/>
    <n v="30710.43"/>
  </r>
  <r>
    <d v="2026-03-23T00:00:00"/>
    <x v="7"/>
    <s v="Inward Payment"/>
    <s v="FT26082G9Q9Q"/>
    <x v="69"/>
    <s v="ZACHARY J HUGHES"/>
    <n v="50"/>
    <n v="50"/>
    <n v="30685.43"/>
  </r>
  <r>
    <d v="2026-03-23T00:00:00"/>
    <x v="7"/>
    <s v="Inward Payment"/>
    <s v="FT26082J2CY5"/>
    <x v="70"/>
    <s v="SERVICE CHARGE PW"/>
    <n v="50"/>
    <n v="50"/>
    <n v="30635.43"/>
  </r>
  <r>
    <d v="2026-03-23T00:00:00"/>
    <x v="7"/>
    <s v="Inward Payment"/>
    <s v="FT26082ZST5B"/>
    <x v="190"/>
    <s v="HITEN MISTRY"/>
    <n v="306.67"/>
    <n v="306.67"/>
    <n v="30585.43"/>
  </r>
  <r>
    <d v="2026-03-23T00:00:00"/>
    <x v="7"/>
    <s v="Inward Payment"/>
    <s v="FT260821GG61"/>
    <x v="46"/>
    <s v="SIMON KELLY WEEKLY"/>
    <n v="95"/>
    <n v="95"/>
    <n v="30278.76"/>
  </r>
  <r>
    <d v="2026-03-23T00:00:00"/>
    <x v="7"/>
    <s v="Inward Payment"/>
    <s v="FT26082G349T"/>
    <x v="191"/>
    <s v="Yadvindra Dhillon"/>
    <n v="20"/>
    <n v="20"/>
    <n v="30183.76"/>
  </r>
  <r>
    <d v="2026-03-23T00:00:00"/>
    <x v="7"/>
    <s v="Inward Payment"/>
    <s v="FT2608275H4F"/>
    <x v="63"/>
    <s v="RYAN LAWLEY"/>
    <n v="95"/>
    <n v="95"/>
    <n v="30163.76"/>
  </r>
  <r>
    <d v="2026-03-23T00:00:00"/>
    <x v="7"/>
    <s v="Inward Payment"/>
    <s v="FT26082X3HLR"/>
    <x v="113"/>
    <s v="ADAM PEILE UTILITI"/>
    <n v="200"/>
    <n v="200"/>
    <n v="30068.76"/>
  </r>
  <r>
    <d v="2026-03-23T00:00:00"/>
    <x v="7"/>
    <s v="Inward Payment"/>
    <s v="FT260820C7CV"/>
    <x v="63"/>
    <s v="RYAN LAWLEY"/>
    <n v="50"/>
    <n v="50"/>
    <n v="29868.76"/>
  </r>
  <r>
    <d v="2026-03-23T00:00:00"/>
    <x v="7"/>
    <s v="Inward Payment"/>
    <s v="FT26082ZD5PH"/>
    <x v="87"/>
    <s v="select Utility"/>
    <n v="50"/>
    <n v="50"/>
    <n v="29818.76"/>
  </r>
  <r>
    <d v="2026-03-23T00:00:00"/>
    <x v="7"/>
    <s v="Inward Payment"/>
    <s v="FT26082Y3NDK"/>
    <x v="192"/>
    <s v="D MORRISSEY-LIMB"/>
    <n v="190"/>
    <n v="190"/>
    <n v="29768.76"/>
  </r>
  <r>
    <d v="2026-03-20T00:00:00"/>
    <x v="7"/>
    <s v="Inward Payment"/>
    <s v="FT26079WBTVC"/>
    <x v="88"/>
    <s v="SHEYLLA"/>
    <n v="120"/>
    <n v="120"/>
    <n v="29578.76"/>
  </r>
  <r>
    <d v="2026-03-20T00:00:00"/>
    <x v="8"/>
    <s v="Inward Payment"/>
    <s v="FT26079HLHBG"/>
    <x v="91"/>
    <s v="BRANLUCASSERVICE"/>
    <n v="50"/>
    <n v="50"/>
    <n v="29458.76"/>
  </r>
  <r>
    <d v="2026-03-20T00:00:00"/>
    <x v="8"/>
    <s v="Inward Payment"/>
    <s v="FT26079Z7GCX"/>
    <x v="193"/>
    <s v="JOSEPH WALSH"/>
    <n v="495"/>
    <n v="495"/>
    <n v="29408.76"/>
  </r>
  <r>
    <d v="2026-03-20T00:00:00"/>
    <x v="8"/>
    <s v="Outward Faster Payment"/>
    <s v="FT26079CYQMB"/>
    <x v="194"/>
    <n v="366211"/>
    <n v="-620.3200000000001"/>
    <s v=""/>
    <n v="28913.76"/>
  </r>
  <r>
    <d v="2026-03-20T00:00:00"/>
    <x v="8"/>
    <s v="Outward Faster Payment"/>
    <s v="FT2607997RGP"/>
    <x v="195"/>
    <s v="Acc LIF013"/>
    <n v="-187.14"/>
    <s v=""/>
    <n v="29534.08"/>
  </r>
  <r>
    <d v="2026-03-20T00:00:00"/>
    <x v="8"/>
    <s v="Outward Faster Payment"/>
    <s v="FT26079VXN8L"/>
    <x v="196"/>
    <n v="5711"/>
    <n v="-29"/>
    <s v=""/>
    <n v="29721.22"/>
  </r>
  <r>
    <d v="2026-03-20T00:00:00"/>
    <x v="8"/>
    <s v="Outward Faster Payment"/>
    <s v="FT260792GZ13"/>
    <x v="3"/>
    <s v="All Saints Rent"/>
    <n v="-14400"/>
    <s v=""/>
    <n v="29750.22"/>
  </r>
  <r>
    <d v="2026-03-20T00:00:00"/>
    <x v="8"/>
    <s v="Outward Faster Payment"/>
    <s v="FT26079368ZS"/>
    <x v="197"/>
    <s v="Select Lifestyles"/>
    <n v="-648"/>
    <s v=""/>
    <n v="44150.22"/>
  </r>
  <r>
    <d v="2026-03-20T00:00:00"/>
    <x v="8"/>
    <s v="Outward Faster Payment"/>
    <s v="FT26079TDHFC"/>
    <x v="198"/>
    <n v="823739"/>
    <n v="-274.48"/>
    <s v=""/>
    <n v="44798.22"/>
  </r>
  <r>
    <d v="2026-03-20T00:00:00"/>
    <x v="8"/>
    <s v="Outward Faster Payment"/>
    <s v="FT260792GMR0"/>
    <x v="199"/>
    <s v="Select Lifestyles"/>
    <n v="-861"/>
    <s v=""/>
    <n v="45072.7"/>
  </r>
  <r>
    <d v="2026-03-20T00:00:00"/>
    <x v="8"/>
    <s v="Outward Faster Payment"/>
    <s v="FT26079B1FWH"/>
    <x v="200"/>
    <s v="SEL11580873A"/>
    <n v="-56.4"/>
    <s v=""/>
    <n v="45933.7"/>
  </r>
  <r>
    <d v="2026-03-20T00:00:00"/>
    <x v="8"/>
    <s v="Outward Faster Payment"/>
    <s v="FT26079XGYL4"/>
    <x v="201"/>
    <s v="RJ8651"/>
    <n v="-50.4"/>
    <s v=""/>
    <n v="45990.1"/>
  </r>
  <r>
    <d v="2026-03-20T00:00:00"/>
    <x v="8"/>
    <s v="Outward Faster Payment"/>
    <s v="FT26079SBD05"/>
    <x v="202"/>
    <s v="AE2BJQN7L48LG"/>
    <n v="-1006.72"/>
    <s v=""/>
    <n v="46040.5"/>
  </r>
  <r>
    <d v="2026-03-20T00:00:00"/>
    <x v="8"/>
    <s v="Inward Payment"/>
    <s v="FT260790PDWY"/>
    <x v="49"/>
    <s v="Paul Campbell Rent"/>
    <n v="411.67"/>
    <n v="411.67"/>
    <n v="47047.22"/>
  </r>
  <r>
    <d v="2026-03-20T00:00:00"/>
    <x v="8"/>
    <s v="Inward Payment"/>
    <s v="FT26079WCBQD"/>
    <x v="92"/>
    <s v="PAUL BATSON WKLY U"/>
    <n v="50"/>
    <n v="50"/>
    <n v="46635.55"/>
  </r>
  <r>
    <d v="2026-03-20T00:00:00"/>
    <x v="8"/>
    <s v="Inward Payment"/>
    <s v="FT26079CLM0Q"/>
    <x v="92"/>
    <s v="WEEKLY RENT PAUL B"/>
    <n v="95"/>
    <n v="95"/>
    <n v="46585.55"/>
  </r>
  <r>
    <d v="2026-03-20T00:00:00"/>
    <x v="8"/>
    <s v="Card Transaction"/>
    <s v="00001580192-20260319-1520590"/>
    <x v="203"/>
    <s v="GBR 20260318 L B CAMDEN IVR LONDON"/>
    <n v="-80"/>
    <s v=""/>
    <n v="46490.55"/>
  </r>
  <r>
    <d v="2026-03-20T00:00:00"/>
    <x v="8"/>
    <s v="Direct Debit"/>
    <s v="DDC20260319219102"/>
    <x v="204"/>
    <s v="THE SHOPWORKS SLSTYLE01"/>
    <n v="-8796.700000000001"/>
    <s v=""/>
    <n v="46570.55"/>
  </r>
  <r>
    <d v="2026-03-20T00:00:00"/>
    <x v="8"/>
    <s v="Direct Debit"/>
    <s v="DDC20260319237312"/>
    <x v="205"/>
    <s v="QCS LTD B77GVKJ"/>
    <n v="-758.8"/>
    <s v=""/>
    <n v="55367.25"/>
  </r>
  <r>
    <d v="2026-03-20T00:00:00"/>
    <x v="8"/>
    <s v="Direct Debit"/>
    <s v="DDC20260319201521"/>
    <x v="99"/>
    <s v="BIZLEND LTD GBP AC BIZLEND4444"/>
    <n v="-5625"/>
    <s v=""/>
    <n v="56126.05"/>
  </r>
  <r>
    <d v="2026-03-20T00:00:00"/>
    <x v="8"/>
    <s v="Direct Debit"/>
    <s v="DDC20260319203708"/>
    <x v="206"/>
    <s v="PEAC UK LTD AALF233608"/>
    <n v="-983.89"/>
    <s v=""/>
    <n v="61751.05"/>
  </r>
  <r>
    <d v="2026-03-20T00:00:00"/>
    <x v="8"/>
    <s v="Direct Debit"/>
    <s v="DDC20260319204187"/>
    <x v="207"/>
    <s v="WALSALL M.B.C 79157524"/>
    <n v="-208"/>
    <s v=""/>
    <n v="62734.94"/>
  </r>
  <r>
    <d v="2026-03-20T00:00:00"/>
    <x v="8"/>
    <s v="Inward Payment"/>
    <s v="FT26079ZCYPH"/>
    <x v="102"/>
    <s v="D WOODHALL"/>
    <n v="45"/>
    <n v="45"/>
    <n v="62942.94"/>
  </r>
  <r>
    <d v="2026-03-20T00:00:00"/>
    <x v="8"/>
    <s v="BACS Payment Received"/>
    <s v="BACS20260319101755"/>
    <x v="30"/>
    <s v="WALSALL METROPOLIT-206877-58552541 401256-WALSALL METROPOLIT-&amp;--&amp;-N SMITH SC 099 BACS CR SELECT LIFESTYLES"/>
    <n v="50"/>
    <n v="50"/>
    <n v="62897.94"/>
  </r>
  <r>
    <d v="2026-03-20T00:00:00"/>
    <x v="8"/>
    <s v="BACS Payment Received"/>
    <s v="BACS20260319101757"/>
    <x v="30"/>
    <s v="WALSALL METROPOLIT-206877-58552541 401256-WALSALL METROPOLIT-&amp;--&amp;-S HOLMES UTILITY 099 BACS CR SELECT LIFESTYLES"/>
    <n v="95"/>
    <n v="95"/>
    <n v="62847.94"/>
  </r>
  <r>
    <d v="2026-03-20T00:00:00"/>
    <x v="8"/>
    <s v="BACS Payment Received"/>
    <s v="BACS20260319101759"/>
    <x v="30"/>
    <s v="WALSALL METROPOLIT-206877-58552541 401256-WALSALL METROPOLIT-&amp;--&amp;-S B     W     R 099 BACS CR SELECT LIFESTYLES"/>
    <n v="95"/>
    <n v="95"/>
    <n v="62752.94"/>
  </r>
  <r>
    <d v="2026-03-20T00:00:00"/>
    <x v="8"/>
    <s v="BACS Payment Received"/>
    <s v="BACS20260319101760"/>
    <x v="30"/>
    <s v="WALSALL METROPOLIT-206877-58552541 401256-WALSALL METROPOLIT-&amp;--&amp;-S        R 099 BACS CR SELECT LIFESTYLES"/>
    <n v="95"/>
    <n v="95"/>
    <n v="62657.94"/>
  </r>
  <r>
    <d v="2026-03-20T00:00:00"/>
    <x v="8"/>
    <s v="BACS Payment Received"/>
    <s v="BACS20260319101761"/>
    <x v="30"/>
    <s v="WALSALL METROPOLIT-206877-58552541 401256-WALSALL METROPOLIT-&amp;--&amp;-NM SMITH RENT 099 BACS CR SELECT LIFESTYLES"/>
    <n v="95"/>
    <n v="95"/>
    <n v="62562.94"/>
  </r>
  <r>
    <d v="2026-03-20T00:00:00"/>
    <x v="8"/>
    <s v="BACS Payment Received"/>
    <s v="BACS20260319101756"/>
    <x v="30"/>
    <s v="WALSALL METROPOLIT-206877-58552541 401256-WALSALL METROPOLIT-&amp;--&amp;-RORY WESLEY UTIL 099 BACS CR SELECT LIFESTYLE"/>
    <n v="580"/>
    <n v="580"/>
    <n v="62467.94"/>
  </r>
  <r>
    <d v="2026-03-20T00:00:00"/>
    <x v="8"/>
    <s v="BACS Payment Received"/>
    <s v="BACS20260319121938"/>
    <x v="208"/>
    <s v="ADONNELLY-607080-10025863 278961-ADONNELLY-&amp;--&amp;-000000003672334114 099 BACS CR ASHLEY DONNELLY"/>
    <n v="411.67"/>
    <n v="411.67"/>
    <n v="61887.94"/>
  </r>
  <r>
    <d v="2026-03-20T00:00:00"/>
    <x v="8"/>
    <s v="BACS Payment Received"/>
    <s v="BACS20260319126572"/>
    <x v="209"/>
    <s v="KILSLEY-607080-10025863 278961-KILSLEY-&amp;--&amp;-000000003672269549 099 BACS CR KENT ANDREW ILSLEY"/>
    <n v="411.67"/>
    <n v="411.67"/>
    <n v="61476.27"/>
  </r>
  <r>
    <d v="2026-03-20T00:00:00"/>
    <x v="8"/>
    <s v="BACS Payment Received"/>
    <s v="BACS20260319124170"/>
    <x v="210"/>
    <s v="NJAMES-607080-10025863 278961-NJAMES-&amp;--&amp;-000000003672008175 099 BACS CR NAOMI JAMES"/>
    <n v="495"/>
    <n v="495"/>
    <n v="61064.6"/>
  </r>
  <r>
    <d v="2026-03-20T00:00:00"/>
    <x v="8"/>
    <s v="BACS Payment Received"/>
    <s v="BACS20260319122625"/>
    <x v="211"/>
    <s v="JLOCKLEY-607080-10025863 278961-JLOCKLEY-&amp;--&amp;-000000003672263738 099 BACS CR JAYDON LOCKLEY"/>
    <n v="520"/>
    <n v="520"/>
    <n v="60569.6"/>
  </r>
  <r>
    <d v="2026-03-20T00:00:00"/>
    <x v="8"/>
    <s v="BACS Payment Received"/>
    <s v="BACS20260319128350"/>
    <x v="212"/>
    <s v="MBROUGH COUNCIL-541004-94586454 972304-MBROUGH COUNCIL-&amp;--&amp;-2603188-376 312709 099 BACS CR SELECT LIFESTYLES"/>
    <n v="6115.4"/>
    <n v="6115.4"/>
    <n v="60049.6"/>
  </r>
  <r>
    <d v="2026-03-20T00:00:00"/>
    <x v="8"/>
    <s v="Inward Payment"/>
    <s v="FT260797KWCP"/>
    <x v="75"/>
    <s v="ANGELA WOLVERSON"/>
    <n v="65"/>
    <n v="65"/>
    <n v="53934.2"/>
  </r>
  <r>
    <d v="2026-03-20T00:00:00"/>
    <x v="8"/>
    <s v="Inward Payment"/>
    <s v="FT26079XDC2D"/>
    <x v="110"/>
    <s v="R DAWSON RENT"/>
    <n v="50"/>
    <n v="50"/>
    <n v="53869.2"/>
  </r>
  <r>
    <d v="2026-03-20T00:00:00"/>
    <x v="8"/>
    <s v="Inward Payment"/>
    <s v="FT2607919VLV"/>
    <x v="213"/>
    <s v="VRussell - Utiltiy"/>
    <n v="740"/>
    <n v="740"/>
    <n v="53819.2"/>
  </r>
  <r>
    <d v="2026-03-19T00:00:00"/>
    <x v="9"/>
    <s v="Inward Payment"/>
    <s v="FT260786FK96"/>
    <x v="125"/>
    <s v="Ashley"/>
    <n v="100"/>
    <n v="100"/>
    <n v="53079.2"/>
  </r>
  <r>
    <d v="2026-03-19T00:00:00"/>
    <x v="9"/>
    <s v="Inward Payment"/>
    <s v="FT26078M4HC3"/>
    <x v="214"/>
    <s v="Service charge"/>
    <n v="216.67"/>
    <n v="216.67"/>
    <n v="52979.2"/>
  </r>
  <r>
    <d v="2026-03-19T00:00:00"/>
    <x v="9"/>
    <s v="Inward Payment"/>
    <s v="FT260788YWGP"/>
    <x v="171"/>
    <s v="S CLARK - rent/uti"/>
    <n v="2562.72"/>
    <n v="2562.72"/>
    <n v="52762.53"/>
  </r>
  <r>
    <d v="2026-03-19T00:00:00"/>
    <x v="9"/>
    <s v="Account to Account Transfer"/>
    <s v="FT26078H2PTY"/>
    <x v="38"/>
    <s v="Transfer"/>
    <n v="-120806.96"/>
    <s v=""/>
    <n v="50199.81"/>
  </r>
  <r>
    <d v="2026-03-19T00:00:00"/>
    <x v="9"/>
    <s v="Account to Account Transfer"/>
    <s v="FT26078L0ZHF"/>
    <x v="8"/>
    <s v="CC SM/CJ"/>
    <n v="-550"/>
    <s v=""/>
    <n v="171006.77"/>
  </r>
  <r>
    <d v="2026-03-19T00:00:00"/>
    <x v="9"/>
    <s v="Outward Faster Payment"/>
    <s v="FT26078F191W"/>
    <x v="13"/>
    <s v="Lidl payment"/>
    <n v="-20.31"/>
    <s v=""/>
    <n v="171556.77"/>
  </r>
  <r>
    <d v="2026-03-19T00:00:00"/>
    <x v="9"/>
    <s v="Inward Payment"/>
    <s v="FT26078G388V"/>
    <x v="114"/>
    <s v="LIFESTYLES"/>
    <n v="65"/>
    <n v="65"/>
    <n v="171577.08"/>
  </r>
  <r>
    <d v="2026-03-19T00:00:00"/>
    <x v="9"/>
    <s v="Card Transaction"/>
    <s v="00001580192-20260318-1520329"/>
    <x v="19"/>
    <s v="GBR 20260317 Tesla Inc. West Drayton"/>
    <n v="-20.09"/>
    <s v=""/>
    <n v="171512.08"/>
  </r>
  <r>
    <d v="2026-03-19T00:00:00"/>
    <x v="9"/>
    <s v="Inward Payment"/>
    <s v="FT26078HX63C"/>
    <x v="64"/>
    <s v="JOSIAHLEE"/>
    <n v="50"/>
    <n v="50"/>
    <n v="171532.17"/>
  </r>
  <r>
    <d v="2026-03-19T00:00:00"/>
    <x v="9"/>
    <s v="Direct Debit"/>
    <s v="DDC20260318227789"/>
    <x v="52"/>
    <s v="FEDERAL CAPITAL JAN3FCP-FC70666"/>
    <n v="-23316"/>
    <s v=""/>
    <n v="171482.17"/>
  </r>
  <r>
    <d v="2026-03-19T00:00:00"/>
    <x v="9"/>
    <s v="Direct Debit"/>
    <s v="DDC20260318227341"/>
    <x v="215"/>
    <s v="VIRGIN MEDIA PYMTS 055906302001"/>
    <n v="-64.31"/>
    <s v=""/>
    <n v="194798.17"/>
  </r>
  <r>
    <d v="2026-03-19T00:00:00"/>
    <x v="9"/>
    <s v="Inward Payment"/>
    <s v="FT26078BDJPB"/>
    <x v="216"/>
    <s v="COLLEEN JOHNSON"/>
    <n v="300"/>
    <n v="300"/>
    <n v="194862.48"/>
  </r>
  <r>
    <d v="2026-03-19T00:00:00"/>
    <x v="9"/>
    <s v="Direct Debit"/>
    <s v="DDC20260318213320"/>
    <x v="131"/>
    <s v="LDF FINANCE NO.3 L 92982"/>
    <n v="-6263.65"/>
    <s v=""/>
    <n v="194562.48"/>
  </r>
  <r>
    <d v="2026-03-19T00:00:00"/>
    <x v="9"/>
    <s v="Direct Debit"/>
    <s v="DDC20260318208056"/>
    <x v="165"/>
    <s v="BNP PARIBAS LEASIN A1F50931  V5782251"/>
    <n v="-125.69"/>
    <s v=""/>
    <n v="200826.13"/>
  </r>
  <r>
    <d v="2026-03-19T00:00:00"/>
    <x v="9"/>
    <s v="BACS Payment Received"/>
    <s v="BACS20260318104193"/>
    <x v="217"/>
    <s v="NHS BLACK COUNTRY-607080-10015272 284781-NHS BLACK COUNTRY-&amp;--&amp;-462489 099 BACS CR SELECT LIFESTYLES"/>
    <n v="2042.88"/>
    <n v="2042.88"/>
    <n v="200951.82"/>
  </r>
  <r>
    <d v="2026-03-19T00:00:00"/>
    <x v="9"/>
    <s v="BACS Payment Received"/>
    <s v="BACS20260318104380"/>
    <x v="218"/>
    <s v="LBH PAYMENTS BACS-602210-72430192 736987-LBH PAYMENTS BACS-&amp;--&amp;- 099 BACS CR SELECT LIFESTYLES"/>
    <n v="5203.8"/>
    <n v="5203.8"/>
    <n v="198908.94"/>
  </r>
  <r>
    <d v="2026-03-19T00:00:00"/>
    <x v="9"/>
    <s v="BACS Payment Received"/>
    <s v="BACS20260318101820"/>
    <x v="146"/>
    <s v="KIRKLEES COUNCIL-204312-63046958 626099-KIRKLEES COUNCIL-&amp;--&amp;-1000 2004093227 K 099 BACS CR SELECT LIFESTYLES"/>
    <n v="5637.52"/>
    <n v="5637.52"/>
    <n v="193705.14"/>
  </r>
  <r>
    <d v="2026-03-19T00:00:00"/>
    <x v="9"/>
    <s v="BACS Payment Received"/>
    <s v="BACS20260318109667"/>
    <x v="219"/>
    <s v="LMALFORD-607080-10025863 278961-LMALFORD-&amp;--&amp;-000000003669717464 099 BACS CR LEE ALFORD"/>
    <n v="411.67"/>
    <n v="411.67"/>
    <n v="188067.62"/>
  </r>
  <r>
    <d v="2026-03-19T00:00:00"/>
    <x v="9"/>
    <s v="BACS Payment Received"/>
    <s v="BACS20260318112035"/>
    <x v="59"/>
    <s v="WOLVERHAMPTON CC-560069-44470320 972860-WOLVERHAMPTON CC-&amp;--&amp;-0 099 BACS CR SELECT LIFESTYLES"/>
    <n v="137871.25"/>
    <n v="137871.25"/>
    <n v="187655.95"/>
  </r>
  <r>
    <d v="2026-03-19T00:00:00"/>
    <x v="9"/>
    <s v="Inward Payment"/>
    <s v="FT26078VGGKJ"/>
    <x v="123"/>
    <s v="SERVICE CHARGES"/>
    <n v="71.08"/>
    <n v="71.08"/>
    <n v="49784.7"/>
  </r>
  <r>
    <d v="2026-03-19T00:00:00"/>
    <x v="9"/>
    <s v="Inward Payment"/>
    <s v="FT26078QJL6W"/>
    <x v="220"/>
    <s v="faith osayi enabul"/>
    <n v="216.67"/>
    <n v="216.67"/>
    <n v="49713.62"/>
  </r>
  <r>
    <d v="2026-03-19T00:00:00"/>
    <x v="9"/>
    <s v="Inward Payment"/>
    <s v="FT260789J3NF"/>
    <x v="70"/>
    <s v="RENT"/>
    <n v="95"/>
    <n v="95"/>
    <n v="49496.95"/>
  </r>
  <r>
    <d v="2026-03-18T00:00:00"/>
    <x v="10"/>
    <s v="Inward Payment"/>
    <s v="FT26077H2FFH"/>
    <x v="86"/>
    <s v="SERVICE CHARGE Feb"/>
    <n v="200"/>
    <n v="200"/>
    <n v="49401.95"/>
  </r>
  <r>
    <d v="2026-03-18T00:00:00"/>
    <x v="10"/>
    <s v="Inward Payment"/>
    <s v="FT26077Y8DSD"/>
    <x v="35"/>
    <s v="FDMS 510799083"/>
    <n v="1302.86"/>
    <n v="1302.86"/>
    <n v="49201.95"/>
  </r>
  <r>
    <d v="2026-03-18T00:00:00"/>
    <x v="10"/>
    <s v="Account to Account Transfer"/>
    <s v="FT26077VTH41"/>
    <x v="8"/>
    <s v="CC DS/MG/NC/KM"/>
    <n v="-931.45"/>
    <s v=""/>
    <n v="47899.09"/>
  </r>
  <r>
    <d v="2026-03-18T00:00:00"/>
    <x v="10"/>
    <s v="Inward Payment"/>
    <s v="FT26077Z85Z9"/>
    <x v="221"/>
    <s v="ULIATY"/>
    <n v="217.65"/>
    <n v="217.65"/>
    <n v="48830.54"/>
  </r>
  <r>
    <d v="2026-03-18T00:00:00"/>
    <x v="10"/>
    <s v="Inward Payment"/>
    <s v="FT26077PW7V7"/>
    <x v="221"/>
    <s v="ULIATY"/>
    <n v="411.65"/>
    <n v="411.65"/>
    <n v="48612.89"/>
  </r>
  <r>
    <d v="2026-03-18T00:00:00"/>
    <x v="10"/>
    <s v="Card Transaction"/>
    <s v="00001580192-20260317-1520272"/>
    <x v="18"/>
    <s v="GBR 20260316 UBER    TRIP HELP.UBER.COM"/>
    <n v="-29.95"/>
    <s v=""/>
    <n v="48201.24"/>
  </r>
  <r>
    <d v="2026-03-18T00:00:00"/>
    <x v="10"/>
    <s v="Direct Debit"/>
    <s v="DDC20260317246258"/>
    <x v="143"/>
    <s v="ALD AUTOMOTIVE SQ2593192"/>
    <n v="-933.5"/>
    <s v=""/>
    <n v="48231.19"/>
  </r>
  <r>
    <d v="2026-03-18T00:00:00"/>
    <x v="10"/>
    <s v="Direct Debit"/>
    <s v="DDC20260317229300"/>
    <x v="101"/>
    <s v="BRITISH GAS BUSINE 602950335100222000"/>
    <n v="-2291.87"/>
    <s v=""/>
    <n v="49164.69"/>
  </r>
  <r>
    <d v="2026-03-18T00:00:00"/>
    <x v="10"/>
    <s v="Direct Debit"/>
    <s v="DDC20260317229299"/>
    <x v="101"/>
    <s v="BRITISH GAS BUSINE 602950271050121000"/>
    <n v="-608.52"/>
    <s v=""/>
    <n v="51456.56"/>
  </r>
  <r>
    <d v="2026-03-18T00:00:00"/>
    <x v="10"/>
    <s v="BACS Payment Received"/>
    <s v="BACS20260317114319"/>
    <x v="222"/>
    <s v="YDHILLION-607080-10025863 278961-YDHILLION-&amp;--&amp;-000000003668318306 099 BACS CR YADVINDRA DHILLON"/>
    <n v="411.67"/>
    <n v="411.67"/>
    <n v="52065.08"/>
  </r>
  <r>
    <d v="2026-03-18T00:00:00"/>
    <x v="10"/>
    <s v="BACS Payment Received"/>
    <s v="BACS20260317114343"/>
    <x v="223"/>
    <s v="N COPSON-607080-10025863 278961-N COPSON-&amp;--&amp;-000000003668301117 099 BACS CR NATHANIEL COPSON"/>
    <n v="411.67"/>
    <n v="411.67"/>
    <n v="51653.41"/>
  </r>
  <r>
    <d v="2026-03-18T00:00:00"/>
    <x v="10"/>
    <s v="BACS Payment Received"/>
    <s v="BACS20260317115226"/>
    <x v="224"/>
    <s v="JTINDALL-607080-10025863 278961-JTINDALL-&amp;--&amp;-000000003668264480 099 BACS CR JAMIE TINDALL"/>
    <n v="495"/>
    <n v="495"/>
    <n v="51241.74"/>
  </r>
  <r>
    <d v="2026-03-18T00:00:00"/>
    <x v="10"/>
    <s v="Inward Payment"/>
    <s v="FT26077ZVF7X"/>
    <x v="43"/>
    <s v="MARKEY GRAY- PERSO"/>
    <n v="200"/>
    <n v="200"/>
    <n v="50746.74"/>
  </r>
  <r>
    <d v="2026-03-18T00:00:00"/>
    <x v="10"/>
    <s v="Inward Payment"/>
    <s v="FT260771G7SM"/>
    <x v="71"/>
    <s v="DANIEL MEHMI"/>
    <n v="69.86"/>
    <n v="69.86"/>
    <n v="50546.74"/>
  </r>
  <r>
    <d v="2026-03-18T00:00:00"/>
    <x v="10"/>
    <s v="Inward Payment"/>
    <s v="FT260771BR66"/>
    <x v="225"/>
    <s v="N COPSON"/>
    <n v="642.12"/>
    <n v="642.12"/>
    <n v="50476.88"/>
  </r>
  <r>
    <d v="2026-03-18T00:00:00"/>
    <x v="10"/>
    <s v="Inward Payment"/>
    <s v="FT260773DXYL"/>
    <x v="139"/>
    <s v="LAURA NEAL"/>
    <n v="45"/>
    <n v="45"/>
    <n v="49834.76"/>
  </r>
  <r>
    <d v="2026-03-17T00:00:00"/>
    <x v="11"/>
    <s v="Inward Payment"/>
    <s v="FT260764GDF2"/>
    <x v="226"/>
    <s v="SARAH MAPHOSA"/>
    <n v="1640"/>
    <n v="1640"/>
    <n v="49789.76"/>
  </r>
  <r>
    <d v="2026-03-17T00:00:00"/>
    <x v="11"/>
    <s v="Outward Faster Payment"/>
    <s v="FT260767DBXJ"/>
    <x v="227"/>
    <s v="Ops budget Mar 26"/>
    <n v="-2000"/>
    <s v=""/>
    <n v="48149.76"/>
  </r>
  <r>
    <d v="2026-03-17T00:00:00"/>
    <x v="11"/>
    <s v="Account to Account Transfer"/>
    <s v="FT26076JDX79"/>
    <x v="38"/>
    <s v="Transfer"/>
    <n v="-131985.88"/>
    <s v=""/>
    <n v="50149.76"/>
  </r>
  <r>
    <d v="2026-03-17T00:00:00"/>
    <x v="11"/>
    <s v="Outward Faster Payment"/>
    <s v="FT26076FFJ4W"/>
    <x v="228"/>
    <s v="Select Lifestyles"/>
    <n v="-150"/>
    <s v=""/>
    <n v="182135.64"/>
  </r>
  <r>
    <d v="2026-03-17T00:00:00"/>
    <x v="11"/>
    <s v="Inward Payment"/>
    <s v="FT2607604RS4"/>
    <x v="14"/>
    <s v="WESTLEY YATES"/>
    <n v="47.5"/>
    <n v="47.5"/>
    <n v="182285.64"/>
  </r>
  <r>
    <d v="2026-03-17T00:00:00"/>
    <x v="11"/>
    <s v="Inward Payment"/>
    <s v="FT260767MLDF"/>
    <x v="21"/>
    <s v="502869 B NOBLE"/>
    <n v="140"/>
    <n v="140"/>
    <n v="182238.14"/>
  </r>
  <r>
    <d v="2026-03-17T00:00:00"/>
    <x v="11"/>
    <s v="Inward Payment"/>
    <s v="FT26076MC4TZ"/>
    <x v="114"/>
    <s v="AMY G3"/>
    <n v="520"/>
    <n v="520"/>
    <n v="182098.14"/>
  </r>
  <r>
    <d v="2026-03-17T00:00:00"/>
    <x v="11"/>
    <s v="Inward Payment"/>
    <s v="FT26076Y4Y4P"/>
    <x v="22"/>
    <s v="ERROLGRANT"/>
    <n v="65"/>
    <n v="65"/>
    <n v="181578.14"/>
  </r>
  <r>
    <d v="2026-03-17T00:00:00"/>
    <x v="11"/>
    <s v="Card Transaction"/>
    <s v="00001580192-20260316-1529157"/>
    <x v="18"/>
    <s v="GBR 20260315 UBER    TRIP HELP.UBER.COM"/>
    <n v="-36.98"/>
    <s v=""/>
    <n v="181513.14"/>
  </r>
  <r>
    <d v="2026-03-17T00:00:00"/>
    <x v="11"/>
    <s v="Card Transaction"/>
    <s v="00001580192-20260316-1529147"/>
    <x v="229"/>
    <s v="GBR 20260315 UBER  TRIP HELP.UBER.C London"/>
    <n v="-26.98"/>
    <s v=""/>
    <n v="181550.12"/>
  </r>
  <r>
    <d v="2026-03-17T00:00:00"/>
    <x v="11"/>
    <s v="Card Transaction"/>
    <s v="00001580192-20260316-1529167"/>
    <x v="18"/>
    <s v="GBR 20260315 UBER    TRIP HELP.UBER.COM"/>
    <n v="-25.95"/>
    <s v=""/>
    <n v="181577.1"/>
  </r>
  <r>
    <d v="2026-03-17T00:00:00"/>
    <x v="11"/>
    <s v="Card Transaction"/>
    <s v="00001580192-20260316-1529137"/>
    <x v="19"/>
    <s v="GBR 20260313 Tesla Inc. West Drayton"/>
    <n v="-17.83"/>
    <s v=""/>
    <n v="181603.05"/>
  </r>
  <r>
    <d v="2026-03-17T00:00:00"/>
    <x v="11"/>
    <s v="Card Transaction"/>
    <s v="00001580192-20260316-1529177"/>
    <x v="230"/>
    <s v="GBR 20260315 ACCEPT CARDS LTD ELLAND"/>
    <n v="-12"/>
    <s v=""/>
    <n v="181620.88"/>
  </r>
  <r>
    <d v="2026-03-17T00:00:00"/>
    <x v="11"/>
    <s v="Card Transaction"/>
    <s v="00001580192-20260316-1529127"/>
    <x v="231"/>
    <s v="GBR 20260313 Tesla West Drayton"/>
    <n v="-9.99"/>
    <s v=""/>
    <n v="181632.88"/>
  </r>
  <r>
    <d v="2026-03-17T00:00:00"/>
    <x v="11"/>
    <s v="Inward Payment"/>
    <s v="FT26076B34HW"/>
    <x v="23"/>
    <s v="C LAVANDER"/>
    <n v="102.51"/>
    <n v="102.51"/>
    <n v="181642.87"/>
  </r>
  <r>
    <d v="2026-03-17T00:00:00"/>
    <x v="11"/>
    <s v="Direct Debit"/>
    <s v="DDC20260316226282"/>
    <x v="101"/>
    <s v="BRITISH GAS BUSINE 600887064301123000"/>
    <n v="-671.14"/>
    <s v=""/>
    <n v="181540.36"/>
  </r>
  <r>
    <d v="2026-03-17T00:00:00"/>
    <x v="11"/>
    <s v="Direct Debit"/>
    <s v="DDC20260316226717"/>
    <x v="101"/>
    <s v="BRITISH GAS BUSINE 604100244301024000"/>
    <n v="-345.88"/>
    <s v=""/>
    <n v="182211.5"/>
  </r>
  <r>
    <d v="2026-03-17T00:00:00"/>
    <x v="11"/>
    <s v="Direct Debit"/>
    <s v="DDC20260316226718"/>
    <x v="101"/>
    <s v="BRITISH GAS BUSINE 604100246301024000"/>
    <n v="-76.23"/>
    <s v=""/>
    <n v="182557.38"/>
  </r>
  <r>
    <d v="2026-03-17T00:00:00"/>
    <x v="11"/>
    <s v="Direct Debit"/>
    <s v="DDC20260316227081"/>
    <x v="232"/>
    <s v="WATER PLUS 0983022495"/>
    <n v="-15.13"/>
    <s v=""/>
    <n v="182633.61"/>
  </r>
  <r>
    <d v="2026-03-17T00:00:00"/>
    <x v="11"/>
    <s v="Direct Debit"/>
    <s v="DDC20260316212240"/>
    <x v="233"/>
    <s v="VWFS  UK  LIMITED 0000440140678785"/>
    <n v="-1752.19"/>
    <s v=""/>
    <n v="182648.74"/>
  </r>
  <r>
    <d v="2026-03-17T00:00:00"/>
    <x v="11"/>
    <s v="Inward Payment"/>
    <s v="FT26076MQM26"/>
    <x v="234"/>
    <s v="LUKEHICKMAN"/>
    <n v="216.67"/>
    <n v="216.67"/>
    <n v="184400.93"/>
  </r>
  <r>
    <d v="2026-03-17T00:00:00"/>
    <x v="11"/>
    <s v="BACS Payment Received"/>
    <s v="BACS20260316118225"/>
    <x v="29"/>
    <s v="SANDWELL MBC-601539-69624135 971830-SANDWELL MBC-&amp;--&amp;-125070 099 BACS CR SELECT LIFESTYLES"/>
    <n v="131304.4"/>
    <n v="131304.4"/>
    <n v="184184.26"/>
  </r>
  <r>
    <d v="2026-03-17T00:00:00"/>
    <x v="11"/>
    <s v="BACS Payment Received"/>
    <s v="BACS20260316100415"/>
    <x v="30"/>
    <s v="WALSALL METROPOLIT-206877-58552541 401256-WALSALL METROPOLIT-&amp;--&amp;-A H 099 BACS CR SELECT LIFESTYLES"/>
    <n v="50"/>
    <n v="50"/>
    <n v="52879.86"/>
  </r>
  <r>
    <d v="2026-03-17T00:00:00"/>
    <x v="11"/>
    <s v="BACS Payment Received"/>
    <s v="BACS20260316100416"/>
    <x v="30"/>
    <s v="WALSALL METROPOLIT-206877-58552541 401256-WALSALL METROPOLIT-&amp;--&amp;-S B 099 BACS CR SELECT LIFESTYSLES"/>
    <n v="50"/>
    <n v="50"/>
    <n v="52829.86"/>
  </r>
  <r>
    <d v="2026-03-17T00:00:00"/>
    <x v="11"/>
    <s v="BACS Payment Received"/>
    <s v="BACS20260316100417"/>
    <x v="30"/>
    <s v="WALSALL METROPOLIT-206877-58552541 401256-WALSALL METROPOLIT-&amp;--&amp;-H 099 BACS CR SELECT LIFESTYLES"/>
    <n v="50"/>
    <n v="50"/>
    <n v="52779.86"/>
  </r>
  <r>
    <d v="2026-03-17T00:00:00"/>
    <x v="11"/>
    <s v="BACS Payment Received"/>
    <s v="BACS20260316113593"/>
    <x v="235"/>
    <s v="3667404168-607080-10025790 886536-3667404168-&amp;--&amp;-000000003667404168 099 BACS CR 39565854"/>
    <n v="100.03"/>
    <n v="100.03"/>
    <n v="52729.86"/>
  </r>
  <r>
    <d v="2026-03-17T00:00:00"/>
    <x v="11"/>
    <s v="BACS Payment Received"/>
    <s v="BACS20260316114718"/>
    <x v="236"/>
    <s v="FOENABULELE-607080-10025863 278961-FOENABULELE-&amp;--&amp;-000000003667419939 099 BACS CR FAITH OSAYI-ENABUL"/>
    <n v="411.67"/>
    <n v="411.67"/>
    <n v="52629.83"/>
  </r>
  <r>
    <d v="2026-03-17T00:00:00"/>
    <x v="11"/>
    <s v="BACS Payment Received"/>
    <s v="BACS20260316114728"/>
    <x v="237"/>
    <s v="MKAY-607080-10025863 278961-MKAY-&amp;--&amp;-000000003666485352 099 BACS CR MARSHA KAY"/>
    <n v="495"/>
    <n v="495"/>
    <n v="52218.16"/>
  </r>
  <r>
    <d v="2026-03-17T00:00:00"/>
    <x v="11"/>
    <s v="BACS Payment Received"/>
    <s v="BACS20260316115952"/>
    <x v="238"/>
    <s v="HBOWATER-607080-10025863 278961-HBOWATER-&amp;--&amp;-000000003666729290 099 BACS CR HAYLEIGH BOWATER"/>
    <n v="495"/>
    <n v="495"/>
    <n v="51723.16"/>
  </r>
  <r>
    <d v="2026-03-17T00:00:00"/>
    <x v="11"/>
    <s v="Inward Payment"/>
    <s v="FT26076DJ7KC"/>
    <x v="239"/>
    <s v="J NATTA"/>
    <n v="195"/>
    <n v="195"/>
    <n v="51228.16"/>
  </r>
  <r>
    <d v="2026-03-17T00:00:00"/>
    <x v="11"/>
    <s v="Inward Payment"/>
    <s v="FT260763DTM4"/>
    <x v="31"/>
    <s v="DS WEEKLY SPEND"/>
    <n v="120"/>
    <n v="120"/>
    <n v="51033.16"/>
  </r>
  <r>
    <d v="2026-03-17T00:00:00"/>
    <x v="11"/>
    <s v="Inward Payment"/>
    <s v="FT26076J5JJ8"/>
    <x v="32"/>
    <s v="TREVOR KEANE"/>
    <n v="50"/>
    <n v="50"/>
    <n v="50913.16"/>
  </r>
  <r>
    <d v="2026-03-17T00:00:00"/>
    <x v="11"/>
    <s v="Inward Payment"/>
    <s v="FT26076N99CS"/>
    <x v="24"/>
    <s v="L HAWKINS-Utilit/S"/>
    <n v="65"/>
    <n v="65"/>
    <n v="50863.16"/>
  </r>
  <r>
    <d v="2026-03-17T00:00:00"/>
    <x v="11"/>
    <s v="Inward Payment"/>
    <s v="FT26076PRT38"/>
    <x v="25"/>
    <s v="ANTHONY MEACHIN UT"/>
    <n v="50"/>
    <n v="50"/>
    <n v="50798.16"/>
  </r>
  <r>
    <d v="2026-03-17T00:00:00"/>
    <x v="11"/>
    <s v="Inward Payment"/>
    <s v="FT26076GYJLK"/>
    <x v="24"/>
    <s v="L HAWKINS-RENT"/>
    <n v="120"/>
    <n v="120"/>
    <n v="50748.16"/>
  </r>
  <r>
    <d v="2026-03-17T00:00:00"/>
    <x v="11"/>
    <s v="Inward Payment"/>
    <s v="FT260760622C"/>
    <x v="27"/>
    <s v="JOHN PACE RENT"/>
    <n v="120"/>
    <n v="120"/>
    <n v="50628.16"/>
  </r>
  <r>
    <d v="2026-03-17T00:00:00"/>
    <x v="11"/>
    <s v="Inward Payment"/>
    <s v="FT26076378RG"/>
    <x v="26"/>
    <s v="LEIGH AMES RENT"/>
    <n v="120"/>
    <n v="120"/>
    <n v="50508.16"/>
  </r>
  <r>
    <d v="2026-03-17T00:00:00"/>
    <x v="11"/>
    <s v="Inward Payment"/>
    <s v="FT26076RQXYK"/>
    <x v="33"/>
    <s v="S L SERVICE CHARGE"/>
    <n v="50"/>
    <n v="50"/>
    <n v="50388.16"/>
  </r>
  <r>
    <d v="2026-03-16T00:00:00"/>
    <x v="12"/>
    <s v="Inward Payment"/>
    <s v="FT26075RR6Z8"/>
    <x v="240"/>
    <s v="5 DOVERIDGE PLACE"/>
    <n v="411.67"/>
    <n v="411.67"/>
    <n v="50338.16"/>
  </r>
  <r>
    <d v="2026-03-16T00:00:00"/>
    <x v="12"/>
    <s v="Inward Payment"/>
    <s v="FT26075F07ZY"/>
    <x v="68"/>
    <s v="PETER HARRIS"/>
    <n v="380"/>
    <n v="380"/>
    <n v="49926.49"/>
  </r>
  <r>
    <d v="2026-03-16T00:00:00"/>
    <x v="12"/>
    <s v="Account to Account Transfer"/>
    <s v="FT26075FRRT9"/>
    <x v="8"/>
    <s v="CC KW/TP/JB/LS/BH/BS/PC/LG"/>
    <n v="-733"/>
    <s v=""/>
    <n v="49546.49"/>
  </r>
  <r>
    <d v="2026-03-16T00:00:00"/>
    <x v="12"/>
    <s v="Account to Account Transfer"/>
    <s v="FT260752N2C7"/>
    <x v="38"/>
    <s v="Transfer"/>
    <n v="-313221.09"/>
    <s v=""/>
    <n v="50279.49"/>
  </r>
  <r>
    <d v="2026-03-16T00:00:00"/>
    <x v="12"/>
    <s v="Inward Payment"/>
    <s v="FT26075SZYSN"/>
    <x v="241"/>
    <s v="CAR"/>
    <n v="206.74"/>
    <n v="206.74"/>
    <n v="363500.58"/>
  </r>
  <r>
    <d v="2026-03-16T00:00:00"/>
    <x v="12"/>
    <s v="Inward Payment"/>
    <s v="FT260756SFZY"/>
    <x v="55"/>
    <s v="TOBY PALETHORPE"/>
    <n v="100"/>
    <n v="100"/>
    <n v="363293.84"/>
  </r>
  <r>
    <d v="2026-03-16T00:00:00"/>
    <x v="12"/>
    <s v="Inward Payment"/>
    <s v="FT26075M4TD8"/>
    <x v="49"/>
    <s v="PAUL CAMPBELL HBSF"/>
    <n v="50"/>
    <n v="50"/>
    <n v="363193.84"/>
  </r>
  <r>
    <d v="2026-03-16T00:00:00"/>
    <x v="12"/>
    <s v="Inward Payment"/>
    <s v="FT26075GLV7K"/>
    <x v="49"/>
    <s v="PAUL CAMPBELL"/>
    <n v="50"/>
    <n v="50"/>
    <n v="363143.84"/>
  </r>
  <r>
    <d v="2026-03-16T00:00:00"/>
    <x v="12"/>
    <s v="Inward Payment"/>
    <s v="FT26075CM0VY"/>
    <x v="64"/>
    <s v="J COOPER SC"/>
    <n v="50"/>
    <n v="50"/>
    <n v="363093.84"/>
  </r>
  <r>
    <d v="2026-03-16T00:00:00"/>
    <x v="12"/>
    <s v="Inward Payment"/>
    <s v="FT26075KQPC6"/>
    <x v="64"/>
    <s v="JAMES COOPER RENT"/>
    <n v="95"/>
    <n v="95"/>
    <n v="363043.84"/>
  </r>
  <r>
    <d v="2026-03-16T00:00:00"/>
    <x v="12"/>
    <s v="Direct Debit"/>
    <s v="DDC20260313288902"/>
    <x v="242"/>
    <s v="SANDWELL MBCNNDR 54777465"/>
    <n v="-6336"/>
    <s v=""/>
    <n v="362948.84"/>
  </r>
  <r>
    <d v="2026-03-16T00:00:00"/>
    <x v="12"/>
    <s v="Direct Debit"/>
    <s v="DDC20260313288903"/>
    <x v="242"/>
    <s v="SANDWELL MBCNNDR 54816166"/>
    <n v="-676"/>
    <s v=""/>
    <n v="369284.84"/>
  </r>
  <r>
    <d v="2026-03-16T00:00:00"/>
    <x v="12"/>
    <s v="Direct Debit"/>
    <s v="DDC20260313284530"/>
    <x v="232"/>
    <s v="WATER PLUS 0595008826"/>
    <n v="-661.49"/>
    <s v=""/>
    <n v="369960.84"/>
  </r>
  <r>
    <d v="2026-03-16T00:00:00"/>
    <x v="12"/>
    <s v="Direct Debit"/>
    <s v="DDC20260313284588"/>
    <x v="232"/>
    <s v="WATER PLUS 0798009927"/>
    <n v="-392.55"/>
    <s v=""/>
    <n v="370622.33"/>
  </r>
  <r>
    <d v="2026-03-16T00:00:00"/>
    <x v="12"/>
    <s v="Direct Debit"/>
    <s v="DDC20260313288888"/>
    <x v="54"/>
    <s v="SANDWELL MBCCTAX 81124769"/>
    <n v="-178"/>
    <s v=""/>
    <n v="371014.88"/>
  </r>
  <r>
    <d v="2026-03-16T00:00:00"/>
    <x v="12"/>
    <s v="Direct Debit"/>
    <s v="DDC20260313288880"/>
    <x v="54"/>
    <s v="SANDWELL MBCCTAX 80393669"/>
    <n v="-119"/>
    <s v=""/>
    <n v="371192.88"/>
  </r>
  <r>
    <d v="2026-03-16T00:00:00"/>
    <x v="12"/>
    <s v="Direct Debit"/>
    <s v="DDC20260313288887"/>
    <x v="54"/>
    <s v="SANDWELL MBCCTAX 79545426"/>
    <n v="-114"/>
    <s v=""/>
    <n v="371311.88"/>
  </r>
  <r>
    <d v="2026-03-16T00:00:00"/>
    <x v="12"/>
    <s v="Inward Payment"/>
    <s v="FT260754F13P"/>
    <x v="243"/>
    <s v="BSUTILITIES"/>
    <n v="216.67"/>
    <n v="216.67"/>
    <n v="371425.88"/>
  </r>
  <r>
    <d v="2026-03-16T00:00:00"/>
    <x v="12"/>
    <s v="Direct Debit"/>
    <s v="DDC20260313280096"/>
    <x v="244"/>
    <s v="OYSTER COMMUNIC 000000000000003804"/>
    <n v="-985.23"/>
    <s v=""/>
    <n v="371209.21"/>
  </r>
  <r>
    <d v="2026-03-16T00:00:00"/>
    <x v="12"/>
    <s v="Direct Debit"/>
    <s v="DDC202603132110124"/>
    <x v="245"/>
    <s v="CAREBEANS TE7Y9BS"/>
    <n v="-1300.2"/>
    <s v=""/>
    <n v="372194.44"/>
  </r>
  <r>
    <d v="2026-03-16T00:00:00"/>
    <x v="12"/>
    <s v="Direct Debit"/>
    <s v="DDC202603132107350"/>
    <x v="246"/>
    <s v="SAGE SOFTWARE LTD 4TJ8JKF"/>
    <n v="-834.6"/>
    <s v=""/>
    <n v="373494.64"/>
  </r>
  <r>
    <d v="2026-03-16T00:00:00"/>
    <x v="12"/>
    <s v="Inward Payment"/>
    <s v="FT260759JR24"/>
    <x v="50"/>
    <s v="ADAM ASTLEY"/>
    <n v="50"/>
    <n v="50"/>
    <n v="374329.24"/>
  </r>
  <r>
    <d v="2026-03-16T00:00:00"/>
    <x v="12"/>
    <s v="Direct Debit"/>
    <s v="DDC202603132131472"/>
    <x v="144"/>
    <s v="EVERFLOW LIMITED B273547A"/>
    <n v="-356.04"/>
    <s v=""/>
    <n v="374279.24"/>
  </r>
  <r>
    <d v="2026-03-16T00:00:00"/>
    <x v="12"/>
    <s v="Direct Debit"/>
    <s v="DDC202603132137895"/>
    <x v="247"/>
    <s v="MULTIFLEET VEHICLE 0210438-004"/>
    <n v="-13921.13"/>
    <s v=""/>
    <n v="374635.28"/>
  </r>
  <r>
    <d v="2026-03-16T00:00:00"/>
    <x v="12"/>
    <s v="Direct Debit"/>
    <s v="DDC20260313261705"/>
    <x v="248"/>
    <s v="QUILTER LIFE PENS AC2699874000302980"/>
    <n v="-50"/>
    <s v=""/>
    <n v="388556.41"/>
  </r>
  <r>
    <d v="2026-03-16T00:00:00"/>
    <x v="12"/>
    <s v="Direct Debit"/>
    <s v="DDC20260313256220"/>
    <x v="249"/>
    <s v="ARVAL UK LTD S07002"/>
    <n v="-1669.06"/>
    <s v=""/>
    <n v="388606.41"/>
  </r>
  <r>
    <d v="2026-03-16T00:00:00"/>
    <x v="12"/>
    <s v="Direct Debit"/>
    <s v="DDC20260313250096"/>
    <x v="250"/>
    <s v="ALPHABET GB 0PRT468410"/>
    <n v="-245.54"/>
    <s v=""/>
    <n v="390275.47"/>
  </r>
  <r>
    <d v="2026-03-16T00:00:00"/>
    <x v="12"/>
    <s v="Direct Debit"/>
    <s v="DDC20260313241954"/>
    <x v="251"/>
    <s v="SHIRE SECURITIES SEL02004"/>
    <n v="-3311.99"/>
    <s v=""/>
    <n v="390521.01"/>
  </r>
  <r>
    <d v="2026-03-16T00:00:00"/>
    <x v="12"/>
    <s v="Direct Debit"/>
    <s v="DDC20260313241953"/>
    <x v="251"/>
    <s v="SHIRE SECURITIES SEL02003"/>
    <n v="-1169.24"/>
    <s v=""/>
    <n v="393833"/>
  </r>
  <r>
    <d v="2026-03-16T00:00:00"/>
    <x v="12"/>
    <s v="Direct Debit"/>
    <s v="DDC20260313236427"/>
    <x v="252"/>
    <s v="PREMIUM CREDIT LTD 04AEOO3473/012/108"/>
    <n v="-10248.21"/>
    <s v=""/>
    <n v="395002.24"/>
  </r>
  <r>
    <d v="2026-03-16T00:00:00"/>
    <x v="12"/>
    <s v="Direct Debit"/>
    <s v="DDC20260313233642"/>
    <x v="165"/>
    <s v="BNP PARIBAS LEASIN A1E50327  V5759687"/>
    <n v="-1278.97"/>
    <s v=""/>
    <n v="405250.45"/>
  </r>
  <r>
    <d v="2026-03-16T00:00:00"/>
    <x v="12"/>
    <s v="Direct Debit"/>
    <s v="DDC202603132115672"/>
    <x v="253"/>
    <s v="JURNI LIMITED 009477-KN71XMO"/>
    <n v="-67.2"/>
    <s v=""/>
    <n v="406529.42"/>
  </r>
  <r>
    <d v="2026-03-16T00:00:00"/>
    <x v="12"/>
    <s v="BACS Payment Received"/>
    <s v="BACS20260313142077"/>
    <x v="254"/>
    <s v="ILB-403526-11830651 162631-ILB-&amp;--&amp;-SCOTT TOLLEY 099 BACS CR SELECT LIFESTYLES"/>
    <n v="520"/>
    <n v="520"/>
    <n v="406596.62"/>
  </r>
  <r>
    <d v="2026-03-16T00:00:00"/>
    <x v="12"/>
    <s v="BACS Payment Received"/>
    <s v="BACS20260313100412"/>
    <x v="30"/>
    <s v="WALSALL METROPOLIT-206877-58552541 401256-WALSALL METROPOLIT-&amp;--&amp;-LRG WEEKLY FOOD 099 BACS CR SELECT LIFESTYLES"/>
    <n v="50"/>
    <n v="50"/>
    <n v="406076.62"/>
  </r>
  <r>
    <d v="2026-03-16T00:00:00"/>
    <x v="12"/>
    <s v="BACS Payment Received"/>
    <s v="BACS20260313100419"/>
    <x v="30"/>
    <s v="WALSALL METROPOLIT-206877-58552541 401256-WALSALL METROPOLIT-&amp;--&amp;-S P      S 099 BACS CR SELECT LIFESTYLES"/>
    <n v="50"/>
    <n v="50"/>
    <n v="406026.62"/>
  </r>
  <r>
    <d v="2026-03-16T00:00:00"/>
    <x v="12"/>
    <s v="BACS Payment Received"/>
    <s v="BACS20260313100420"/>
    <x v="30"/>
    <s v="WALSALL METROPOLIT-206877-58552541 401256-WALSALL METROPOLIT-&amp;--&amp;-S HOLMES UTILITY 099 BACS CR SELECT LIFESTYLES"/>
    <n v="50"/>
    <n v="50"/>
    <n v="405976.62"/>
  </r>
  <r>
    <d v="2026-03-16T00:00:00"/>
    <x v="12"/>
    <s v="BACS Payment Received"/>
    <s v="BACS20260313100416"/>
    <x v="30"/>
    <s v="WALSALL METROPOLIT-206877-58552541 401256-WALSALL METROPOLIT-&amp;--&amp;-LEO RONALD GUY 099 BACS CR SELECT LIFESTYLES"/>
    <n v="65"/>
    <n v="65"/>
    <n v="405926.62"/>
  </r>
  <r>
    <d v="2026-03-16T00:00:00"/>
    <x v="12"/>
    <s v="BACS Payment Received"/>
    <s v="BACS20260313100417"/>
    <x v="30"/>
    <s v="WALSALL METROPOLIT-206877-58552541 401256-WALSALL METROPOLIT-&amp;--&amp;-RBATE HB TOP UP 099 BACS CR SELECT LIFESTYLES"/>
    <n v="120"/>
    <n v="120"/>
    <n v="405861.62"/>
  </r>
  <r>
    <d v="2026-03-16T00:00:00"/>
    <x v="12"/>
    <s v="BACS Payment Received"/>
    <s v="BACS20260313100418"/>
    <x v="30"/>
    <s v="WALSALL METROPOLIT-206877-58552541 401256-WALSALL METROPOLIT-&amp;--&amp;-TIA BRYON 099 BACS CR LIFESTYLES"/>
    <n v="120"/>
    <n v="120"/>
    <n v="405741.62"/>
  </r>
  <r>
    <d v="2026-03-16T00:00:00"/>
    <x v="12"/>
    <s v="BACS Payment Received"/>
    <s v="BACS20260313100421"/>
    <x v="30"/>
    <s v="WALSALL METROPOLIT-206877-58552541 401256-WALSALL METROPOLIT-&amp;--&amp;-L R GUY RENT 099 BACS CR SELECT LIFESTYLES"/>
    <n v="120"/>
    <n v="120"/>
    <n v="405621.62"/>
  </r>
  <r>
    <d v="2026-03-16T00:00:00"/>
    <x v="12"/>
    <s v="BACS Payment Received"/>
    <s v="BACS20260313100410"/>
    <x v="30"/>
    <s v="WALSALL METROPOLIT-206877-58552541 401256-WALSALL METROPOLIT-&amp;--&amp;-KWILEMAN RENT 099 BACS CR SELECT LIFESTYLES"/>
    <n v="145"/>
    <n v="145"/>
    <n v="405501.62"/>
  </r>
  <r>
    <d v="2026-03-16T00:00:00"/>
    <x v="12"/>
    <s v="BACS Payment Received"/>
    <s v="BACS20260313100411"/>
    <x v="30"/>
    <s v="WALSALL METROPOLIT-206877-58552541 401256-WALSALL METROPOLIT-&amp;--&amp;-PROGERS RENT/UTIL 099 BACS CR SELECT LIFESTYLES"/>
    <n v="145"/>
    <n v="145"/>
    <n v="405356.62"/>
  </r>
  <r>
    <d v="2026-03-16T00:00:00"/>
    <x v="12"/>
    <s v="BACS Payment Received"/>
    <s v="BACS20260313100409"/>
    <x v="30"/>
    <s v="WALSALL METROPOLIT-206877-58552541 401256-WALSALL METROPOLIT-&amp;--&amp;-DSWAIN RENT &amp; SC 099 BACS CR SELECT LIFESTYLES"/>
    <n v="185"/>
    <n v="185"/>
    <n v="405211.62"/>
  </r>
  <r>
    <d v="2026-03-16T00:00:00"/>
    <x v="12"/>
    <s v="BACS Payment Received"/>
    <s v="BACS20260313137556"/>
    <x v="57"/>
    <s v="WOLVERHAMPTON C C-560069-44470320 973636-WOLVERHAMPTON C C-&amp;--&amp;-3591 099 BACS CR SELECT  LIFESTYLES"/>
    <n v="42.3"/>
    <n v="42.3"/>
    <n v="405026.62"/>
  </r>
  <r>
    <d v="2026-03-16T00:00:00"/>
    <x v="12"/>
    <s v="BACS Payment Received"/>
    <s v="BACS20260313137557"/>
    <x v="57"/>
    <s v="WOLVERHAMPTON C C-560069-44470320 973636-WOLVERHAMPTON C C-&amp;--&amp;-3563 099 BACS CR SELECT  LIFESTYLES"/>
    <n v="42.3"/>
    <n v="42.3"/>
    <n v="404984.32"/>
  </r>
  <r>
    <d v="2026-03-16T00:00:00"/>
    <x v="12"/>
    <s v="BACS Payment Received"/>
    <s v="BACS20260313134478"/>
    <x v="255"/>
    <s v="AELWELL-607080-10025863 278961-AELWELL-&amp;--&amp;-000000003664005414 099 BACS CR AMIE ELWELL"/>
    <n v="411.67"/>
    <n v="411.67"/>
    <n v="404942.02"/>
  </r>
  <r>
    <d v="2026-03-16T00:00:00"/>
    <x v="12"/>
    <s v="BACS Payment Received"/>
    <s v="BACS20260313134479"/>
    <x v="256"/>
    <s v="CJOHNSON-607080-10025863 278961-CJOHNSON-&amp;--&amp;-000000003664007091 099 BACS CR COLLEEN JOHNSON"/>
    <n v="411.67"/>
    <n v="411.67"/>
    <n v="404530.35"/>
  </r>
  <r>
    <d v="2026-03-16T00:00:00"/>
    <x v="12"/>
    <s v="BACS Payment Received"/>
    <s v="BACS20260313134485"/>
    <x v="257"/>
    <s v="TCHEEMA-607080-10025863 278961-TCHEEMA-&amp;--&amp;-000000003663982643 099 BACS CR TARENBIR CHEEMA"/>
    <n v="411.67"/>
    <n v="411.67"/>
    <n v="404118.68"/>
  </r>
  <r>
    <d v="2026-03-16T00:00:00"/>
    <x v="12"/>
    <s v="BACS Payment Received"/>
    <s v="BACS20260313134490"/>
    <x v="258"/>
    <s v="RSHAMREZ-607080-10025863 278961-RSHAMREZ-&amp;--&amp;-000000003663985190 099 BACS CR REEHAN SHAMREZ"/>
    <n v="411.67"/>
    <n v="411.67"/>
    <n v="403707.01"/>
  </r>
  <r>
    <d v="2026-03-16T00:00:00"/>
    <x v="12"/>
    <s v="BACS Payment Received"/>
    <s v="BACS20260313134554"/>
    <x v="259"/>
    <s v="JNATTA-607080-10025863 278961-JNATTA-&amp;--&amp;-000000003664013504 099 BACS CR JORDAN NATTA"/>
    <n v="411.67"/>
    <n v="411.67"/>
    <n v="403295.34"/>
  </r>
  <r>
    <d v="2026-03-16T00:00:00"/>
    <x v="12"/>
    <s v="BACS Payment Received"/>
    <s v="BACS20260313134817"/>
    <x v="260"/>
    <s v="DWOODHALL-607080-10025863 278961-DWOODHALL-&amp;--&amp;-000000003664061572 099 BACS CR DONOVAN WOODHALL"/>
    <n v="411.67"/>
    <n v="411.67"/>
    <n v="402883.67"/>
  </r>
  <r>
    <d v="2026-03-16T00:00:00"/>
    <x v="12"/>
    <s v="Inward Payment"/>
    <s v="FT260750BMPP"/>
    <x v="63"/>
    <s v="RYAN LAWLEY"/>
    <n v="50"/>
    <n v="50"/>
    <n v="402472"/>
  </r>
  <r>
    <d v="2026-03-16T00:00:00"/>
    <x v="12"/>
    <s v="Inward Payment"/>
    <s v="FT26075R371B"/>
    <x v="261"/>
    <s v="BRANDONB RENT UT"/>
    <n v="580"/>
    <n v="580"/>
    <n v="402422"/>
  </r>
  <r>
    <d v="2026-03-16T00:00:00"/>
    <x v="12"/>
    <s v="Inward Payment"/>
    <s v="FT26075XJLY7"/>
    <x v="43"/>
    <s v="MARKEY GRAY-RENT"/>
    <n v="120"/>
    <n v="120"/>
    <n v="401842"/>
  </r>
  <r>
    <d v="2026-03-16T00:00:00"/>
    <x v="12"/>
    <s v="Inward Payment"/>
    <s v="FT26075KH7MR"/>
    <x v="65"/>
    <s v="JOHN UPCOTT"/>
    <n v="145"/>
    <n v="145"/>
    <n v="401722"/>
  </r>
  <r>
    <d v="2026-03-16T00:00:00"/>
    <x v="12"/>
    <s v="Inward Payment"/>
    <s v="FT26075QL4SY"/>
    <x v="44"/>
    <s v="KATIE PARKER RENT"/>
    <n v="6.08"/>
    <n v="6.08"/>
    <n v="401577"/>
  </r>
  <r>
    <d v="2026-03-16T00:00:00"/>
    <x v="12"/>
    <s v="Inward Payment"/>
    <s v="FT26075PY0JN"/>
    <x v="46"/>
    <s v="SIMON KELLY UTILIT"/>
    <n v="50"/>
    <n v="50"/>
    <n v="401570.92"/>
  </r>
  <r>
    <d v="2026-03-16T00:00:00"/>
    <x v="12"/>
    <s v="Inward Payment"/>
    <s v="FT260755M502"/>
    <x v="45"/>
    <s v="DAVID MORRIS RENT"/>
    <n v="95"/>
    <n v="95"/>
    <n v="401520.92"/>
  </r>
  <r>
    <d v="2026-03-16T00:00:00"/>
    <x v="12"/>
    <s v="Inward Payment"/>
    <s v="FT2607592ZTN"/>
    <x v="45"/>
    <s v="DAVID MORRIS UTILI"/>
    <n v="50"/>
    <n v="50"/>
    <n v="401425.92"/>
  </r>
  <r>
    <d v="2026-03-16T00:00:00"/>
    <x v="12"/>
    <s v="Inward Payment"/>
    <s v="FT26075ZFXVC"/>
    <x v="44"/>
    <s v="KATIE PARKER UTILI"/>
    <n v="65"/>
    <n v="65"/>
    <n v="401375.92"/>
  </r>
  <r>
    <d v="2026-03-16T00:00:00"/>
    <x v="12"/>
    <s v="Inward Payment"/>
    <s v="FT26075GF30B"/>
    <x v="43"/>
    <s v="MARKER GRAY-UTILIT"/>
    <n v="65"/>
    <n v="65"/>
    <n v="401310.92"/>
  </r>
  <r>
    <d v="2026-03-16T00:00:00"/>
    <x v="12"/>
    <s v="Inward Payment"/>
    <s v="FT26075F22Y3"/>
    <x v="44"/>
    <s v="KATIE PARKER VEHIC"/>
    <n v="11.96"/>
    <n v="11.96"/>
    <n v="401245.92"/>
  </r>
  <r>
    <d v="2026-03-16T00:00:00"/>
    <x v="12"/>
    <s v="Inward Payment"/>
    <s v="FT260753HRDG"/>
    <x v="48"/>
    <s v="CHRISTOPHER MILLIN"/>
    <n v="50"/>
    <n v="50"/>
    <n v="401233.96"/>
  </r>
  <r>
    <d v="2026-03-16T00:00:00"/>
    <x v="12"/>
    <s v="Inward Payment"/>
    <s v="FT2607503Z1M"/>
    <x v="47"/>
    <s v="GEMMA BAKER UTILIT"/>
    <n v="65"/>
    <n v="65"/>
    <n v="401183.96"/>
  </r>
  <r>
    <d v="2026-03-16T00:00:00"/>
    <x v="12"/>
    <s v="Inward Payment"/>
    <s v="FT2607530V15"/>
    <x v="25"/>
    <s v="ANTHONY MEACHIN RE"/>
    <n v="95"/>
    <n v="95"/>
    <n v="401118.96"/>
  </r>
  <r>
    <d v="2026-03-16T00:00:00"/>
    <x v="12"/>
    <s v="Inward Payment"/>
    <s v="FT26075DG772"/>
    <x v="26"/>
    <s v="LEIGH AMES UTILITI"/>
    <n v="65"/>
    <n v="65"/>
    <n v="401023.96"/>
  </r>
  <r>
    <d v="2026-03-16T00:00:00"/>
    <x v="12"/>
    <s v="Inward Payment"/>
    <s v="FT26075DS4N4"/>
    <x v="27"/>
    <n v="38252"/>
    <n v="65"/>
    <n v="65"/>
    <n v="400958.96"/>
  </r>
  <r>
    <d v="2026-03-16T00:00:00"/>
    <x v="12"/>
    <s v="Inward Payment"/>
    <s v="FT26075N3N1T"/>
    <x v="69"/>
    <s v="ZACHARY J HUGHES"/>
    <n v="50"/>
    <n v="50"/>
    <n v="400893.96"/>
  </r>
  <r>
    <d v="2026-03-16T00:00:00"/>
    <x v="12"/>
    <s v="Inward Payment"/>
    <s v="FT260752TXMY"/>
    <x v="71"/>
    <s v="DANIEL MEHMI"/>
    <n v="95"/>
    <n v="95"/>
    <n v="400843.96"/>
  </r>
  <r>
    <d v="2026-03-16T00:00:00"/>
    <x v="12"/>
    <s v="Inward Payment"/>
    <s v="FT26075TSKKS"/>
    <x v="72"/>
    <s v="AMY ELWELL"/>
    <n v="50"/>
    <n v="50"/>
    <n v="400748.96"/>
  </r>
  <r>
    <d v="2026-03-16T00:00:00"/>
    <x v="12"/>
    <s v="Inward Payment"/>
    <s v="FT26075SBMQF"/>
    <x v="70"/>
    <s v="SERVICE CHARGE PW"/>
    <n v="50"/>
    <n v="50"/>
    <n v="400698.96"/>
  </r>
  <r>
    <d v="2026-03-16T00:00:00"/>
    <x v="12"/>
    <s v="Inward Payment"/>
    <s v="FT260756LNP7"/>
    <x v="46"/>
    <s v="SIMON KELLY WEEKLY"/>
    <n v="95"/>
    <n v="95"/>
    <n v="400648.96"/>
  </r>
  <r>
    <d v="2026-03-16T00:00:00"/>
    <x v="12"/>
    <s v="Inward Payment"/>
    <s v="FT26075BW07C"/>
    <x v="74"/>
    <s v="DPILLINGER TRANSP"/>
    <n v="11.96"/>
    <n v="11.96"/>
    <n v="400553.96"/>
  </r>
  <r>
    <d v="2026-03-16T00:00:00"/>
    <x v="12"/>
    <s v="Inward Payment"/>
    <s v="FT26075B9MD5"/>
    <x v="73"/>
    <s v="FOOD SHOPPING"/>
    <n v="50"/>
    <n v="50"/>
    <n v="400542"/>
  </r>
  <r>
    <d v="2026-03-16T00:00:00"/>
    <x v="12"/>
    <s v="Inward Payment"/>
    <s v="FT2607564NJY"/>
    <x v="79"/>
    <s v="ANTHONY FRANCE"/>
    <n v="50"/>
    <n v="50"/>
    <n v="400492"/>
  </r>
  <r>
    <d v="2026-03-16T00:00:00"/>
    <x v="12"/>
    <s v="Inward Payment"/>
    <s v="FT26075MYPGY"/>
    <x v="75"/>
    <s v="MRS M WOLVERSON"/>
    <n v="6.08"/>
    <n v="6.08"/>
    <n v="400442"/>
  </r>
  <r>
    <d v="2026-03-16T00:00:00"/>
    <x v="12"/>
    <s v="Inward Payment"/>
    <s v="FT26075S8JQC"/>
    <x v="74"/>
    <s v="DAVID PILLINGER"/>
    <n v="65"/>
    <n v="65"/>
    <n v="400435.92"/>
  </r>
  <r>
    <d v="2026-03-16T00:00:00"/>
    <x v="12"/>
    <s v="Inward Payment"/>
    <s v="FT26075NQ7VG"/>
    <x v="77"/>
    <s v="GARY EDWARDS"/>
    <n v="50"/>
    <n v="50"/>
    <n v="400370.92"/>
  </r>
  <r>
    <d v="2026-03-16T00:00:00"/>
    <x v="12"/>
    <s v="Inward Payment"/>
    <s v="FT260753054W"/>
    <x v="81"/>
    <s v="LOUISE ROBERTS"/>
    <n v="50"/>
    <n v="50"/>
    <n v="400320.92"/>
  </r>
  <r>
    <d v="2026-03-16T00:00:00"/>
    <x v="12"/>
    <s v="Inward Payment"/>
    <s v="FT260751ZYKH"/>
    <x v="80"/>
    <s v="LOUISE ROBERTS"/>
    <n v="95"/>
    <n v="95"/>
    <n v="400270.92"/>
  </r>
  <r>
    <d v="2026-03-16T00:00:00"/>
    <x v="12"/>
    <s v="Inward Payment"/>
    <s v="FT260752M9Z5"/>
    <x v="78"/>
    <s v="DAVID SEABRIGHT"/>
    <n v="120"/>
    <n v="120"/>
    <n v="400175.92"/>
  </r>
  <r>
    <d v="2026-03-16T00:00:00"/>
    <x v="12"/>
    <s v="Inward Payment"/>
    <s v="FT26075J24ZF"/>
    <x v="82"/>
    <s v="LAUREN SMITH"/>
    <n v="150"/>
    <n v="150"/>
    <n v="400055.92"/>
  </r>
  <r>
    <d v="2026-03-16T00:00:00"/>
    <x v="12"/>
    <s v="Inward Payment"/>
    <s v="FT26075QR3MK"/>
    <x v="83"/>
    <s v="A FRANCE - RENT"/>
    <n v="95"/>
    <n v="95"/>
    <n v="399905.92"/>
  </r>
  <r>
    <d v="2026-03-16T00:00:00"/>
    <x v="12"/>
    <s v="Inward Payment"/>
    <s v="FT26075QCPL9"/>
    <x v="182"/>
    <s v="NO REF"/>
    <n v="50"/>
    <n v="50"/>
    <n v="399810.92"/>
  </r>
  <r>
    <d v="2026-03-16T00:00:00"/>
    <x v="12"/>
    <s v="Inward Payment"/>
    <s v="FT26075H7TT3"/>
    <x v="63"/>
    <s v="RYAN LAWLEY"/>
    <n v="95"/>
    <n v="95"/>
    <n v="399760.92"/>
  </r>
  <r>
    <d v="2026-03-16T00:00:00"/>
    <x v="12"/>
    <s v="Inward Payment"/>
    <s v="FT26075T6TYS"/>
    <x v="85"/>
    <s v="JAMES EASTWOOD"/>
    <n v="50"/>
    <n v="50"/>
    <n v="399665.92"/>
  </r>
  <r>
    <d v="2026-03-16T00:00:00"/>
    <x v="12"/>
    <s v="Inward Payment"/>
    <s v="FT26075LKNYD"/>
    <x v="87"/>
    <s v="select Utility"/>
    <n v="50"/>
    <n v="50"/>
    <n v="399615.92"/>
  </r>
  <r>
    <d v="2026-03-16T00:00:00"/>
    <x v="12"/>
    <s v="Inward Payment"/>
    <s v="FT26075M09XJ"/>
    <x v="88"/>
    <s v="SHEYLLA"/>
    <n v="120"/>
    <n v="120"/>
    <n v="399565.92"/>
  </r>
  <r>
    <d v="2026-03-13T00:00:00"/>
    <x v="13"/>
    <s v="Inward Payment"/>
    <s v="FT26072774RB"/>
    <x v="89"/>
    <s v="KIERON WILSON CASH"/>
    <n v="200"/>
    <n v="200"/>
    <n v="399445.92"/>
  </r>
  <r>
    <d v="2026-03-13T00:00:00"/>
    <x v="14"/>
    <s v="Inward Payment"/>
    <s v="FT26072V0BRX"/>
    <x v="262"/>
    <s v="britneys pip"/>
    <n v="300"/>
    <n v="300"/>
    <n v="399245.92"/>
  </r>
  <r>
    <d v="2026-03-13T00:00:00"/>
    <x v="14"/>
    <s v="Inward Payment"/>
    <s v="FT26072CZ8BD"/>
    <x v="102"/>
    <s v="D WOODHALL"/>
    <n v="45"/>
    <n v="45"/>
    <n v="398945.92"/>
  </r>
  <r>
    <d v="2026-03-13T00:00:00"/>
    <x v="14"/>
    <s v="Outward Faster Payment"/>
    <s v="FT26072V75FW"/>
    <x v="7"/>
    <s v="3666 Kian"/>
    <n v="-500"/>
    <s v=""/>
    <n v="398900.92"/>
  </r>
  <r>
    <d v="2026-03-13T00:00:00"/>
    <x v="14"/>
    <s v="Outward Faster Payment"/>
    <s v="FT260720J89H"/>
    <x v="263"/>
    <n v="28"/>
    <n v="-43090.96"/>
    <s v=""/>
    <n v="399400.92"/>
  </r>
  <r>
    <d v="2026-03-13T00:00:00"/>
    <x v="14"/>
    <s v="Inward Payment"/>
    <s v="FT26072VMC3P"/>
    <x v="264"/>
    <s v="BOBBY SPEARS"/>
    <n v="300"/>
    <n v="300"/>
    <n v="442491.88"/>
  </r>
  <r>
    <d v="2026-03-13T00:00:00"/>
    <x v="14"/>
    <s v="Inward Payment"/>
    <s v="FT2607248Q1Q"/>
    <x v="92"/>
    <s v="WEEKLY RENT PAUL B"/>
    <n v="95"/>
    <n v="95"/>
    <n v="442191.88"/>
  </r>
  <r>
    <d v="2026-03-13T00:00:00"/>
    <x v="14"/>
    <s v="Inward Payment"/>
    <s v="FT26072S42SM"/>
    <x v="92"/>
    <s v="PAUL BATSON WKLY U"/>
    <n v="50"/>
    <n v="50"/>
    <n v="442096.88"/>
  </r>
  <r>
    <d v="2026-03-13T00:00:00"/>
    <x v="14"/>
    <s v="Inward Payment"/>
    <s v="FT260728B760"/>
    <x v="75"/>
    <s v="ANGELA WOLVERSON"/>
    <n v="65"/>
    <n v="65"/>
    <n v="442046.88"/>
  </r>
  <r>
    <d v="2026-03-13T00:00:00"/>
    <x v="14"/>
    <s v="Inward Payment"/>
    <s v="FT26072769C4"/>
    <x v="91"/>
    <s v="BRANLUCASSERVICE"/>
    <n v="50"/>
    <n v="50"/>
    <n v="441981.88"/>
  </r>
  <r>
    <d v="2026-03-13T00:00:00"/>
    <x v="14"/>
    <s v="Card Transaction"/>
    <s v="00001580192-20260312-1521391"/>
    <x v="265"/>
    <s v="DEU 20260312 Porsche Smart Mobility Stuttgart"/>
    <n v="-22.93"/>
    <s v=""/>
    <n v="441931.88"/>
  </r>
  <r>
    <d v="2026-03-13T00:00:00"/>
    <x v="14"/>
    <s v="Card Transaction"/>
    <s v="00001580192-20260312-1521381"/>
    <x v="19"/>
    <s v="GBR 20260311 Tesla Inc. West Drayton"/>
    <n v="-16.52"/>
    <s v=""/>
    <n v="441954.81"/>
  </r>
  <r>
    <d v="2026-03-13T00:00:00"/>
    <x v="14"/>
    <s v="Inward Payment"/>
    <s v="FT260722CNPL"/>
    <x v="266"/>
    <s v="ANDREW TAYLOR"/>
    <n v="650"/>
    <n v="650"/>
    <n v="441971.33"/>
  </r>
  <r>
    <d v="2026-03-13T00:00:00"/>
    <x v="14"/>
    <s v="Standing Order"/>
    <s v="FT26072SM7NH"/>
    <x v="267"/>
    <s v="Ref: t0000914"/>
    <n v="-2600"/>
    <s v=""/>
    <n v="441321.33"/>
  </r>
  <r>
    <d v="2026-03-13T00:00:00"/>
    <x v="14"/>
    <s v="Standing Order"/>
    <s v="FT26072YGKC3"/>
    <x v="268"/>
    <s v="Stafford Road Rent"/>
    <n v="-1400"/>
    <s v=""/>
    <n v="443921.33"/>
  </r>
  <r>
    <d v="2026-03-13T00:00:00"/>
    <x v="14"/>
    <s v="Direct Debit"/>
    <s v="DDC20260312223513"/>
    <x v="101"/>
    <s v="BRITISH GAS BUSINE 604044352140824000"/>
    <n v="-56.39"/>
    <s v=""/>
    <n v="445321.33"/>
  </r>
  <r>
    <d v="2026-03-13T00:00:00"/>
    <x v="14"/>
    <s v="Direct Debit"/>
    <s v="DDC20260312202648"/>
    <x v="99"/>
    <s v="BIZLEND LTD GBP AC BIZLEND4444"/>
    <n v="-5625"/>
    <s v=""/>
    <n v="445377.72"/>
  </r>
  <r>
    <d v="2026-03-13T00:00:00"/>
    <x v="14"/>
    <s v="Direct Debit"/>
    <s v="DDC20260312201150"/>
    <x v="269"/>
    <s v="FDMS 510799083 SVCCHG"/>
    <n v="-70.31999999999999"/>
    <s v=""/>
    <n v="451002.72"/>
  </r>
  <r>
    <d v="2026-03-13T00:00:00"/>
    <x v="14"/>
    <s v="BACS Payment Received"/>
    <s v="BACS20260312101717"/>
    <x v="30"/>
    <s v="WALSALL METROPOLIT-206877-58552541 401256-WALSALL METROPOLIT-&amp;--&amp;-N SMITH SC 099 BACS CR SELECT LIFESTYLES"/>
    <n v="50"/>
    <n v="50"/>
    <n v="451073.04"/>
  </r>
  <r>
    <d v="2026-03-13T00:00:00"/>
    <x v="14"/>
    <s v="BACS Payment Received"/>
    <s v="BACS20260312101715"/>
    <x v="30"/>
    <s v="WALSALL METROPOLIT-206877-58552541 401256-WALSALL METROPOLIT-&amp;--&amp;-S B     W     R 099 BACS CR SELECT LIFESTYLES"/>
    <n v="95"/>
    <n v="95"/>
    <n v="451023.04"/>
  </r>
  <r>
    <d v="2026-03-13T00:00:00"/>
    <x v="14"/>
    <s v="BACS Payment Received"/>
    <s v="BACS20260312101716"/>
    <x v="30"/>
    <s v="WALSALL METROPOLIT-206877-58552541 401256-WALSALL METROPOLIT-&amp;--&amp;-NM SMITH RENT 099 BACS CR SELECT LIFESTYLES"/>
    <n v="95"/>
    <n v="95"/>
    <n v="450928.04"/>
  </r>
  <r>
    <d v="2026-03-13T00:00:00"/>
    <x v="14"/>
    <s v="BACS Payment Received"/>
    <s v="BACS20260312101718"/>
    <x v="30"/>
    <s v="WALSALL METROPOLIT-206877-58552541 401256-WALSALL METROPOLIT-&amp;--&amp;-S        R 099 BACS CR SELECT LIFESTYLES"/>
    <n v="95"/>
    <n v="95"/>
    <n v="450833.04"/>
  </r>
  <r>
    <d v="2026-03-13T00:00:00"/>
    <x v="14"/>
    <s v="BACS Payment Received"/>
    <s v="BACS20260312101719"/>
    <x v="30"/>
    <s v="WALSALL METROPOLIT-206877-58552541 401256-WALSALL METROPOLIT-&amp;--&amp;-S HOLMES UTILITY 099 BACS CR SELECT LIFESTYLES"/>
    <n v="95"/>
    <n v="95"/>
    <n v="450738.04"/>
  </r>
  <r>
    <d v="2026-03-13T00:00:00"/>
    <x v="14"/>
    <s v="BACS Payment Received"/>
    <s v="BACS20260312111677"/>
    <x v="217"/>
    <s v="NHS BLACK COUNTRY-607080-10015272 284781-NHS BLACK COUNTRY-&amp;--&amp;-440828 099 BACS CR SELECT LIFESTYLES"/>
    <n v="6125.87"/>
    <n v="6125.87"/>
    <n v="450643.04"/>
  </r>
  <r>
    <d v="2026-03-13T00:00:00"/>
    <x v="14"/>
    <s v="BACS Payment Received"/>
    <s v="BACS20260312111930"/>
    <x v="270"/>
    <s v="NHS BIRMINGHAM AND-607080-10017097 284747-NHS BIRMINGHAM AND-&amp;--&amp;-441482 099 BACS CR SELECT LIFESTYLES"/>
    <n v="7057.96"/>
    <n v="7057.96"/>
    <n v="444517.17"/>
  </r>
  <r>
    <d v="2026-03-13T00:00:00"/>
    <x v="14"/>
    <s v="BACS Payment Received"/>
    <s v="BACS20260312120052"/>
    <x v="271"/>
    <s v="AGREEN-607080-10025863 278961-AGREEN-&amp;--&amp;-000000003660093208 099 BACS CR ARTHUR GREEN"/>
    <n v="411.67"/>
    <n v="411.67"/>
    <n v="437459.21"/>
  </r>
  <r>
    <d v="2026-03-13T00:00:00"/>
    <x v="14"/>
    <s v="BACS Payment Received"/>
    <s v="BACS20260312123179"/>
    <x v="272"/>
    <s v="CALLUM BRADNICK-607080-10025863 278961-CALLUM BRADNICK-&amp;--&amp;-000000003660028088 099 BACS CR CALLUM BRADNICK"/>
    <n v="411.67"/>
    <n v="411.67"/>
    <n v="437047.54"/>
  </r>
  <r>
    <d v="2026-03-13T00:00:00"/>
    <x v="14"/>
    <s v="BACS Payment Received"/>
    <s v="BACS20260312123298"/>
    <x v="273"/>
    <s v="N PATEL-607080-10025863 278961-N PATEL-&amp;--&amp;-000000003660039128 099 BACS CR NICKY PATEL"/>
    <n v="411.67"/>
    <n v="411.67"/>
    <n v="436635.87"/>
  </r>
  <r>
    <d v="2026-03-13T00:00:00"/>
    <x v="14"/>
    <s v="BACS Payment Received"/>
    <s v="BACS20260312120056"/>
    <x v="274"/>
    <s v="STOLLEY-607080-10025863 278961-STOLLEY-&amp;--&amp;-000000003660089798 099 BACS CR SCOTT TOLLEY"/>
    <n v="495"/>
    <n v="495"/>
    <n v="436224.2"/>
  </r>
  <r>
    <d v="2026-03-13T00:00:00"/>
    <x v="14"/>
    <s v="BACS Payment Received"/>
    <s v="BACS20260312124956"/>
    <x v="275"/>
    <s v="JLEE-607080-10025863 278961-JLEE-&amp;--&amp;-000000003659458824 099 BACS CR JOSIAH LEE"/>
    <n v="411.67"/>
    <n v="411.67"/>
    <n v="435729.2"/>
  </r>
  <r>
    <d v="2026-03-13T00:00:00"/>
    <x v="14"/>
    <s v="BACS Payment Received"/>
    <s v="BACS20260312126802"/>
    <x v="276"/>
    <s v="BSMITH-607080-10025863 278961-BSMITH-&amp;--&amp;-000000003659396183 099 BACS CR BRANDON SMITH"/>
    <n v="411.67"/>
    <n v="411.67"/>
    <n v="435317.53"/>
  </r>
  <r>
    <d v="2026-03-13T00:00:00"/>
    <x v="14"/>
    <s v="BACS Payment Received"/>
    <s v="BACS20260312126817"/>
    <x v="277"/>
    <s v="JHARTLEY-607080-10025863 278961-JHARTLEY-&amp;--&amp;-000000003659404987 099 BACS CR ERIC HARTLEY"/>
    <n v="411.67"/>
    <n v="411.67"/>
    <n v="434905.86"/>
  </r>
  <r>
    <d v="2026-03-13T00:00:00"/>
    <x v="14"/>
    <s v="BACS Payment Received"/>
    <s v="BACS20260312127485"/>
    <x v="278"/>
    <s v="ASCULLION-607080-10025863 278961-ASCULLION-&amp;--&amp;-000000003659442429 099 BACS CR ANDREW SCULLION"/>
    <n v="411.67"/>
    <n v="411.67"/>
    <n v="434494.19"/>
  </r>
  <r>
    <d v="2026-03-13T00:00:00"/>
    <x v="14"/>
    <s v="BACS Payment Received"/>
    <s v="BACS20260312127542"/>
    <x v="279"/>
    <s v="0000070236-607080-10025863 278961-0000070236-&amp;--&amp;-000000003659445497 099 BACS CR BOBBY SPEARS"/>
    <n v="411.67"/>
    <n v="411.67"/>
    <n v="434082.52"/>
  </r>
  <r>
    <d v="2026-03-13T00:00:00"/>
    <x v="14"/>
    <s v="BACS Payment Received"/>
    <s v="BACS20260312125834"/>
    <x v="280"/>
    <s v="MCRIMMONS-607080-10025863 278961-MCRIMMONS-&amp;--&amp;-000000003659490044 099 BACS CR MARTIN CRIMMONS"/>
    <n v="495"/>
    <n v="495"/>
    <n v="433670.85"/>
  </r>
  <r>
    <d v="2026-03-13T00:00:00"/>
    <x v="14"/>
    <s v="Inward Payment"/>
    <s v="FT260721TVYM"/>
    <x v="110"/>
    <s v="R DAWSON RENT"/>
    <n v="50"/>
    <n v="50"/>
    <n v="433175.85"/>
  </r>
  <r>
    <d v="2026-03-13T00:00:00"/>
    <x v="14"/>
    <s v="Inward Payment"/>
    <s v="FT260726L2KV"/>
    <x v="281"/>
    <s v="ROXY SCULLION"/>
    <n v="216.67"/>
    <n v="216.67"/>
    <n v="433125.85"/>
  </r>
  <r>
    <d v="2026-03-12T00:00:00"/>
    <x v="14"/>
    <s v="Inward Payment"/>
    <s v="FT26071FVV5R"/>
    <x v="282"/>
    <s v="Service Charge"/>
    <n v="260"/>
    <n v="260"/>
    <n v="432909.18"/>
  </r>
  <r>
    <d v="2026-03-12T00:00:00"/>
    <x v="15"/>
    <s v="Inward Payment"/>
    <s v="FT26071JYRVV"/>
    <x v="283"/>
    <s v="K Mazur"/>
    <n v="186"/>
    <n v="186"/>
    <n v="432649.18"/>
  </r>
  <r>
    <d v="2026-03-12T00:00:00"/>
    <x v="15"/>
    <s v="Inward Payment"/>
    <s v="FT26071JRQBG"/>
    <x v="114"/>
    <s v="LIFESTYLES"/>
    <n v="65"/>
    <n v="65"/>
    <n v="432463.18"/>
  </r>
  <r>
    <d v="2026-03-12T00:00:00"/>
    <x v="15"/>
    <s v="Card Transaction"/>
    <s v="00001580192-20260311-1522021"/>
    <x v="115"/>
    <s v="GBR 20260310 BRITISH GAS LEEDS"/>
    <n v="-99"/>
    <s v=""/>
    <n v="432398.18"/>
  </r>
  <r>
    <d v="2026-03-12T00:00:00"/>
    <x v="15"/>
    <s v="Card Transaction"/>
    <s v="00001580192-20260311-1522031"/>
    <x v="19"/>
    <s v="GBR 20260311 Tesla Inc. West Drayton"/>
    <n v="-41.2"/>
    <s v=""/>
    <n v="432497.18"/>
  </r>
  <r>
    <d v="2026-03-12T00:00:00"/>
    <x v="15"/>
    <s v="Standing Order"/>
    <s v="FT260716BWMK"/>
    <x v="284"/>
    <s v="32 Moor Lane Rent"/>
    <n v="-1550"/>
    <s v=""/>
    <n v="432538.38"/>
  </r>
  <r>
    <d v="2026-03-12T00:00:00"/>
    <x v="15"/>
    <s v="Cheque Issued"/>
    <s v="CHQSICSS0000041520260312"/>
    <x v="285"/>
    <m/>
    <n v="-100"/>
    <s v=""/>
    <n v="434088.38"/>
  </r>
  <r>
    <d v="2026-03-12T00:00:00"/>
    <x v="15"/>
    <s v="Direct Debit"/>
    <s v="DDC20260311231219"/>
    <x v="98"/>
    <s v="SKY DIGITAL 00621171698080"/>
    <n v="-156.5"/>
    <s v=""/>
    <n v="434188.38"/>
  </r>
  <r>
    <d v="2026-03-12T00:00:00"/>
    <x v="15"/>
    <s v="Direct Debit"/>
    <s v="DDC20260311237356"/>
    <x v="121"/>
    <s v="FUNDING CIRCLE HWWZM3Q"/>
    <n v="-6995.96"/>
    <s v=""/>
    <n v="434344.88"/>
  </r>
  <r>
    <d v="2026-03-12T00:00:00"/>
    <x v="15"/>
    <s v="Inward Payment"/>
    <s v="FT26071D9BPD"/>
    <x v="64"/>
    <s v="JOSIAHLEE"/>
    <n v="50"/>
    <n v="50"/>
    <n v="441340.84"/>
  </r>
  <r>
    <d v="2026-03-12T00:00:00"/>
    <x v="15"/>
    <s v="BACS Payment Received"/>
    <s v="BACS20260311113130"/>
    <x v="286"/>
    <s v="PEOPLEPLUS GROUP L-600001-48991295 775043-PEOPLEPLUS GROUP L-&amp;--&amp;-43963 099 BACS CR SELECT LIFESTYLES"/>
    <n v="2760"/>
    <n v="2760"/>
    <n v="441290.84"/>
  </r>
  <r>
    <d v="2026-03-12T00:00:00"/>
    <x v="15"/>
    <s v="BACS Payment Received"/>
    <s v="BACS20260311113168"/>
    <x v="59"/>
    <s v="WOLVERHAMPTON CC-560069-44470320 972860-WOLVERHAMPTON CC-&amp;--&amp;-0 099 BACS CR SELECT LIFESTYLES"/>
    <n v="137871.25"/>
    <n v="137871.25"/>
    <n v="438530.84"/>
  </r>
  <r>
    <d v="2026-03-12T00:00:00"/>
    <x v="15"/>
    <s v="Inward Payment"/>
    <s v="FT26071K3NQT"/>
    <x v="123"/>
    <s v="SERVICE CHARGES"/>
    <n v="71.08"/>
    <n v="71.08"/>
    <n v="300659.59"/>
  </r>
  <r>
    <d v="2026-03-12T00:00:00"/>
    <x v="15"/>
    <s v="Inward Payment"/>
    <s v="FT26071NPCDW"/>
    <x v="70"/>
    <s v="RENT"/>
    <n v="95"/>
    <n v="95"/>
    <n v="300588.51"/>
  </r>
  <r>
    <d v="2026-03-11T00:00:00"/>
    <x v="16"/>
    <s v="Inward Payment"/>
    <s v="FT26070N2TM0"/>
    <x v="35"/>
    <s v="FDMS 510799083"/>
    <n v="516.67"/>
    <n v="516.67"/>
    <n v="300493.51"/>
  </r>
  <r>
    <d v="2026-03-11T00:00:00"/>
    <x v="16"/>
    <s v="Account to Account Transfer"/>
    <s v="FT260703N4WX"/>
    <x v="8"/>
    <s v="CC JH/SJ/MG"/>
    <n v="-800"/>
    <s v=""/>
    <n v="299976.84"/>
  </r>
  <r>
    <d v="2026-03-11T00:00:00"/>
    <x v="16"/>
    <s v="Inward Payment"/>
    <s v="FT26070WTDZ6"/>
    <x v="287"/>
    <s v="Sarah Jones"/>
    <n v="250"/>
    <n v="250"/>
    <n v="300776.84"/>
  </r>
  <r>
    <d v="2026-03-11T00:00:00"/>
    <x v="16"/>
    <s v="Card Transaction"/>
    <s v="00001580192-20260310-1521156"/>
    <x v="288"/>
    <s v="GBR 20260309 KWIK FIT LICHFIELD RD"/>
    <n v="-319.5"/>
    <s v=""/>
    <n v="300526.84"/>
  </r>
  <r>
    <d v="2026-03-11T00:00:00"/>
    <x v="16"/>
    <s v="Direct Debit"/>
    <s v="DDC20260310211323"/>
    <x v="167"/>
    <s v="ENGIE GAS 10340025001"/>
    <n v="-1279.05"/>
    <s v=""/>
    <n v="300846.34"/>
  </r>
  <r>
    <d v="2026-03-11T00:00:00"/>
    <x v="16"/>
    <s v="Direct Debit"/>
    <s v="DDC20260310242487"/>
    <x v="289"/>
    <s v="GOCARDLESS CAMASCOPE-YMP7MZMV"/>
    <n v="-1772.66"/>
    <s v=""/>
    <n v="302125.39"/>
  </r>
  <r>
    <d v="2026-03-11T00:00:00"/>
    <x v="16"/>
    <s v="BACS Payment Received"/>
    <s v="BACS20260310117657"/>
    <x v="286"/>
    <s v="PEOPLEPLUS GROUP L-600001-48991295 775043-PEOPLEPLUS GROUP L-&amp;--&amp;-43960 099 BACS CR SELECT LIFESTYLES"/>
    <n v="723.2"/>
    <n v="723.2"/>
    <n v="303898.05"/>
  </r>
  <r>
    <d v="2026-03-11T00:00:00"/>
    <x v="16"/>
    <s v="BACS Payment Received"/>
    <s v="BACS20260310115075"/>
    <x v="290"/>
    <s v="CCARR-607080-10025863 278961-CCARR-&amp;--&amp;-000000003655666839 099 BACS CR CHRISTOPHER CARR"/>
    <n v="411.67"/>
    <n v="411.67"/>
    <n v="303174.85"/>
  </r>
  <r>
    <d v="2026-03-11T00:00:00"/>
    <x v="16"/>
    <s v="BACS Payment Received"/>
    <s v="BACS20260310115087"/>
    <x v="291"/>
    <s v="RYAN OAKES-607080-10025863 278961-RYAN OAKES-&amp;--&amp;-000000003655651629 099 BACS CR RYAN OAKES"/>
    <n v="411.67"/>
    <n v="411.67"/>
    <n v="302763.18"/>
  </r>
  <r>
    <d v="2026-03-11T00:00:00"/>
    <x v="16"/>
    <s v="BACS Payment Received"/>
    <s v="BACS20260310114487"/>
    <x v="292"/>
    <s v="CLAVENDER-607080-10025863 278961-CLAVENDER-&amp;--&amp;-000000003655651010 099 BACS CR CHRISTIAN LAVENDER"/>
    <n v="495"/>
    <n v="495"/>
    <n v="302351.51"/>
  </r>
  <r>
    <d v="2026-03-11T00:00:00"/>
    <x v="16"/>
    <s v="BACS Payment Received"/>
    <s v="BACS20260310115063"/>
    <x v="293"/>
    <s v="TPALETHORPE-607080-10025863 278961-TPALETHORPE-&amp;--&amp;-000000003655637347 099 BACS CR TOBY PALETHORPE"/>
    <n v="495"/>
    <n v="495"/>
    <n v="301856.51"/>
  </r>
  <r>
    <d v="2026-03-11T00:00:00"/>
    <x v="16"/>
    <s v="BACS Payment Received"/>
    <s v="BACS20260310115085"/>
    <x v="294"/>
    <s v="107C-607080-10025863 278961-107C-&amp;--&amp;-000000003655656014 099 BACS CR KRYSTIAN MAZUR"/>
    <n v="495"/>
    <n v="495"/>
    <n v="301361.51"/>
  </r>
  <r>
    <d v="2026-03-11T00:00:00"/>
    <x v="16"/>
    <s v="BACS Payment Received"/>
    <s v="BACS20260310110397"/>
    <x v="295"/>
    <s v="BIRMINGHAM   SOLIH-607080-10033610 188209-BIRMINGHAM   SOLIH-&amp;--&amp;-BIRMINGHAM COLLAB 099 BACS CR SELECT LIFESTYLES"/>
    <n v="1889.24"/>
    <n v="1889.24"/>
    <n v="300866.51"/>
  </r>
  <r>
    <d v="2026-03-11T00:00:00"/>
    <x v="16"/>
    <s v="Inward Payment"/>
    <s v="FT26070LDCB7"/>
    <x v="71"/>
    <s v="DANIEL MEHMI"/>
    <n v="69.86"/>
    <n v="69.86"/>
    <n v="298977.27"/>
  </r>
  <r>
    <d v="2026-03-11T00:00:00"/>
    <x v="16"/>
    <s v="Inward Payment"/>
    <s v="FT260709N3XG"/>
    <x v="43"/>
    <s v="MARKEY GRAY- PERSO"/>
    <n v="200"/>
    <n v="200"/>
    <n v="298907.41"/>
  </r>
  <r>
    <d v="2026-03-11T00:00:00"/>
    <x v="16"/>
    <s v="Inward Payment"/>
    <s v="FT26070QKC7Z"/>
    <x v="139"/>
    <s v="LAURA NEAL"/>
    <n v="45"/>
    <n v="45"/>
    <n v="298707.41"/>
  </r>
  <r>
    <d v="2026-03-10T00:00:00"/>
    <x v="17"/>
    <s v="Inward Payment"/>
    <s v="FT26069DJ6PL"/>
    <x v="90"/>
    <s v="C SKELDON"/>
    <n v="216.67"/>
    <n v="216.67"/>
    <n v="298662.41"/>
  </r>
  <r>
    <d v="2026-03-10T00:00:00"/>
    <x v="17"/>
    <s v="Account to Account Transfer"/>
    <s v="FT260696Y27V"/>
    <x v="8"/>
    <s v="CC D Stokes"/>
    <n v="-120"/>
    <s v=""/>
    <n v="298445.74"/>
  </r>
  <r>
    <d v="2026-03-10T00:00:00"/>
    <x v="17"/>
    <s v="Inward Payment"/>
    <s v="FT260698H89R"/>
    <x v="39"/>
    <s v="POCKET MONEY"/>
    <n v="1130.9"/>
    <n v="1130.9"/>
    <n v="298565.74"/>
  </r>
  <r>
    <d v="2026-03-10T00:00:00"/>
    <x v="17"/>
    <s v="Outward Faster Payment"/>
    <s v="FT26069CHH91"/>
    <x v="153"/>
    <n v="6810"/>
    <n v="-76000"/>
    <s v=""/>
    <n v="297434.84"/>
  </r>
  <r>
    <d v="2026-03-10T00:00:00"/>
    <x v="17"/>
    <s v="Inward Payment"/>
    <s v="FT26069F2NCP"/>
    <x v="296"/>
    <s v="BEN PARTON 43982"/>
    <n v="730.09"/>
    <n v="730.09"/>
    <n v="373434.84"/>
  </r>
  <r>
    <d v="2026-03-10T00:00:00"/>
    <x v="17"/>
    <s v="Inward Payment"/>
    <s v="FT26069SMJS6"/>
    <x v="50"/>
    <s v="Adam astley - Rent"/>
    <n v="1851"/>
    <n v="1851"/>
    <n v="372704.75"/>
  </r>
  <r>
    <d v="2026-03-10T00:00:00"/>
    <x v="17"/>
    <s v="Inward Payment"/>
    <s v="FT26069NTBQQ"/>
    <x v="14"/>
    <s v="WESTLEY YATES"/>
    <n v="47.5"/>
    <n v="47.5"/>
    <n v="370853.75"/>
  </r>
  <r>
    <d v="2026-03-10T00:00:00"/>
    <x v="17"/>
    <s v="Card Transaction"/>
    <s v="00001580192-20260309-1528604"/>
    <x v="231"/>
    <s v="GBR 20260306 Tesla West Drayton"/>
    <n v="-9.99"/>
    <s v=""/>
    <n v="370806.25"/>
  </r>
  <r>
    <d v="2026-03-10T00:00:00"/>
    <x v="17"/>
    <s v="Inward Payment"/>
    <s v="FT26069XLZY3"/>
    <x v="22"/>
    <s v="ERROLGRANT"/>
    <n v="65"/>
    <n v="65"/>
    <n v="370816.24"/>
  </r>
  <r>
    <d v="2026-03-10T00:00:00"/>
    <x v="17"/>
    <s v="Inward Payment"/>
    <s v="FT2606956TQ8"/>
    <x v="21"/>
    <s v="502869 B NOBLE"/>
    <n v="140"/>
    <n v="140"/>
    <n v="370751.24"/>
  </r>
  <r>
    <d v="2026-03-10T00:00:00"/>
    <x v="17"/>
    <s v="Inward Payment"/>
    <s v="FT2606920MSH"/>
    <x v="23"/>
    <s v="C LAVANDER"/>
    <n v="102.51"/>
    <n v="102.51"/>
    <n v="370611.24"/>
  </r>
  <r>
    <d v="2026-03-10T00:00:00"/>
    <x v="17"/>
    <s v="Direct Debit"/>
    <s v="DDC20260309230177"/>
    <x v="297"/>
    <s v="MBFIN  S0BN25KWH01 S0BN25KWH011435568"/>
    <n v="-533.5"/>
    <s v=""/>
    <n v="370508.73"/>
  </r>
  <r>
    <d v="2026-03-10T00:00:00"/>
    <x v="17"/>
    <s v="Direct Debit"/>
    <s v="DDC20260309232906"/>
    <x v="101"/>
    <s v="BRITISH GAS BUSINE 600867263301123000"/>
    <n v="-254"/>
    <s v=""/>
    <n v="371042.23"/>
  </r>
  <r>
    <d v="2026-03-10T00:00:00"/>
    <x v="17"/>
    <s v="Direct Debit"/>
    <s v="DDC20260309238595"/>
    <x v="215"/>
    <s v="VIRGIN MEDIA PYMTS 070079803001"/>
    <n v="-77.39"/>
    <s v=""/>
    <n v="371296.23"/>
  </r>
  <r>
    <d v="2026-03-10T00:00:00"/>
    <x v="17"/>
    <s v="BACS Payment Received"/>
    <s v="BACS20260309116995"/>
    <x v="298"/>
    <s v="B711NS VEGHAL JAGJ-607080-10025863 278961-B711NS VEGHAL JAGJ-&amp;--&amp;-000000003654096996 099 BACS CR JAGJIT VEGHAL"/>
    <n v="411.67"/>
    <n v="411.67"/>
    <n v="371373.62"/>
  </r>
  <r>
    <d v="2026-03-10T00:00:00"/>
    <x v="17"/>
    <s v="BACS Payment Received"/>
    <s v="BACS20260309117066"/>
    <x v="299"/>
    <s v="CHLOE SKELDON-607080-10025863 278961-CHLOE SKELDON-&amp;--&amp;-000000003654088356 099 BACS CR CHLOE SKELDON"/>
    <n v="411.67"/>
    <n v="411.67"/>
    <n v="370961.95"/>
  </r>
  <r>
    <d v="2026-03-10T00:00:00"/>
    <x v="17"/>
    <s v="BACS Payment Received"/>
    <s v="BACS20260309117143"/>
    <x v="300"/>
    <s v="LGARDNER-607080-10025863 278961-LGARDNER-&amp;--&amp;-000000003654071427 099 BACS CR LEVI GARDNER"/>
    <n v="411.67"/>
    <n v="411.67"/>
    <n v="370550.28"/>
  </r>
  <r>
    <d v="2026-03-10T00:00:00"/>
    <x v="17"/>
    <s v="BACS Payment Received"/>
    <s v="BACS20260309100797"/>
    <x v="30"/>
    <s v="WALSALL METROPOLIT-206877-58552541 401256-WALSALL METROPOLIT-&amp;--&amp;-H 099 BACS CR SELECT LIFESTYLES"/>
    <n v="50"/>
    <n v="50"/>
    <n v="370138.61"/>
  </r>
  <r>
    <d v="2026-03-10T00:00:00"/>
    <x v="17"/>
    <s v="BACS Payment Received"/>
    <s v="BACS20260309100798"/>
    <x v="30"/>
    <s v="WALSALL METROPOLIT-206877-58552541 401256-WALSALL METROPOLIT-&amp;--&amp;-A H 099 BACS CR SELECT LIFESTYLES"/>
    <n v="50"/>
    <n v="50"/>
    <n v="370088.61"/>
  </r>
  <r>
    <d v="2026-03-10T00:00:00"/>
    <x v="17"/>
    <s v="BACS Payment Received"/>
    <s v="BACS20260309100799"/>
    <x v="30"/>
    <s v="WALSALL METROPOLIT-206877-58552541 401256-WALSALL METROPOLIT-&amp;--&amp;-S B 099 BACS CR SELECT LIFESTYSLES"/>
    <n v="50"/>
    <n v="50"/>
    <n v="370038.61"/>
  </r>
  <r>
    <d v="2026-03-10T00:00:00"/>
    <x v="17"/>
    <s v="BACS Payment Received"/>
    <s v="BACS20260309101123"/>
    <x v="301"/>
    <s v="WALSALL MBC BARC-209073-10731692 858504-WALSALL MBC BARC-&amp;--&amp;-859850 099 BACS CR SELECT LIFESTYLES"/>
    <n v="344156.72"/>
    <n v="344156.72"/>
    <n v="369988.61"/>
  </r>
  <r>
    <d v="2026-03-10T00:00:00"/>
    <x v="17"/>
    <s v="Inward Payment"/>
    <s v="FT26069WSD0L"/>
    <x v="302"/>
    <s v="LEVI GARDNER"/>
    <n v="216.67"/>
    <n v="216.67"/>
    <n v="25831.89"/>
  </r>
  <r>
    <d v="2026-03-10T00:00:00"/>
    <x v="17"/>
    <s v="Inward Payment"/>
    <s v="FT26069LCR5V"/>
    <x v="31"/>
    <s v="DS WEEKLY SPEND"/>
    <n v="120"/>
    <n v="120"/>
    <n v="25615.22"/>
  </r>
  <r>
    <d v="2026-03-10T00:00:00"/>
    <x v="17"/>
    <s v="Inward Payment"/>
    <s v="FT26069XR7SF"/>
    <x v="32"/>
    <s v="TREVOR KEANE"/>
    <n v="50"/>
    <n v="50"/>
    <n v="25495.22"/>
  </r>
  <r>
    <d v="2026-03-10T00:00:00"/>
    <x v="17"/>
    <s v="Inward Payment"/>
    <s v="FT26069VBQLF"/>
    <x v="73"/>
    <s v="JORDAN BERRINGTON"/>
    <n v="200"/>
    <n v="200"/>
    <n v="25445.22"/>
  </r>
  <r>
    <d v="2026-03-10T00:00:00"/>
    <x v="17"/>
    <s v="Inward Payment"/>
    <s v="FT260697WR6X"/>
    <x v="24"/>
    <s v="L HAWKINS-Utilit/S"/>
    <n v="65"/>
    <n v="65"/>
    <n v="25245.22"/>
  </r>
  <r>
    <d v="2026-03-10T00:00:00"/>
    <x v="17"/>
    <s v="Inward Payment"/>
    <s v="FT260694WJMB"/>
    <x v="24"/>
    <s v="L HAWKINS-RENT"/>
    <n v="120"/>
    <n v="120"/>
    <n v="25180.22"/>
  </r>
  <r>
    <d v="2026-03-10T00:00:00"/>
    <x v="17"/>
    <s v="Inward Payment"/>
    <s v="FT26069KBFR4"/>
    <x v="26"/>
    <s v="LEIGH AMES RENT"/>
    <n v="120"/>
    <n v="120"/>
    <n v="25060.22"/>
  </r>
  <r>
    <d v="2026-03-10T00:00:00"/>
    <x v="17"/>
    <s v="Inward Payment"/>
    <s v="FT26069TT9C8"/>
    <x v="25"/>
    <s v="ANTHONY MEACHIN UT"/>
    <n v="50"/>
    <n v="50"/>
    <n v="24940.22"/>
  </r>
  <r>
    <d v="2026-03-10T00:00:00"/>
    <x v="17"/>
    <s v="Inward Payment"/>
    <s v="FT26069S5MJ7"/>
    <x v="27"/>
    <s v="JOHN PACE RENT"/>
    <n v="120"/>
    <n v="120"/>
    <n v="24890.22"/>
  </r>
  <r>
    <d v="2026-03-10T00:00:00"/>
    <x v="17"/>
    <s v="Inward Payment"/>
    <s v="FT26069X8N3F"/>
    <x v="33"/>
    <s v="S L SERVICE CHARGE"/>
    <n v="50"/>
    <n v="50"/>
    <n v="24770.22"/>
  </r>
  <r>
    <d v="2026-03-09T00:00:00"/>
    <x v="18"/>
    <s v="Inward Payment"/>
    <s v="FT26068998K6"/>
    <x v="303"/>
    <n v="43979"/>
    <n v="730.09"/>
    <n v="730.09"/>
    <n v="24720.22"/>
  </r>
  <r>
    <d v="2026-03-09T00:00:00"/>
    <x v="18"/>
    <s v="Inward Payment"/>
    <s v="FT26068B1MH1"/>
    <x v="304"/>
    <s v="FLAT 3 CB"/>
    <n v="125"/>
    <n v="125"/>
    <n v="23990.13"/>
  </r>
  <r>
    <d v="2026-03-09T00:00:00"/>
    <x v="18"/>
    <s v="Inward Payment"/>
    <s v="FT260684RF30"/>
    <x v="35"/>
    <s v="FDMS 510799083"/>
    <n v="1800.19"/>
    <n v="1800.19"/>
    <n v="23865.13"/>
  </r>
  <r>
    <d v="2026-03-09T00:00:00"/>
    <x v="18"/>
    <s v="Inward Payment"/>
    <s v="FT26068YR5QR"/>
    <x v="43"/>
    <s v="MARKEY GRAY-RENT"/>
    <n v="120"/>
    <n v="120"/>
    <n v="22064.94"/>
  </r>
  <r>
    <d v="2026-03-09T00:00:00"/>
    <x v="18"/>
    <s v="Inward Payment"/>
    <s v="FT26068Y0N1K"/>
    <x v="44"/>
    <s v="KATIE PARKER RENT"/>
    <n v="6.08"/>
    <n v="6.08"/>
    <n v="21944.94"/>
  </r>
  <r>
    <d v="2026-03-09T00:00:00"/>
    <x v="18"/>
    <s v="Outward Faster Payment"/>
    <s v="FT260682L3XH"/>
    <x v="153"/>
    <n v="6810"/>
    <n v="-100000"/>
    <s v=""/>
    <n v="21938.86"/>
  </r>
  <r>
    <d v="2026-03-09T00:00:00"/>
    <x v="18"/>
    <s v="Account to Account Transfer"/>
    <s v="FT26068XDFB4"/>
    <x v="8"/>
    <s v="CC BS/PC/TP/LG/LS/JB"/>
    <n v="-650"/>
    <s v=""/>
    <n v="121938.86"/>
  </r>
  <r>
    <d v="2026-03-09T00:00:00"/>
    <x v="18"/>
    <s v="Inward Payment"/>
    <s v="FT26068RBSSK"/>
    <x v="48"/>
    <s v="CHRISTOPHER MILLIN"/>
    <n v="50"/>
    <n v="50"/>
    <n v="122588.86"/>
  </r>
  <r>
    <d v="2026-03-09T00:00:00"/>
    <x v="18"/>
    <s v="Inward Payment"/>
    <s v="FT26068V4WMG"/>
    <x v="46"/>
    <s v="SIMON KELLY UTILIT"/>
    <n v="50"/>
    <n v="50"/>
    <n v="122538.86"/>
  </r>
  <r>
    <d v="2026-03-09T00:00:00"/>
    <x v="18"/>
    <s v="Inward Payment"/>
    <s v="FT26068ZF969"/>
    <x v="44"/>
    <s v="KATIE PARKER VEHIC"/>
    <n v="11.96"/>
    <n v="11.96"/>
    <n v="122488.86"/>
  </r>
  <r>
    <d v="2026-03-09T00:00:00"/>
    <x v="18"/>
    <s v="Inward Payment"/>
    <s v="FT26068WDYJ3"/>
    <x v="43"/>
    <s v="MARKER GRAY-UTILIT"/>
    <n v="65"/>
    <n v="65"/>
    <n v="122476.9"/>
  </r>
  <r>
    <d v="2026-03-09T00:00:00"/>
    <x v="18"/>
    <s v="Inward Payment"/>
    <s v="FT26068RD5W6"/>
    <x v="45"/>
    <s v="DAVID MORRIS RENT"/>
    <n v="95"/>
    <n v="95"/>
    <n v="122411.9"/>
  </r>
  <r>
    <d v="2026-03-09T00:00:00"/>
    <x v="18"/>
    <s v="Inward Payment"/>
    <s v="FT26068CJW16"/>
    <x v="45"/>
    <s v="DAVID MORRIS UTILI"/>
    <n v="50"/>
    <n v="50"/>
    <n v="122316.9"/>
  </r>
  <r>
    <d v="2026-03-09T00:00:00"/>
    <x v="18"/>
    <s v="Inward Payment"/>
    <s v="FT26068HT13H"/>
    <x v="44"/>
    <s v="KATIE PARKER UTILI"/>
    <n v="65"/>
    <n v="65"/>
    <n v="122266.9"/>
  </r>
  <r>
    <d v="2026-03-09T00:00:00"/>
    <x v="18"/>
    <s v="Inward Payment"/>
    <s v="FT26068GZ2QH"/>
    <x v="25"/>
    <s v="ANTHONY MEACHIN RE"/>
    <n v="95"/>
    <n v="95"/>
    <n v="122201.9"/>
  </r>
  <r>
    <d v="2026-03-09T00:00:00"/>
    <x v="18"/>
    <s v="Inward Payment"/>
    <s v="FT26068FRB06"/>
    <x v="47"/>
    <s v="GEMMA BAKER UTILIT"/>
    <n v="65"/>
    <n v="65"/>
    <n v="122106.9"/>
  </r>
  <r>
    <d v="2026-03-09T00:00:00"/>
    <x v="18"/>
    <s v="Inward Payment"/>
    <s v="FT26068JCXRX"/>
    <x v="26"/>
    <s v="LEIGH AMES UTILITI"/>
    <n v="65"/>
    <n v="65"/>
    <n v="122041.9"/>
  </r>
  <r>
    <d v="2026-03-09T00:00:00"/>
    <x v="18"/>
    <s v="Inward Payment"/>
    <s v="FT26068GL8H2"/>
    <x v="27"/>
    <n v="38252"/>
    <n v="65"/>
    <n v="65"/>
    <n v="121976.9"/>
  </r>
  <r>
    <d v="2026-03-09T00:00:00"/>
    <x v="18"/>
    <s v="Inward Payment"/>
    <s v="FT26068CKV04"/>
    <x v="46"/>
    <s v="SIMON KELLY WEEKLY"/>
    <n v="95"/>
    <n v="95"/>
    <n v="121911.9"/>
  </r>
  <r>
    <d v="2026-03-09T00:00:00"/>
    <x v="18"/>
    <s v="Inward Payment"/>
    <s v="FT26068C5Z0N"/>
    <x v="91"/>
    <s v="27thfebUTILITYMISS"/>
    <n v="50"/>
    <n v="50"/>
    <n v="121816.9"/>
  </r>
  <r>
    <d v="2026-03-09T00:00:00"/>
    <x v="18"/>
    <s v="Card Transaction"/>
    <s v="00001580192-20260306-1521371"/>
    <x v="18"/>
    <s v="GBR 20260305 UBER    TRIP HELP.UBER.COM"/>
    <n v="-48.97"/>
    <s v=""/>
    <n v="121766.9"/>
  </r>
  <r>
    <d v="2026-03-09T00:00:00"/>
    <x v="18"/>
    <s v="Standing Order"/>
    <s v="FT260688R69N"/>
    <x v="305"/>
    <s v="Horsehills Rent"/>
    <n v="-2000"/>
    <s v=""/>
    <n v="121815.87"/>
  </r>
  <r>
    <d v="2026-03-09T00:00:00"/>
    <x v="18"/>
    <s v="Inward Payment"/>
    <s v="FT26068NCJKM"/>
    <x v="49"/>
    <s v="PAUL CAMPBELL HBSF"/>
    <n v="50"/>
    <n v="50"/>
    <n v="123815.87"/>
  </r>
  <r>
    <d v="2026-03-09T00:00:00"/>
    <x v="18"/>
    <s v="Inward Payment"/>
    <s v="FT26068TW7M3"/>
    <x v="49"/>
    <s v="PAUL CAMPBELL"/>
    <n v="50"/>
    <n v="50"/>
    <n v="123765.87"/>
  </r>
  <r>
    <d v="2026-03-09T00:00:00"/>
    <x v="18"/>
    <s v="Inward Payment"/>
    <s v="FT26068RPRC2"/>
    <x v="50"/>
    <s v="ADAM ASTLEY"/>
    <n v="50"/>
    <n v="50"/>
    <n v="123715.87"/>
  </r>
  <r>
    <d v="2026-03-09T00:00:00"/>
    <x v="18"/>
    <s v="Direct Debit"/>
    <s v="DDC20260306212819"/>
    <x v="306"/>
    <s v="TOYOTA FIN SERV 000034326863/24"/>
    <n v="-1223.81"/>
    <s v=""/>
    <n v="123665.87"/>
  </r>
  <r>
    <d v="2026-03-09T00:00:00"/>
    <x v="18"/>
    <s v="Direct Debit"/>
    <s v="DDC20260306264197"/>
    <x v="307"/>
    <s v="TC LOANS LTD T/A T TCL00139A"/>
    <n v="-31661.72"/>
    <s v=""/>
    <n v="124889.68"/>
  </r>
  <r>
    <d v="2026-03-09T00:00:00"/>
    <x v="18"/>
    <s v="Direct Debit"/>
    <s v="DDC20260306264198"/>
    <x v="307"/>
    <s v="TC LOANS LTD T/A T TCL00139B"/>
    <n v="-28401.04"/>
    <s v=""/>
    <n v="156551.4"/>
  </r>
  <r>
    <d v="2026-03-09T00:00:00"/>
    <x v="18"/>
    <s v="Direct Debit"/>
    <s v="DDC20260306261739"/>
    <x v="101"/>
    <s v="BRITISH GAS BUSINE 602736585111220000"/>
    <n v="-391"/>
    <s v=""/>
    <n v="184952.44"/>
  </r>
  <r>
    <d v="2026-03-09T00:00:00"/>
    <x v="18"/>
    <s v="Direct Debit"/>
    <s v="DDC20260306264458"/>
    <x v="115"/>
    <s v="BRITISH GAS B94759"/>
    <n v="-274.8"/>
    <s v=""/>
    <n v="185343.44"/>
  </r>
  <r>
    <d v="2026-03-09T00:00:00"/>
    <x v="18"/>
    <s v="Direct Debit"/>
    <s v="DDC20260306264457"/>
    <x v="115"/>
    <s v="BRITISH GAS B94766"/>
    <n v="-106.04"/>
    <s v=""/>
    <n v="185618.24"/>
  </r>
  <r>
    <d v="2026-03-09T00:00:00"/>
    <x v="18"/>
    <s v="Direct Debit"/>
    <s v="DDC20260306264459"/>
    <x v="115"/>
    <s v="BRITISH GAS B94763"/>
    <n v="-9.06"/>
    <s v=""/>
    <n v="185724.28"/>
  </r>
  <r>
    <d v="2026-03-09T00:00:00"/>
    <x v="18"/>
    <s v="Direct Debit"/>
    <s v="DDC20260306262296"/>
    <x v="232"/>
    <s v="WATER PLUS 0964007617"/>
    <n v="-6.15"/>
    <s v=""/>
    <n v="185733.34"/>
  </r>
  <r>
    <d v="2026-03-09T00:00:00"/>
    <x v="18"/>
    <s v="Direct Debit"/>
    <s v="DDC20260306223472"/>
    <x v="165"/>
    <s v="BNP PARIBAS LEASIN A1E87101  V5725476"/>
    <n v="-49.92"/>
    <s v=""/>
    <n v="185739.49"/>
  </r>
  <r>
    <d v="2026-03-09T00:00:00"/>
    <x v="18"/>
    <s v="Direct Debit"/>
    <s v="DDC20260306237911"/>
    <x v="250"/>
    <s v="ALPHABET GB 0PRT468410"/>
    <n v="-8.4"/>
    <s v=""/>
    <n v="185789.41"/>
  </r>
  <r>
    <d v="2026-03-09T00:00:00"/>
    <x v="18"/>
    <s v="Direct Debit"/>
    <s v="DDC20260306280776"/>
    <x v="289"/>
    <s v="GOCARDLESS FLEXIMIZE-RM8XW85Z"/>
    <n v="-10439.33"/>
    <s v=""/>
    <n v="185797.81"/>
  </r>
  <r>
    <d v="2026-03-09T00:00:00"/>
    <x v="18"/>
    <s v="Direct Debit"/>
    <s v="DDC20260306283039"/>
    <x v="308"/>
    <s v="ALLSTAR AS60101704"/>
    <n v="-5767.25"/>
    <s v=""/>
    <n v="196237.14"/>
  </r>
  <r>
    <d v="2026-03-09T00:00:00"/>
    <x v="18"/>
    <s v="Direct Debit"/>
    <s v="DDC20260306277463"/>
    <x v="309"/>
    <s v="POZITIVE ENERGY M2FTEMX-PE-359491"/>
    <n v="-65.53"/>
    <s v=""/>
    <n v="202004.39"/>
  </r>
  <r>
    <d v="2026-03-09T00:00:00"/>
    <x v="18"/>
    <s v="Inward Payment"/>
    <s v="FT2606835C4T"/>
    <x v="64"/>
    <s v="J COOPER SC"/>
    <n v="50"/>
    <n v="50"/>
    <n v="202069.92"/>
  </r>
  <r>
    <d v="2026-03-09T00:00:00"/>
    <x v="18"/>
    <s v="Inward Payment"/>
    <s v="FT26068QG34W"/>
    <x v="64"/>
    <s v="JAMES COOPER RENT"/>
    <n v="95"/>
    <n v="95"/>
    <n v="202019.92"/>
  </r>
  <r>
    <d v="2026-03-09T00:00:00"/>
    <x v="18"/>
    <s v="Inward Payment"/>
    <s v="FT260681292J"/>
    <x v="55"/>
    <s v="TOBY PALETHORPE"/>
    <n v="100"/>
    <n v="100"/>
    <n v="201924.92"/>
  </r>
  <r>
    <d v="2026-03-09T00:00:00"/>
    <x v="18"/>
    <s v="BACS Payment Received"/>
    <s v="BACS20260306100402"/>
    <x v="30"/>
    <s v="WALSALL METROPOLIT-206877-58552541 401256-WALSALL METROPOLIT-&amp;--&amp;-LRG WEEKLY FOOD 099 BACS CR SELECT LIFESTYLES"/>
    <n v="50"/>
    <n v="50"/>
    <n v="201824.92"/>
  </r>
  <r>
    <d v="2026-03-09T00:00:00"/>
    <x v="18"/>
    <s v="BACS Payment Received"/>
    <s v="BACS20260306100406"/>
    <x v="30"/>
    <s v="WALSALL METROPOLIT-206877-58552541 401256-WALSALL METROPOLIT-&amp;--&amp;-S P      S 099 BACS CR SELECT LIFESTYLES"/>
    <n v="50"/>
    <n v="50"/>
    <n v="201774.92"/>
  </r>
  <r>
    <d v="2026-03-09T00:00:00"/>
    <x v="18"/>
    <s v="BACS Payment Received"/>
    <s v="BACS20260306100412"/>
    <x v="30"/>
    <s v="WALSALL METROPOLIT-206877-58552541 401256-WALSALL METROPOLIT-&amp;--&amp;-S HOLMES UTILITY 099 BACS CR SELECT LIFESTYLES"/>
    <n v="50"/>
    <n v="50"/>
    <n v="201724.92"/>
  </r>
  <r>
    <d v="2026-03-09T00:00:00"/>
    <x v="18"/>
    <s v="BACS Payment Received"/>
    <s v="BACS20260306100409"/>
    <x v="30"/>
    <s v="WALSALL METROPOLIT-206877-58552541 401256-WALSALL METROPOLIT-&amp;--&amp;-LEO RONALD GUY 099 BACS CR SELECT LIFESTYLES"/>
    <n v="65"/>
    <n v="65"/>
    <n v="201674.92"/>
  </r>
  <r>
    <d v="2026-03-09T00:00:00"/>
    <x v="18"/>
    <s v="BACS Payment Received"/>
    <s v="BACS20260306100407"/>
    <x v="30"/>
    <s v="WALSALL METROPOLIT-206877-58552541 401256-WALSALL METROPOLIT-&amp;--&amp;-RBATE HB TOP UP 099 BACS CR SELECT LIFESTYLES"/>
    <n v="120"/>
    <n v="120"/>
    <n v="201609.92"/>
  </r>
  <r>
    <d v="2026-03-09T00:00:00"/>
    <x v="18"/>
    <s v="BACS Payment Received"/>
    <s v="BACS20260306100413"/>
    <x v="30"/>
    <s v="WALSALL METROPOLIT-206877-58552541 401256-WALSALL METROPOLIT-&amp;--&amp;-TIA BRYON 099 BACS CR LIFESTYLES"/>
    <n v="120"/>
    <n v="120"/>
    <n v="201489.92"/>
  </r>
  <r>
    <d v="2026-03-09T00:00:00"/>
    <x v="18"/>
    <s v="BACS Payment Received"/>
    <s v="BACS20260306100415"/>
    <x v="30"/>
    <s v="WALSALL METROPOLIT-206877-58552541 401256-WALSALL METROPOLIT-&amp;--&amp;-L R GUY RENT 099 BACS CR SELECT LIFESTYLES"/>
    <n v="120"/>
    <n v="120"/>
    <n v="201369.92"/>
  </r>
  <r>
    <d v="2026-03-09T00:00:00"/>
    <x v="18"/>
    <s v="BACS Payment Received"/>
    <s v="BACS20260306100410"/>
    <x v="30"/>
    <s v="WALSALL METROPOLIT-206877-58552541 401256-WALSALL METROPOLIT-&amp;--&amp;-PROGERS RENT/UTIL 099 BACS CR SELECT LIFESTYLES"/>
    <n v="145"/>
    <n v="145"/>
    <n v="201249.92"/>
  </r>
  <r>
    <d v="2026-03-09T00:00:00"/>
    <x v="18"/>
    <s v="BACS Payment Received"/>
    <s v="BACS20260306100411"/>
    <x v="30"/>
    <s v="WALSALL METROPOLIT-206877-58552541 401256-WALSALL METROPOLIT-&amp;--&amp;-KWILEMAN RENT 099 BACS CR SELECT LIFESTYLES"/>
    <n v="145"/>
    <n v="145"/>
    <n v="201104.92"/>
  </r>
  <r>
    <d v="2026-03-09T00:00:00"/>
    <x v="18"/>
    <s v="BACS Payment Received"/>
    <s v="BACS20260306100404"/>
    <x v="30"/>
    <s v="WALSALL METROPOLIT-206877-58552541 401256-WALSALL METROPOLIT-&amp;--&amp;-DSWAIN RENT &amp; SC 099 BACS CR SELECT LIFESTYLES"/>
    <n v="185"/>
    <n v="185"/>
    <n v="200959.92"/>
  </r>
  <r>
    <d v="2026-03-09T00:00:00"/>
    <x v="18"/>
    <s v="BACS Payment Received"/>
    <s v="BACS20260306100408"/>
    <x v="30"/>
    <s v="WALSALL METROPOLIT-206877-58552541 401256-WALSALL METROPOLIT-&amp;--&amp;-H 099 BACS CR SELECT LIFESTYLES"/>
    <n v="411.67"/>
    <n v="411.67"/>
    <n v="200774.92"/>
  </r>
  <r>
    <d v="2026-03-09T00:00:00"/>
    <x v="18"/>
    <s v="BACS Payment Received"/>
    <s v="BACS20260306117182"/>
    <x v="56"/>
    <s v="B-HAM CITY COUNCIL-200790-70489166 972201-B-HAM CITY COUNCIL-&amp;--&amp;-2008092 099 BACS CR SELECT LIFESTYLES"/>
    <n v="7017.2"/>
    <n v="7017.2"/>
    <n v="200363.25"/>
  </r>
  <r>
    <d v="2026-03-09T00:00:00"/>
    <x v="18"/>
    <s v="BACS Payment Received"/>
    <s v="BACS20260306142693"/>
    <x v="310"/>
    <s v="LBROWN-607080-10025863 278961-LBROWN-&amp;--&amp;-000000003651441196 099 BACS CR LORETTA BROWN"/>
    <n v="411.67"/>
    <n v="411.67"/>
    <n v="193346.05"/>
  </r>
  <r>
    <d v="2026-03-09T00:00:00"/>
    <x v="18"/>
    <s v="BACS Payment Received"/>
    <s v="BACS20260306142737"/>
    <x v="311"/>
    <s v="BLUCAS-607080-10025863 278961-BLUCAS-&amp;--&amp;-000000003651418050 099 BACS CR BRANDON LUCAS"/>
    <n v="411.67"/>
    <n v="411.67"/>
    <n v="192934.38"/>
  </r>
  <r>
    <d v="2026-03-09T00:00:00"/>
    <x v="18"/>
    <s v="BACS Payment Received"/>
    <s v="BACS20260306140920"/>
    <x v="312"/>
    <s v="KRUDD-607080-10025863 278961-KRUDD-&amp;--&amp;-000000003651486660 099 BACS CR KAYLEIGH RUDD"/>
    <n v="520"/>
    <n v="520"/>
    <n v="192522.71"/>
  </r>
  <r>
    <d v="2026-03-09T00:00:00"/>
    <x v="18"/>
    <s v="Inward Payment"/>
    <s v="FT26068YYM90"/>
    <x v="63"/>
    <s v="RYAN LAWLEY"/>
    <n v="95"/>
    <n v="95"/>
    <n v="192002.71"/>
  </r>
  <r>
    <d v="2026-03-09T00:00:00"/>
    <x v="18"/>
    <s v="Inward Payment"/>
    <s v="FT26068P55VD"/>
    <x v="169"/>
    <s v="R WILKINS RENT"/>
    <n v="480"/>
    <n v="480"/>
    <n v="191907.71"/>
  </r>
  <r>
    <d v="2026-03-09T00:00:00"/>
    <x v="18"/>
    <s v="Inward Payment"/>
    <s v="FT260682SWHR"/>
    <x v="65"/>
    <s v="JOHN UPCOTT"/>
    <n v="145"/>
    <n v="145"/>
    <n v="191427.71"/>
  </r>
  <r>
    <d v="2026-03-09T00:00:00"/>
    <x v="18"/>
    <s v="Inward Payment"/>
    <s v="FT26068VS6HR"/>
    <x v="74"/>
    <s v="DAVID PILLINGER"/>
    <n v="65"/>
    <n v="65"/>
    <n v="191282.71"/>
  </r>
  <r>
    <d v="2026-03-09T00:00:00"/>
    <x v="18"/>
    <s v="Inward Payment"/>
    <s v="FT26068CM9HZ"/>
    <x v="63"/>
    <s v="RYAN LAWLEY"/>
    <n v="50"/>
    <n v="50"/>
    <n v="191217.71"/>
  </r>
  <r>
    <d v="2026-03-09T00:00:00"/>
    <x v="18"/>
    <s v="Inward Payment"/>
    <s v="FT260680ZHZ4"/>
    <x v="77"/>
    <s v="GARY EDWARDS"/>
    <n v="50"/>
    <n v="50"/>
    <n v="191167.71"/>
  </r>
  <r>
    <d v="2026-03-09T00:00:00"/>
    <x v="18"/>
    <s v="Inward Payment"/>
    <s v="FT2606831JMT"/>
    <x v="81"/>
    <s v="LOUISE ROBERTS"/>
    <n v="50"/>
    <n v="50"/>
    <n v="191117.71"/>
  </r>
  <r>
    <d v="2026-03-09T00:00:00"/>
    <x v="18"/>
    <s v="Inward Payment"/>
    <s v="FT26068P1Y3S"/>
    <x v="82"/>
    <s v="LAUREN SMITH"/>
    <n v="150"/>
    <n v="150"/>
    <n v="191067.71"/>
  </r>
  <r>
    <d v="2026-03-09T00:00:00"/>
    <x v="18"/>
    <s v="Inward Payment"/>
    <s v="FT26068W3ZFM"/>
    <x v="69"/>
    <s v="ZACHARY J HUGHES"/>
    <n v="50"/>
    <n v="50"/>
    <n v="190917.71"/>
  </r>
  <r>
    <d v="2026-03-09T00:00:00"/>
    <x v="18"/>
    <s v="Inward Payment"/>
    <s v="FT2606815RM1"/>
    <x v="313"/>
    <s v="K L ENGLISH"/>
    <n v="195"/>
    <n v="195"/>
    <n v="190867.71"/>
  </r>
  <r>
    <d v="2026-03-09T00:00:00"/>
    <x v="18"/>
    <s v="Inward Payment"/>
    <s v="FT260685XQXR"/>
    <x v="70"/>
    <s v="SERVICE CHARGE PW"/>
    <n v="50"/>
    <n v="50"/>
    <n v="190672.71"/>
  </r>
  <r>
    <d v="2026-03-09T00:00:00"/>
    <x v="18"/>
    <s v="Inward Payment"/>
    <s v="FT260681856T"/>
    <x v="71"/>
    <s v="DANIEL MEHMI"/>
    <n v="95"/>
    <n v="95"/>
    <n v="190622.71"/>
  </r>
  <r>
    <d v="2026-03-09T00:00:00"/>
    <x v="18"/>
    <s v="Inward Payment"/>
    <s v="FT26068N5D8G"/>
    <x v="72"/>
    <s v="AMY ELWELL"/>
    <n v="50"/>
    <n v="50"/>
    <n v="190527.71"/>
  </r>
  <r>
    <d v="2026-03-09T00:00:00"/>
    <x v="18"/>
    <s v="Inward Payment"/>
    <s v="FT26068W0JZC"/>
    <x v="79"/>
    <s v="ANTHONY FRANCE"/>
    <n v="50"/>
    <n v="50"/>
    <n v="190477.71"/>
  </r>
  <r>
    <d v="2026-03-09T00:00:00"/>
    <x v="18"/>
    <s v="Inward Payment"/>
    <s v="FT26068SSCFJ"/>
    <x v="73"/>
    <s v="FOOD SHOPPING"/>
    <n v="50"/>
    <n v="50"/>
    <n v="190427.71"/>
  </r>
  <r>
    <d v="2026-03-09T00:00:00"/>
    <x v="18"/>
    <s v="Inward Payment"/>
    <s v="FT260683XJM1"/>
    <x v="78"/>
    <s v="DAVID SEABRIGHT"/>
    <n v="120"/>
    <n v="120"/>
    <n v="190377.71"/>
  </r>
  <r>
    <d v="2026-03-09T00:00:00"/>
    <x v="18"/>
    <s v="Inward Payment"/>
    <s v="FT26068PDYST"/>
    <x v="75"/>
    <s v="MRS M WOLVERSON"/>
    <n v="6.08"/>
    <n v="6.08"/>
    <n v="190257.71"/>
  </r>
  <r>
    <d v="2026-03-09T00:00:00"/>
    <x v="18"/>
    <s v="Inward Payment"/>
    <s v="FT26068TPVSD"/>
    <x v="74"/>
    <s v="DPILLINGER TRANSP"/>
    <n v="11.96"/>
    <n v="11.96"/>
    <n v="190251.63"/>
  </r>
  <r>
    <d v="2026-03-09T00:00:00"/>
    <x v="18"/>
    <s v="Inward Payment"/>
    <s v="FT26068MFMCC"/>
    <x v="80"/>
    <s v="LOUISE ROBERTS"/>
    <n v="95"/>
    <n v="95"/>
    <n v="190239.67"/>
  </r>
  <r>
    <d v="2026-03-09T00:00:00"/>
    <x v="18"/>
    <s v="Inward Payment"/>
    <s v="FT2606876MWF"/>
    <x v="83"/>
    <s v="A FRANCE - RENT"/>
    <n v="95"/>
    <n v="95"/>
    <n v="190144.67"/>
  </r>
  <r>
    <d v="2026-03-09T00:00:00"/>
    <x v="18"/>
    <s v="Inward Payment"/>
    <s v="FT26068PCXKV"/>
    <x v="91"/>
    <s v="BRANLUCASSERVICE"/>
    <n v="50"/>
    <n v="50"/>
    <n v="190049.67"/>
  </r>
  <r>
    <d v="2026-03-09T00:00:00"/>
    <x v="18"/>
    <s v="Inward Payment"/>
    <s v="FT26068TD0NM"/>
    <x v="85"/>
    <s v="JAMES EASTWOOD"/>
    <n v="50"/>
    <n v="50"/>
    <n v="189999.67"/>
  </r>
  <r>
    <d v="2026-03-09T00:00:00"/>
    <x v="18"/>
    <s v="Inward Payment"/>
    <s v="FT26068MMTHB"/>
    <x v="87"/>
    <s v="select Utility"/>
    <n v="50"/>
    <n v="50"/>
    <n v="189949.67"/>
  </r>
  <r>
    <d v="2026-03-09T00:00:00"/>
    <x v="18"/>
    <s v="Inward Payment"/>
    <s v="FT260685C5Q2"/>
    <x v="192"/>
    <s v="D MORRISSEY-LIMB"/>
    <n v="190"/>
    <n v="190"/>
    <n v="189899.67"/>
  </r>
  <r>
    <d v="2026-03-09T00:00:00"/>
    <x v="18"/>
    <s v="Inward Payment"/>
    <s v="FT260683LWQT"/>
    <x v="88"/>
    <s v="SHEYLLA"/>
    <n v="120"/>
    <n v="120"/>
    <n v="189709.67"/>
  </r>
  <r>
    <d v="2026-03-06T00:00:00"/>
    <x v="19"/>
    <s v="Inward Payment"/>
    <s v="FT26065569BF"/>
    <x v="264"/>
    <s v="BOBBY SPEARS"/>
    <n v="300"/>
    <n v="300"/>
    <n v="189589.67"/>
  </r>
  <r>
    <d v="2026-03-06T00:00:00"/>
    <x v="20"/>
    <s v="Inward Payment"/>
    <s v="FT26065Z4J7R"/>
    <x v="314"/>
    <s v="Purple - Sandwell"/>
    <n v="3040"/>
    <n v="3040"/>
    <n v="189289.67"/>
  </r>
  <r>
    <d v="2026-03-06T00:00:00"/>
    <x v="20"/>
    <s v="Inward Payment"/>
    <s v="FT26065SH9QJ"/>
    <x v="92"/>
    <s v="PAUL BATSON WKLY U"/>
    <n v="50"/>
    <n v="50"/>
    <n v="186249.67"/>
  </r>
  <r>
    <d v="2026-03-06T00:00:00"/>
    <x v="20"/>
    <s v="Card Transaction"/>
    <s v="00001580192-20260305-1522635"/>
    <x v="229"/>
    <s v="GBR 20260305 UBER  TRIP HELP.UBER.C London"/>
    <n v="-34.91"/>
    <s v=""/>
    <n v="186199.67"/>
  </r>
  <r>
    <d v="2026-03-06T00:00:00"/>
    <x v="20"/>
    <s v="Card Transaction"/>
    <s v="00001580192-20260305-1522605"/>
    <x v="229"/>
    <s v="GBR 20260304 UBER  TRIP HELP.UBER.C London"/>
    <n v="-28.97"/>
    <s v=""/>
    <n v="186234.58"/>
  </r>
  <r>
    <d v="2026-03-06T00:00:00"/>
    <x v="20"/>
    <s v="Card Transaction"/>
    <s v="00001580192-20260305-1522615"/>
    <x v="18"/>
    <s v="GBR 20260304 UBER    TRIP HELP.UBER.COM"/>
    <n v="-27.94"/>
    <s v=""/>
    <n v="186263.55"/>
  </r>
  <r>
    <d v="2026-03-06T00:00:00"/>
    <x v="20"/>
    <s v="Card Transaction"/>
    <s v="00001580192-20260305-1522625"/>
    <x v="229"/>
    <s v="GBR 20260305 UBER  TRIP HELP.UBER.C London"/>
    <n v="-6.09"/>
    <s v=""/>
    <n v="186291.49"/>
  </r>
  <r>
    <d v="2026-03-06T00:00:00"/>
    <x v="20"/>
    <s v="Inward Payment"/>
    <s v="FT26065VS30N"/>
    <x v="92"/>
    <s v="WEEKLY RENT PAUL B"/>
    <n v="95"/>
    <n v="95"/>
    <n v="186297.58"/>
  </r>
  <r>
    <d v="2026-03-06T00:00:00"/>
    <x v="20"/>
    <s v="Outward Faster Payment"/>
    <s v="FT2606416TWP"/>
    <x v="315"/>
    <s v="SL6485"/>
    <n v="-30000"/>
    <s v=""/>
    <n v="186202.58"/>
  </r>
  <r>
    <d v="2026-03-06T00:00:00"/>
    <x v="20"/>
    <s v="Outward Faster Payment"/>
    <s v="FT26064MF9BS"/>
    <x v="316"/>
    <s v="SELEC00002"/>
    <n v="-4448.11"/>
    <s v=""/>
    <n v="216202.58"/>
  </r>
  <r>
    <d v="2026-03-06T00:00:00"/>
    <x v="20"/>
    <s v="Outward Faster Payment"/>
    <s v="FT260642H3DD"/>
    <x v="317"/>
    <s v="Acc S4069"/>
    <n v="-3318.15"/>
    <s v=""/>
    <n v="220650.69"/>
  </r>
  <r>
    <d v="2026-03-06T00:00:00"/>
    <x v="20"/>
    <s v="Outward Faster Payment"/>
    <s v="FT260647VWLW"/>
    <x v="318"/>
    <s v="SEL03761"/>
    <n v="-1860"/>
    <s v=""/>
    <n v="223968.84"/>
  </r>
  <r>
    <d v="2026-03-06T00:00:00"/>
    <x v="20"/>
    <s v="Standing Order"/>
    <s v="FT260654SXFL"/>
    <x v="319"/>
    <s v="309A Stafford Rent"/>
    <n v="-1400"/>
    <s v=""/>
    <n v="225828.84"/>
  </r>
  <r>
    <d v="2026-03-06T00:00:00"/>
    <x v="20"/>
    <s v="Outward Faster Payment"/>
    <s v="FT26064W9M2F"/>
    <x v="320"/>
    <s v="Select Lifestyles"/>
    <n v="-804.8"/>
    <s v=""/>
    <n v="227228.84"/>
  </r>
  <r>
    <d v="2026-03-06T00:00:00"/>
    <x v="20"/>
    <s v="Outward Faster Payment"/>
    <s v="FT26064HDXKJ"/>
    <x v="321"/>
    <s v="SLS001"/>
    <n v="-798"/>
    <s v=""/>
    <n v="228033.64"/>
  </r>
  <r>
    <d v="2026-03-06T00:00:00"/>
    <x v="20"/>
    <s v="Outward Faster Payment"/>
    <s v="FT26064CYY15"/>
    <x v="322"/>
    <s v="Acc 1101947773"/>
    <n v="-624"/>
    <s v=""/>
    <n v="228831.64"/>
  </r>
  <r>
    <d v="2026-03-06T00:00:00"/>
    <x v="20"/>
    <s v="Outward Faster Payment"/>
    <s v="FT26062H9Q34"/>
    <x v="323"/>
    <s v="PA688827D GALLAGHE"/>
    <n v="-455.66"/>
    <s v=""/>
    <n v="229455.64"/>
  </r>
  <r>
    <d v="2026-03-06T00:00:00"/>
    <x v="20"/>
    <s v="Outward Faster Payment"/>
    <s v="FT26062NP4BT"/>
    <x v="53"/>
    <s v="612345475484 PRICE"/>
    <n v="-358.13"/>
    <s v=""/>
    <n v="229911.3"/>
  </r>
  <r>
    <d v="2026-03-06T00:00:00"/>
    <x v="20"/>
    <s v="Outward Faster Payment"/>
    <s v="FT26062QPPXT"/>
    <x v="323"/>
    <s v="ESLER"/>
    <n v="-312.05"/>
    <s v=""/>
    <n v="230269.43"/>
  </r>
  <r>
    <d v="2026-03-06T00:00:00"/>
    <x v="20"/>
    <s v="Outward Faster Payment"/>
    <s v="FT260624C2P8"/>
    <x v="53"/>
    <s v="612345875946 HARKE"/>
    <n v="-291.16"/>
    <s v=""/>
    <n v="230581.48"/>
  </r>
  <r>
    <d v="2026-03-06T00:00:00"/>
    <x v="20"/>
    <s v="Outward Faster Payment"/>
    <s v="FT260625GQ8N"/>
    <x v="323"/>
    <s v="DGE"/>
    <n v="-275.76"/>
    <s v=""/>
    <n v="230872.64"/>
  </r>
  <r>
    <d v="2026-03-06T00:00:00"/>
    <x v="20"/>
    <s v="Outward Faster Payment"/>
    <s v="FT260627TY35"/>
    <x v="324"/>
    <s v="A D7F24DE4"/>
    <n v="-272.57"/>
    <s v=""/>
    <n v="231148.4"/>
  </r>
  <r>
    <d v="2026-03-06T00:00:00"/>
    <x v="20"/>
    <s v="Outward Faster Payment"/>
    <s v="FT26062PBHWF"/>
    <x v="325"/>
    <s v="ARP"/>
    <n v="-253.49"/>
    <s v=""/>
    <n v="231420.97"/>
  </r>
  <r>
    <d v="2026-03-06T00:00:00"/>
    <x v="20"/>
    <s v="Outward Faster Payment"/>
    <s v="FT2606271G73"/>
    <x v="326"/>
    <s v="5041802812 GADDU"/>
    <n v="-253.15"/>
    <s v=""/>
    <n v="231674.46"/>
  </r>
  <r>
    <d v="2026-03-06T00:00:00"/>
    <x v="20"/>
    <s v="Outward Faster Payment"/>
    <s v="FT26062V61HN"/>
    <x v="325"/>
    <s v="501006923284 SAMUE"/>
    <n v="-156.18"/>
    <s v=""/>
    <n v="231927.61"/>
  </r>
  <r>
    <d v="2026-03-06T00:00:00"/>
    <x v="20"/>
    <s v="Outward Faster Payment"/>
    <s v="FT26062N151Z"/>
    <x v="324"/>
    <s v="A 0BDEFC27"/>
    <n v="-152.12"/>
    <s v=""/>
    <n v="232083.79"/>
  </r>
  <r>
    <d v="2026-03-06T00:00:00"/>
    <x v="20"/>
    <s v="Outward Faster Payment"/>
    <s v="FT26062SKK2Z"/>
    <x v="323"/>
    <s v="PG"/>
    <n v="-141.83"/>
    <s v=""/>
    <n v="232235.91"/>
  </r>
  <r>
    <d v="2026-03-06T00:00:00"/>
    <x v="20"/>
    <s v="Outward Faster Payment"/>
    <s v="FT26062K6QGR"/>
    <x v="327"/>
    <s v="75344488 PHILLIPS"/>
    <n v="-100"/>
    <s v=""/>
    <n v="232377.74"/>
  </r>
  <r>
    <d v="2026-03-06T00:00:00"/>
    <x v="20"/>
    <s v="Outward Faster Payment"/>
    <s v="FT26062JD9FB"/>
    <x v="323"/>
    <s v="HE"/>
    <n v="-100"/>
    <s v=""/>
    <n v="232477.74"/>
  </r>
  <r>
    <d v="2026-03-06T00:00:00"/>
    <x v="20"/>
    <s v="Outward Faster Payment"/>
    <s v="FT26062QS0M9"/>
    <x v="323"/>
    <s v="RGUSON"/>
    <n v="-79.98999999999999"/>
    <s v=""/>
    <n v="232577.74"/>
  </r>
  <r>
    <d v="2026-03-06T00:00:00"/>
    <x v="20"/>
    <s v="Outward Faster Payment"/>
    <s v="FT26062WJ1MC"/>
    <x v="323"/>
    <s v="YYAR"/>
    <n v="-65"/>
    <s v=""/>
    <n v="232657.73"/>
  </r>
  <r>
    <d v="2026-03-06T00:00:00"/>
    <x v="20"/>
    <s v="Outward Faster Payment"/>
    <s v="FT26062WW4YZ"/>
    <x v="323"/>
    <s v="ORGE"/>
    <n v="-60"/>
    <s v=""/>
    <n v="232722.73"/>
  </r>
  <r>
    <d v="2026-03-06T00:00:00"/>
    <x v="20"/>
    <s v="Outward Faster Payment"/>
    <s v="FT26062PJ9PL"/>
    <x v="323"/>
    <s v="DCLIFF"/>
    <n v="-50"/>
    <s v=""/>
    <n v="232782.73"/>
  </r>
  <r>
    <d v="2026-03-06T00:00:00"/>
    <x v="20"/>
    <s v="Outward Faster Payment"/>
    <s v="FT26062N4PP3"/>
    <x v="53"/>
    <s v="612346141652 MAHGA"/>
    <n v="-11.26"/>
    <s v=""/>
    <n v="232832.73"/>
  </r>
  <r>
    <d v="2026-03-06T00:00:00"/>
    <x v="20"/>
    <s v="Outward Faster Payment"/>
    <s v="FT26062MS0J1"/>
    <x v="53"/>
    <s v="612346367227 ROBER"/>
    <n v="-11.08"/>
    <s v=""/>
    <n v="232843.99"/>
  </r>
  <r>
    <d v="2026-03-06T00:00:00"/>
    <x v="20"/>
    <s v="Direct Debit"/>
    <s v="DDC20260305240415"/>
    <x v="289"/>
    <s v="GOCARDLESS MCLFINANCE-4XW5P9V"/>
    <n v="-16035.37"/>
    <s v=""/>
    <n v="232855.07"/>
  </r>
  <r>
    <d v="2026-03-06T00:00:00"/>
    <x v="20"/>
    <s v="Direct Debit"/>
    <s v="DDC20260305201449"/>
    <x v="99"/>
    <s v="BIZLEND LTD GBP AC BIZLEND4444"/>
    <n v="-5625"/>
    <s v=""/>
    <n v="248890.44"/>
  </r>
  <r>
    <d v="2026-03-06T00:00:00"/>
    <x v="20"/>
    <s v="Direct Debit"/>
    <s v="DDC20260305233909"/>
    <x v="215"/>
    <s v="VIRGIN MEDIA PYMTS 054188105001"/>
    <n v="-38.99"/>
    <s v=""/>
    <n v="254515.44"/>
  </r>
  <r>
    <d v="2026-03-06T00:00:00"/>
    <x v="20"/>
    <s v="BACS Payment Received"/>
    <s v="BACS20260305101359"/>
    <x v="30"/>
    <s v="WALSALL METROPOLIT-206877-58552541 401256-WALSALL METROPOLIT-&amp;--&amp;-N SMITH SC 099 BACS CR SELECT LIFESTYLES"/>
    <n v="50"/>
    <n v="50"/>
    <n v="254554.43"/>
  </r>
  <r>
    <d v="2026-03-06T00:00:00"/>
    <x v="20"/>
    <s v="BACS Payment Received"/>
    <s v="BACS20260305101360"/>
    <x v="30"/>
    <s v="WALSALL METROPOLIT-206877-58552541 401256-WALSALL METROPOLIT-&amp;--&amp;-S        R 099 BACS CR SELECT LIFESTYLES"/>
    <n v="95"/>
    <n v="95"/>
    <n v="254504.43"/>
  </r>
  <r>
    <d v="2026-03-06T00:00:00"/>
    <x v="20"/>
    <s v="BACS Payment Received"/>
    <s v="BACS20260305101361"/>
    <x v="30"/>
    <s v="WALSALL METROPOLIT-206877-58552541 401256-WALSALL METROPOLIT-&amp;--&amp;-S B     W     R 099 BACS CR SELECT LIFESTYLES"/>
    <n v="95"/>
    <n v="95"/>
    <n v="254409.43"/>
  </r>
  <r>
    <d v="2026-03-06T00:00:00"/>
    <x v="20"/>
    <s v="BACS Payment Received"/>
    <s v="BACS20260305101362"/>
    <x v="30"/>
    <s v="WALSALL METROPOLIT-206877-58552541 401256-WALSALL METROPOLIT-&amp;--&amp;-S HOLMES UTILITY 099 BACS CR SELECT LIFESTYLES"/>
    <n v="95"/>
    <n v="95"/>
    <n v="254314.43"/>
  </r>
  <r>
    <d v="2026-03-06T00:00:00"/>
    <x v="20"/>
    <s v="BACS Payment Received"/>
    <s v="BACS20260305101363"/>
    <x v="30"/>
    <s v="WALSALL METROPOLIT-206877-58552541 401256-WALSALL METROPOLIT-&amp;--&amp;-NM SMITH RENT 099 BACS CR SELECT LIFESTYLES"/>
    <n v="95"/>
    <n v="95"/>
    <n v="254219.43"/>
  </r>
  <r>
    <d v="2026-03-06T00:00:00"/>
    <x v="20"/>
    <s v="BACS Payment Received"/>
    <s v="BACS20260305126861"/>
    <x v="286"/>
    <s v="PEOPLEPLUS GROUP L-600001-48991295 775043-PEOPLEPLUS GROUP L-&amp;--&amp;-43957 099 BACS CR SELECTLIFESTYLESLT"/>
    <n v="1088"/>
    <n v="1088"/>
    <n v="254124.43"/>
  </r>
  <r>
    <d v="2026-03-06T00:00:00"/>
    <x v="20"/>
    <s v="BACS Payment Received"/>
    <s v="BACS20260305126862"/>
    <x v="286"/>
    <s v="PEOPLEPLUS GROUP L-600001-48991295 775043-PEOPLEPLUS GROUP L-&amp;--&amp;-43958 099 BACS CR SELECTLIFESTYLESLT"/>
    <n v="1600"/>
    <n v="1600"/>
    <n v="253036.43"/>
  </r>
  <r>
    <d v="2026-03-06T00:00:00"/>
    <x v="20"/>
    <s v="BACS Payment Received"/>
    <s v="BACS20260305126863"/>
    <x v="286"/>
    <s v="PEOPLEPLUS GROUP L-600001-48991295 775043-PEOPLEPLUS GROUP L-&amp;--&amp;-43959 099 BACS CR SELECTLIFESTYLESLT"/>
    <n v="1640"/>
    <n v="1640"/>
    <n v="251436.43"/>
  </r>
  <r>
    <d v="2026-03-06T00:00:00"/>
    <x v="20"/>
    <s v="BACS Payment Received"/>
    <s v="BACS20260305126864"/>
    <x v="286"/>
    <s v="PEOPLEPLUS GROUP L-600001-48991295 775043-PEOPLEPLUS GROUP L-&amp;--&amp;-43962 099 BACS CR SELECTLIFESTYLESLT"/>
    <n v="2892"/>
    <n v="2892"/>
    <n v="249796.43"/>
  </r>
  <r>
    <d v="2026-03-06T00:00:00"/>
    <x v="20"/>
    <s v="BACS Payment Received"/>
    <s v="BACS20260305126869"/>
    <x v="286"/>
    <s v="PEOPLEPLUS GROUP L-600001-48991295 775043-PEOPLEPLUS GROUP L-&amp;--&amp;-43961 099 BACS CR SELECT LIFESTYLES"/>
    <n v="3332"/>
    <n v="3332"/>
    <n v="246904.43"/>
  </r>
  <r>
    <d v="2026-03-06T00:00:00"/>
    <x v="20"/>
    <s v="BACS Payment Received"/>
    <s v="BACS20260305121850"/>
    <x v="328"/>
    <s v="JDOWNINGRA-607080-10025863 278961-JDOWNINGRA-&amp;--&amp;-000000003647436119 099 BACS CR JORDAN DOWNING"/>
    <n v="47.54"/>
    <n v="47.54"/>
    <n v="243572.43"/>
  </r>
  <r>
    <d v="2026-03-06T00:00:00"/>
    <x v="20"/>
    <s v="BACS Payment Received"/>
    <s v="BACS20260305121207"/>
    <x v="329"/>
    <s v="SSMITH-607080-10025863 278961-SSMITH-&amp;--&amp;-000000003647052549 099 BACS CR STELLA SMITH"/>
    <n v="411.67"/>
    <n v="411.67"/>
    <n v="243524.89"/>
  </r>
  <r>
    <d v="2026-03-06T00:00:00"/>
    <x v="20"/>
    <s v="BACS Payment Received"/>
    <s v="BACS20260305121849"/>
    <x v="330"/>
    <s v="JDOWNING-607080-10025863 278961-JDOWNING-&amp;--&amp;-000000003647436081 099 BACS CR JORDAN DOWNING"/>
    <n v="411.67"/>
    <n v="411.67"/>
    <n v="243113.22"/>
  </r>
  <r>
    <d v="2026-03-06T00:00:00"/>
    <x v="20"/>
    <s v="BACS Payment Received"/>
    <s v="BACS20260305121868"/>
    <x v="331"/>
    <s v="S JONES-607080-10025863 278961-S JONES-&amp;--&amp;-000000003647397477 099 BACS CR SARAH JONES"/>
    <n v="495"/>
    <n v="495"/>
    <n v="242701.55"/>
  </r>
  <r>
    <d v="2026-03-06T00:00:00"/>
    <x v="20"/>
    <s v="BACS Payment Received"/>
    <s v="BACS20260305121870"/>
    <x v="332"/>
    <s v="CLBROWN-607080-10025863 278961-CLBROWN-&amp;--&amp;-000000003647397407 099 BACS CR CHLOE BROWN"/>
    <n v="495"/>
    <n v="495"/>
    <n v="242206.55"/>
  </r>
  <r>
    <d v="2026-03-06T00:00:00"/>
    <x v="20"/>
    <s v="BACS Payment Received"/>
    <s v="BACS20260305122523"/>
    <x v="333"/>
    <s v="PHINDS-607080-10025863 278961-PHINDS-&amp;--&amp;-000000003647231068 099 BACS CR PAUL HINDS"/>
    <n v="495"/>
    <n v="495"/>
    <n v="241711.55"/>
  </r>
  <r>
    <d v="2026-03-06T00:00:00"/>
    <x v="20"/>
    <s v="BACS Payment Received"/>
    <s v="BACS20260305122538"/>
    <x v="334"/>
    <s v="DPILLINGER-607080-10025863 278961-DPILLINGER-&amp;--&amp;-000000003647230428 099 BACS CR DAVID PILLINGER"/>
    <n v="495"/>
    <n v="495"/>
    <n v="241216.55"/>
  </r>
  <r>
    <d v="2026-03-06T00:00:00"/>
    <x v="20"/>
    <s v="BACS Payment Received"/>
    <s v="BACS20260305121324"/>
    <x v="335"/>
    <s v="LBAYLISS-607080-10025863 278961-LBAYLISS-&amp;--&amp;-000000003647467574 099 BACS CR LUKE BAYLISS"/>
    <n v="520"/>
    <n v="520"/>
    <n v="240721.55"/>
  </r>
  <r>
    <d v="2026-03-06T00:00:00"/>
    <x v="20"/>
    <s v="Inward Payment"/>
    <s v="FT26065MYBNS"/>
    <x v="102"/>
    <s v="D WOODHALL"/>
    <n v="45"/>
    <n v="45"/>
    <n v="240201.55"/>
  </r>
  <r>
    <d v="2026-03-06T00:00:00"/>
    <x v="20"/>
    <s v="Inward Payment"/>
    <s v="FT260655YF3J"/>
    <x v="75"/>
    <s v="ANGELA WOLVERSON"/>
    <n v="65"/>
    <n v="65"/>
    <n v="240156.55"/>
  </r>
  <r>
    <d v="2026-03-06T00:00:00"/>
    <x v="20"/>
    <s v="Inward Payment"/>
    <s v="FT260657545J"/>
    <x v="336"/>
    <s v="PAUL HINDS"/>
    <n v="25"/>
    <n v="25"/>
    <n v="240091.55"/>
  </r>
  <r>
    <d v="2026-03-06T00:00:00"/>
    <x v="20"/>
    <s v="Inward Payment"/>
    <s v="FT260653CBPR"/>
    <x v="110"/>
    <s v="R DAWSON RENT"/>
    <n v="50"/>
    <n v="50"/>
    <n v="240066.55"/>
  </r>
  <r>
    <d v="2026-03-05T00:00:00"/>
    <x v="21"/>
    <s v="Outward Faster Payment"/>
    <s v="FT260641QG65"/>
    <x v="337"/>
    <s v="Select Lifestyles"/>
    <n v="-46.49"/>
    <s v=""/>
    <n v="240016.55"/>
  </r>
  <r>
    <d v="2026-03-05T00:00:00"/>
    <x v="21"/>
    <s v="Inward Payment"/>
    <s v="FT26064GYN55"/>
    <x v="86"/>
    <s v="NICOLE SARGENT"/>
    <n v="221.43"/>
    <n v="221.43"/>
    <n v="240063.04"/>
  </r>
  <r>
    <d v="2026-03-05T00:00:00"/>
    <x v="21"/>
    <s v="Account to Account Transfer"/>
    <s v="FT260644W915"/>
    <x v="8"/>
    <s v="CC BB/CJ"/>
    <n v="-450"/>
    <s v=""/>
    <n v="239841.61"/>
  </r>
  <r>
    <d v="2026-03-05T00:00:00"/>
    <x v="21"/>
    <s v="Inward Payment"/>
    <s v="FT260649CN7K"/>
    <x v="35"/>
    <s v="FDMS 510799083"/>
    <n v="500"/>
    <n v="500"/>
    <n v="240291.61"/>
  </r>
  <r>
    <d v="2026-03-05T00:00:00"/>
    <x v="21"/>
    <s v="Inward Payment"/>
    <s v="FT26064W7JRS"/>
    <x v="114"/>
    <s v="LIFESTYLES"/>
    <n v="65"/>
    <n v="65"/>
    <n v="239791.61"/>
  </r>
  <r>
    <d v="2026-03-05T00:00:00"/>
    <x v="21"/>
    <s v="Inward Payment"/>
    <s v="FT260642M933"/>
    <x v="338"/>
    <s v="NO REF"/>
    <n v="216.67"/>
    <n v="216.67"/>
    <n v="239726.61"/>
  </r>
  <r>
    <d v="2026-03-05T00:00:00"/>
    <x v="21"/>
    <s v="Standing Order"/>
    <s v="FT260647B8YH"/>
    <x v="339"/>
    <s v="59 Walsall Rd Rent"/>
    <n v="-3000"/>
    <s v=""/>
    <n v="239509.94"/>
  </r>
  <r>
    <d v="2026-03-05T00:00:00"/>
    <x v="21"/>
    <s v="Direct Debit"/>
    <s v="DDC20260304232502"/>
    <x v="340"/>
    <s v="CARE QUALITY COMMI 5335598"/>
    <n v="-958"/>
    <s v=""/>
    <n v="242509.94"/>
  </r>
  <r>
    <d v="2026-03-05T00:00:00"/>
    <x v="21"/>
    <s v="Inward Payment"/>
    <s v="FT260644LZQ5"/>
    <x v="64"/>
    <s v="JOSIAHLEE"/>
    <n v="50"/>
    <n v="50"/>
    <n v="243467.94"/>
  </r>
  <r>
    <d v="2026-03-05T00:00:00"/>
    <x v="21"/>
    <s v="Inward Payment"/>
    <s v="FT260642CHP1"/>
    <x v="216"/>
    <s v="COLLEEN JOHNSON"/>
    <n v="300"/>
    <n v="300"/>
    <n v="243417.94"/>
  </r>
  <r>
    <d v="2026-03-05T00:00:00"/>
    <x v="21"/>
    <s v="BACS Payment Received"/>
    <s v="BACS20260304113936"/>
    <x v="341"/>
    <s v="LHICKMAN-607080-10025863 278961-LHICKMAN-&amp;--&amp;-000000003644566297 099 BACS CR LUKE HICKMAN"/>
    <n v="411.67"/>
    <n v="411.67"/>
    <n v="243117.94"/>
  </r>
  <r>
    <d v="2026-03-05T00:00:00"/>
    <x v="21"/>
    <s v="BACS Payment Received"/>
    <s v="BACS20260304112633"/>
    <x v="342"/>
    <s v="HMISTRY-607080-10025863 278961-HMISTRY-&amp;--&amp;-000000003644463816 099 BACS CR HITEN MISTRY"/>
    <n v="495"/>
    <n v="495"/>
    <n v="242706.27"/>
  </r>
  <r>
    <d v="2026-03-05T00:00:00"/>
    <x v="21"/>
    <s v="BACS Payment Received"/>
    <s v="BACS20260304115148"/>
    <x v="59"/>
    <s v="WOLVERHAMPTON CC-560069-44470320 972860-WOLVERHAMPTON CC-&amp;--&amp;-0 099 BACS CR SELECT LIFESTYLES"/>
    <n v="137871.25"/>
    <n v="137871.25"/>
    <n v="242211.27"/>
  </r>
  <r>
    <d v="2026-03-05T00:00:00"/>
    <x v="21"/>
    <s v="Inward Payment"/>
    <s v="FT26064J9PV9"/>
    <x v="343"/>
    <s v="A JOHNSON RENT"/>
    <n v="380"/>
    <n v="380"/>
    <n v="104340.02"/>
  </r>
  <r>
    <d v="2026-03-05T00:00:00"/>
    <x v="21"/>
    <s v="Inward Payment"/>
    <s v="FT260645850L"/>
    <x v="123"/>
    <s v="SERVICE CHARGES"/>
    <n v="71.08"/>
    <n v="71.08"/>
    <n v="103960.02"/>
  </r>
  <r>
    <d v="2026-03-05T00:00:00"/>
    <x v="21"/>
    <s v="Inward Payment"/>
    <s v="FT26064SLD5Q"/>
    <x v="344"/>
    <s v="JAGJIT S VEGHAL"/>
    <n v="216.67"/>
    <n v="216.67"/>
    <n v="103888.94"/>
  </r>
  <r>
    <d v="2026-03-05T00:00:00"/>
    <x v="21"/>
    <s v="Inward Payment"/>
    <s v="FT260648YS1Z"/>
    <x v="345"/>
    <s v="20814HAYLEIGHBOWAT"/>
    <n v="359.85"/>
    <n v="359.85"/>
    <n v="103672.27"/>
  </r>
  <r>
    <d v="2026-03-05T00:00:00"/>
    <x v="21"/>
    <s v="Inward Payment"/>
    <s v="FT26064WSZFG"/>
    <x v="70"/>
    <s v="RENT"/>
    <n v="95"/>
    <n v="95"/>
    <n v="103312.42"/>
  </r>
  <r>
    <d v="2026-03-04T00:00:00"/>
    <x v="22"/>
    <s v="Inward Payment"/>
    <s v="FT26063CV4P9"/>
    <x v="261"/>
    <n v="43972"/>
    <n v="250"/>
    <n v="250"/>
    <n v="103217.42"/>
  </r>
  <r>
    <d v="2026-03-04T00:00:00"/>
    <x v="22"/>
    <s v="Inward Payment"/>
    <s v="FT260635FMN1"/>
    <x v="227"/>
    <s v="Estates A2G drinks"/>
    <n v="260.45"/>
    <n v="260.45"/>
    <n v="102967.42"/>
  </r>
  <r>
    <d v="2026-03-04T00:00:00"/>
    <x v="22"/>
    <s v="Inward Payment"/>
    <s v="FT26063BBJL3"/>
    <x v="287"/>
    <s v="SARAH JONES"/>
    <n v="225"/>
    <n v="225"/>
    <n v="102706.97"/>
  </r>
  <r>
    <d v="2026-03-04T00:00:00"/>
    <x v="22"/>
    <s v="Account to Account Transfer"/>
    <s v="FT260630VZ63"/>
    <x v="8"/>
    <s v="CC M"/>
    <n v="-200"/>
    <s v=""/>
    <n v="102481.97"/>
  </r>
  <r>
    <d v="2026-03-04T00:00:00"/>
    <x v="22"/>
    <s v="Inward Payment"/>
    <s v="FT260637S7CR"/>
    <x v="346"/>
    <s v="JOSEPHTU"/>
    <n v="309.38"/>
    <n v="309.38"/>
    <n v="102681.97"/>
  </r>
  <r>
    <d v="2026-03-04T00:00:00"/>
    <x v="22"/>
    <s v="Inward Payment"/>
    <s v="FT26063Y1MP9"/>
    <x v="43"/>
    <s v="MARKEY GRAY- PERSO"/>
    <n v="200"/>
    <n v="200"/>
    <n v="102372.59"/>
  </r>
  <r>
    <d v="2026-03-04T00:00:00"/>
    <x v="22"/>
    <s v="Inward Payment"/>
    <s v="FT26063BXMGY"/>
    <x v="347"/>
    <s v="ARTHUR GREEN"/>
    <n v="500"/>
    <n v="500"/>
    <n v="102172.59"/>
  </r>
  <r>
    <d v="2026-03-04T00:00:00"/>
    <x v="22"/>
    <s v="Card Transaction"/>
    <s v="00001580192-20260303-1521452"/>
    <x v="348"/>
    <s v="GBR 20260302 WWW.IWOCA.CO.UK LONDON"/>
    <n v="-6293.61"/>
    <s v=""/>
    <n v="101672.59"/>
  </r>
  <r>
    <d v="2026-03-04T00:00:00"/>
    <x v="22"/>
    <s v="Direct Debit"/>
    <s v="DDC20260303211737"/>
    <x v="119"/>
    <s v="ENGIE POWER 10281552001"/>
    <n v="-1006.06"/>
    <s v=""/>
    <n v="107966.2"/>
  </r>
  <r>
    <d v="2026-03-04T00:00:00"/>
    <x v="22"/>
    <s v="Direct Debit"/>
    <s v="DDC20260303214614"/>
    <x v="349"/>
    <s v="DVLA-BN24NYC 000000000070047097"/>
    <n v="-620"/>
    <s v=""/>
    <n v="108972.26"/>
  </r>
  <r>
    <d v="2026-03-04T00:00:00"/>
    <x v="22"/>
    <s v="Direct Debit"/>
    <s v="DDC20260303215428"/>
    <x v="350"/>
    <s v="DVLA-BK24HHA 000000000070047242"/>
    <n v="-345"/>
    <s v=""/>
    <n v="109592.26"/>
  </r>
  <r>
    <d v="2026-03-04T00:00:00"/>
    <x v="22"/>
    <s v="Direct Debit"/>
    <s v="DDC20260303209599"/>
    <x v="206"/>
    <s v="PEAC UK LTD AALF242601"/>
    <n v="-39.32"/>
    <s v=""/>
    <n v="109937.26"/>
  </r>
  <r>
    <d v="2026-03-04T00:00:00"/>
    <x v="22"/>
    <s v="Direct Debit"/>
    <s v="DDC20260303206183"/>
    <x v="351"/>
    <s v="STRIPE X2CIFOA3-FF"/>
    <n v="-765"/>
    <s v=""/>
    <n v="109976.58"/>
  </r>
  <r>
    <d v="2026-03-04T00:00:00"/>
    <x v="22"/>
    <s v="BACS Payment Received"/>
    <s v="BACS20260303116207"/>
    <x v="352"/>
    <s v="JWARD-607080-10025863 278961-JWARD-&amp;--&amp;-000000003643011671 099 BACS CR JAMIE WARD"/>
    <n v="411.67"/>
    <n v="411.67"/>
    <n v="110741.58"/>
  </r>
  <r>
    <d v="2026-03-04T00:00:00"/>
    <x v="22"/>
    <s v="BACS Payment Received"/>
    <s v="BACS20260303115682"/>
    <x v="353"/>
    <s v="JHADDOCK-607080-10025863 278961-JHADDOCK-&amp;--&amp;-000000003643081823 099 BACS CR JESSICA HADDOCK"/>
    <n v="320"/>
    <n v="320"/>
    <n v="110329.91"/>
  </r>
  <r>
    <d v="2026-03-04T00:00:00"/>
    <x v="22"/>
    <s v="BACS Payment Received"/>
    <s v="BACS20260303115987"/>
    <x v="354"/>
    <s v="JTURNER-607080-10025863 278961-JTURNER-&amp;--&amp;-000000003643125848 099 BACS CR JOSEPH TURNER"/>
    <n v="411.67"/>
    <n v="411.67"/>
    <n v="110009.91"/>
  </r>
  <r>
    <d v="2026-03-04T00:00:00"/>
    <x v="22"/>
    <s v="BACS Payment Received"/>
    <s v="BACS20260303115709"/>
    <x v="355"/>
    <s v="JSTONE-607080-10025863 278961-JSTONE-&amp;--&amp;-000000003643086195 099 BACS CR JAMIE STONE"/>
    <n v="495"/>
    <n v="495"/>
    <n v="109598.24"/>
  </r>
  <r>
    <d v="2026-03-04T00:00:00"/>
    <x v="22"/>
    <s v="Inward Payment"/>
    <s v="FT26063P98L0"/>
    <x v="71"/>
    <s v="DANIEL MEHMI"/>
    <n v="69.86"/>
    <n v="69.86"/>
    <n v="109103.24"/>
  </r>
  <r>
    <d v="2026-03-04T00:00:00"/>
    <x v="22"/>
    <s v="Inward Payment"/>
    <s v="FT2606355SGR"/>
    <x v="85"/>
    <s v="JAMEEASTWOOD RENT"/>
    <n v="411.67"/>
    <n v="411.67"/>
    <n v="109033.38"/>
  </r>
  <r>
    <d v="2026-03-04T00:00:00"/>
    <x v="22"/>
    <s v="Inward Payment"/>
    <s v="FT26063JNJCN"/>
    <x v="110"/>
    <s v="R DAWSON RENT"/>
    <n v="411.67"/>
    <n v="411.67"/>
    <n v="108621.71"/>
  </r>
  <r>
    <d v="2026-03-04T00:00:00"/>
    <x v="22"/>
    <s v="Inward Payment"/>
    <s v="FT26063HBW9S"/>
    <x v="139"/>
    <s v="LAURA NEAL"/>
    <n v="45"/>
    <n v="45"/>
    <n v="108210.04"/>
  </r>
  <r>
    <d v="2026-03-04T00:00:00"/>
    <x v="22"/>
    <s v="Inward Payment"/>
    <s v="FT26063ZD8C7"/>
    <x v="356"/>
    <s v="Jamie ward"/>
    <n v="210"/>
    <n v="210"/>
    <n v="108165.04"/>
  </r>
  <r>
    <d v="2026-03-03T00:00:00"/>
    <x v="23"/>
    <s v="Outward Faster Payment"/>
    <s v="FT260622QZXH"/>
    <x v="37"/>
    <s v="Select Lifestyles"/>
    <n v="-7500"/>
    <s v=""/>
    <n v="107955.04"/>
  </r>
  <r>
    <d v="2026-03-03T00:00:00"/>
    <x v="23"/>
    <s v="Inward Payment"/>
    <s v="FT260627GF8F"/>
    <x v="24"/>
    <s v="L HAWKINS-Utilit/S"/>
    <n v="65"/>
    <n v="65"/>
    <n v="115455.04"/>
  </r>
  <r>
    <d v="2026-03-03T00:00:00"/>
    <x v="23"/>
    <s v="Inward Payment"/>
    <s v="FT26062GKGJ4"/>
    <x v="24"/>
    <s v="L HAWKINS-RENT"/>
    <n v="120"/>
    <n v="120"/>
    <n v="115390.04"/>
  </r>
  <r>
    <d v="2026-03-03T00:00:00"/>
    <x v="23"/>
    <s v="Inward Payment"/>
    <s v="FT26062KR7N5"/>
    <x v="27"/>
    <s v="JOHN PACE RENT"/>
    <n v="120"/>
    <n v="120"/>
    <n v="115270.04"/>
  </r>
  <r>
    <d v="2026-03-03T00:00:00"/>
    <x v="23"/>
    <s v="Inward Payment"/>
    <s v="FT260620DP22"/>
    <x v="26"/>
    <s v="LEIGH AMES RENT"/>
    <n v="120"/>
    <n v="120"/>
    <n v="115150.04"/>
  </r>
  <r>
    <d v="2026-03-03T00:00:00"/>
    <x v="23"/>
    <s v="Inward Payment"/>
    <s v="FT26062XD3YB"/>
    <x v="25"/>
    <s v="ANTHONY MEACHIN UT"/>
    <n v="50"/>
    <n v="50"/>
    <n v="115030.04"/>
  </r>
  <r>
    <d v="2026-03-03T00:00:00"/>
    <x v="23"/>
    <s v="Inward Payment"/>
    <s v="FT26062SY2FH"/>
    <x v="35"/>
    <s v="FDMS 510799083"/>
    <n v="2278.16"/>
    <n v="2278.16"/>
    <n v="114980.04"/>
  </r>
  <r>
    <d v="2026-03-03T00:00:00"/>
    <x v="23"/>
    <s v="Account to Account Transfer"/>
    <s v="FT26062DHZ83"/>
    <x v="8"/>
    <s v="CC TC/DS"/>
    <n v="-553.34"/>
    <s v=""/>
    <n v="112701.88"/>
  </r>
  <r>
    <d v="2026-03-03T00:00:00"/>
    <x v="23"/>
    <s v="Inward Payment"/>
    <s v="FT26062JFJPR"/>
    <x v="14"/>
    <s v="WESTLEY YATES"/>
    <n v="47.5"/>
    <n v="47.5"/>
    <n v="113255.22"/>
  </r>
  <r>
    <d v="2026-03-03T00:00:00"/>
    <x v="23"/>
    <s v="Card Transaction"/>
    <s v="00001580192-20260302-1534300"/>
    <x v="140"/>
    <s v="GBR 20260226 LEAFLETFROG 01204328273"/>
    <n v="-155"/>
    <s v=""/>
    <n v="113207.72"/>
  </r>
  <r>
    <d v="2026-03-03T00:00:00"/>
    <x v="23"/>
    <s v="Card Transaction"/>
    <s v="00001580192-20260302-1534290"/>
    <x v="357"/>
    <s v="DEU 20260301 Porsche Charging GB Stuttgart"/>
    <n v="-28.76"/>
    <s v=""/>
    <n v="113362.72"/>
  </r>
  <r>
    <d v="2026-03-03T00:00:00"/>
    <x v="23"/>
    <s v="Card Transaction"/>
    <s v="00001580192-20260302-1534270"/>
    <x v="19"/>
    <s v="GBR 20260228 Tesla Inc. West Drayton"/>
    <n v="-20.06"/>
    <s v=""/>
    <n v="113391.48"/>
  </r>
  <r>
    <d v="2026-03-03T00:00:00"/>
    <x v="23"/>
    <s v="Card Transaction"/>
    <s v="00001580192-20260302-1534260"/>
    <x v="19"/>
    <s v="GBR 20260228 Tesla Inc. West Drayton"/>
    <n v="-12.92"/>
    <s v=""/>
    <n v="113411.54"/>
  </r>
  <r>
    <d v="2026-03-03T00:00:00"/>
    <x v="23"/>
    <s v="Card Transaction"/>
    <s v="00001580192-20260302-1534280"/>
    <x v="19"/>
    <s v="GBR 20260228 Tesla Inc. West Drayton"/>
    <n v="-4.11"/>
    <s v=""/>
    <n v="113424.46"/>
  </r>
  <r>
    <d v="2026-03-03T00:00:00"/>
    <x v="23"/>
    <s v="Inward Payment"/>
    <s v="FT260622H6TR"/>
    <x v="21"/>
    <s v="502869 B NOBLE"/>
    <n v="140"/>
    <n v="140"/>
    <n v="113428.57"/>
  </r>
  <r>
    <d v="2026-03-03T00:00:00"/>
    <x v="23"/>
    <s v="Inward Payment"/>
    <s v="FT26062KVX18"/>
    <x v="22"/>
    <s v="ERROLGRANT"/>
    <n v="65"/>
    <n v="65"/>
    <n v="113288.57"/>
  </r>
  <r>
    <d v="2026-03-03T00:00:00"/>
    <x v="23"/>
    <s v="Inward Payment"/>
    <s v="FT26062CXSTX"/>
    <x v="23"/>
    <s v="C LAVANDER"/>
    <n v="102.51"/>
    <n v="102.51"/>
    <n v="113223.57"/>
  </r>
  <r>
    <d v="2026-03-03T00:00:00"/>
    <x v="23"/>
    <s v="Inward Payment"/>
    <s v="FT26062CFLR7"/>
    <x v="31"/>
    <s v="DS WEEKLY SPEND"/>
    <n v="120"/>
    <n v="120"/>
    <n v="113121.06"/>
  </r>
  <r>
    <d v="2026-03-03T00:00:00"/>
    <x v="23"/>
    <s v="Inward Payment"/>
    <s v="FT2606239RG5"/>
    <x v="32"/>
    <s v="TREVOR KEANE"/>
    <n v="50"/>
    <n v="50"/>
    <n v="113001.06"/>
  </r>
  <r>
    <d v="2026-03-03T00:00:00"/>
    <x v="23"/>
    <s v="Direct Debit"/>
    <s v="DDC20260302214486"/>
    <x v="358"/>
    <s v="AVIVA 100779187CMI10G004"/>
    <n v="-6302.19"/>
    <s v=""/>
    <n v="112951.06"/>
  </r>
  <r>
    <d v="2026-03-03T00:00:00"/>
    <x v="23"/>
    <s v="Direct Debit"/>
    <s v="DDC20260302209691"/>
    <x v="359"/>
    <s v="DVLA-SK73WWA 000000000070134350"/>
    <n v="-345"/>
    <s v=""/>
    <n v="119253.25"/>
  </r>
  <r>
    <d v="2026-03-03T00:00:00"/>
    <x v="23"/>
    <s v="Direct Debit"/>
    <s v="DDC20260302216580"/>
    <x v="360"/>
    <s v="AVIVA PENSION 00086210110001"/>
    <n v="-50"/>
    <s v=""/>
    <n v="119598.25"/>
  </r>
  <r>
    <d v="2026-03-03T00:00:00"/>
    <x v="23"/>
    <s v="BACS Payment Received"/>
    <s v="BACS20260302100402"/>
    <x v="30"/>
    <s v="WALSALL METROPOLIT-206877-58552541 401256-WALSALL METROPOLIT-&amp;--&amp;-A H 099 BACS CR SELECT LIFESTYLES"/>
    <n v="50"/>
    <n v="50"/>
    <n v="119648.25"/>
  </r>
  <r>
    <d v="2026-03-03T00:00:00"/>
    <x v="23"/>
    <s v="BACS Payment Received"/>
    <s v="BACS20260302100403"/>
    <x v="30"/>
    <s v="WALSALL METROPOLIT-206877-58552541 401256-WALSALL METROPOLIT-&amp;--&amp;-S B 099 BACS CR SELECT LIFESTYSLES"/>
    <n v="50"/>
    <n v="50"/>
    <n v="119598.25"/>
  </r>
  <r>
    <d v="2026-03-03T00:00:00"/>
    <x v="23"/>
    <s v="BACS Payment Received"/>
    <s v="BACS20260302100404"/>
    <x v="30"/>
    <s v="WALSALL METROPOLIT-206877-58552541 401256-WALSALL METROPOLIT-&amp;--&amp;-H 099 BACS CR SELECT LIFESTYLES"/>
    <n v="50"/>
    <n v="50"/>
    <n v="119548.25"/>
  </r>
  <r>
    <d v="2026-03-03T00:00:00"/>
    <x v="23"/>
    <s v="BACS Payment Received"/>
    <s v="BACS20260302114626"/>
    <x v="361"/>
    <s v="ANDREW HANDS-607080-10025863 278961-ANDREW HANDS-&amp;--&amp;-000000003641966682 099 BACS CR ANDREW HANDS"/>
    <n v="411.67"/>
    <n v="411.67"/>
    <n v="119498.25"/>
  </r>
  <r>
    <d v="2026-03-03T00:00:00"/>
    <x v="23"/>
    <s v="BACS Payment Received"/>
    <s v="BACS20260302116048"/>
    <x v="29"/>
    <s v="SANDWELL MBC-601539-69624135 971830-SANDWELL MBC-&amp;--&amp;-121863 099 BACS CR SELECT LIFESTYLES"/>
    <n v="12699.76"/>
    <n v="12699.76"/>
    <n v="119086.58"/>
  </r>
  <r>
    <d v="2026-03-03T00:00:00"/>
    <x v="23"/>
    <s v="Inward Payment"/>
    <s v="FT26062K697X"/>
    <x v="33"/>
    <s v="S L SERVICE CHARGE"/>
    <n v="50"/>
    <n v="50"/>
    <n v="106386.82"/>
  </r>
  <r>
    <d v="2026-03-03T00:00:00"/>
    <x v="23"/>
    <s v="Inward Payment"/>
    <s v="FT260626HCJ5"/>
    <x v="34"/>
    <s v="OLIVIAWA"/>
    <n v="380"/>
    <n v="380"/>
    <n v="106336.82"/>
  </r>
  <r>
    <d v="2026-03-03T00:00:00"/>
    <x v="23"/>
    <s v="Inward Payment"/>
    <s v="FT26062CNYVL"/>
    <x v="282"/>
    <s v="Extra Rent"/>
    <n v="25"/>
    <n v="25"/>
    <n v="105956.82"/>
  </r>
  <r>
    <d v="2026-03-02T00:00:00"/>
    <x v="24"/>
    <s v="Inward Payment"/>
    <s v="FT26061N4PQH"/>
    <x v="362"/>
    <s v="Oliviawe"/>
    <n v="1224"/>
    <n v="1224"/>
    <n v="105931.82"/>
  </r>
  <r>
    <d v="2026-03-02T00:00:00"/>
    <x v="24"/>
    <s v="Outward Faster Payment"/>
    <s v="FT2606142DQ9"/>
    <x v="153"/>
    <n v="6810"/>
    <n v="-100000"/>
    <s v=""/>
    <n v="104707.82"/>
  </r>
  <r>
    <d v="2026-03-02T00:00:00"/>
    <x v="24"/>
    <s v="Account to Account Transfer"/>
    <s v="FT260612DYR1"/>
    <x v="8"/>
    <s v="CC KW/LS/JB/TP/LG/PC/AJ/NP"/>
    <n v="-1221.67"/>
    <s v=""/>
    <n v="204707.82"/>
  </r>
  <r>
    <d v="2026-03-02T00:00:00"/>
    <x v="24"/>
    <s v="Outward Faster Payment"/>
    <s v="FT26061WZKBM"/>
    <x v="227"/>
    <s v="Petty cash Mar 26"/>
    <n v="-9105"/>
    <s v=""/>
    <n v="205929.49"/>
  </r>
  <r>
    <d v="2026-03-02T00:00:00"/>
    <x v="24"/>
    <s v="Outward Faster Payment"/>
    <s v="FT26061SPG4J"/>
    <x v="363"/>
    <s v="March Pay"/>
    <n v="-22809"/>
    <s v=""/>
    <n v="215034.49"/>
  </r>
  <r>
    <d v="2026-03-02T00:00:00"/>
    <x v="24"/>
    <s v="Account to Account Transfer"/>
    <s v="FT260613FB9N"/>
    <x v="38"/>
    <s v="Transfer"/>
    <n v="-64"/>
    <s v=""/>
    <n v="237843.49"/>
  </r>
  <r>
    <d v="2026-03-02T00:00:00"/>
    <x v="24"/>
    <s v="Outward Faster Payment"/>
    <s v="FT260612QDHG"/>
    <x v="364"/>
    <s v="ACC 109848"/>
    <n v="-2224.8"/>
    <s v=""/>
    <n v="237907.49"/>
  </r>
  <r>
    <d v="2026-03-02T00:00:00"/>
    <x v="24"/>
    <s v="Inward Payment"/>
    <s v="FT260612K3SS"/>
    <x v="42"/>
    <s v="MICHAELG/UTIL/SRV"/>
    <n v="740"/>
    <n v="740"/>
    <n v="240132.29"/>
  </r>
  <r>
    <d v="2026-03-02T00:00:00"/>
    <x v="24"/>
    <s v="Inward Payment"/>
    <s v="FT26061296ZQ"/>
    <x v="43"/>
    <s v="MARKEY GRAY-RENT"/>
    <n v="120"/>
    <n v="120"/>
    <n v="239392.29"/>
  </r>
  <r>
    <d v="2026-03-02T00:00:00"/>
    <x v="24"/>
    <s v="Inward Payment"/>
    <s v="FT26061NN091"/>
    <x v="44"/>
    <s v="KATIE PARKER RENT"/>
    <n v="6.08"/>
    <n v="6.08"/>
    <n v="239272.29"/>
  </r>
  <r>
    <d v="2026-03-02T00:00:00"/>
    <x v="24"/>
    <s v="Inward Payment"/>
    <s v="FT26061FHW73"/>
    <x v="25"/>
    <s v="ANTHONY MEACHIN RE"/>
    <n v="95"/>
    <n v="95"/>
    <n v="239266.21"/>
  </r>
  <r>
    <d v="2026-03-02T00:00:00"/>
    <x v="24"/>
    <s v="Inward Payment"/>
    <s v="FT2606187GX7"/>
    <x v="43"/>
    <s v="MARKER GRAY-UTILIT"/>
    <n v="65"/>
    <n v="65"/>
    <n v="239171.21"/>
  </r>
  <r>
    <d v="2026-03-02T00:00:00"/>
    <x v="24"/>
    <s v="Inward Payment"/>
    <s v="FT26061M0B16"/>
    <x v="45"/>
    <s v="DAVID MORRIS UTILI"/>
    <n v="50"/>
    <n v="50"/>
    <n v="239106.21"/>
  </r>
  <r>
    <d v="2026-03-02T00:00:00"/>
    <x v="24"/>
    <s v="Inward Payment"/>
    <s v="FT26061MVT3S"/>
    <x v="46"/>
    <s v="SIMON KELLY UTILIT"/>
    <n v="50"/>
    <n v="50"/>
    <n v="239056.21"/>
  </r>
  <r>
    <d v="2026-03-02T00:00:00"/>
    <x v="24"/>
    <s v="Inward Payment"/>
    <s v="FT26061MKQT9"/>
    <x v="48"/>
    <s v="CHRISTOPHER MILLIN"/>
    <n v="50"/>
    <n v="50"/>
    <n v="239006.21"/>
  </r>
  <r>
    <d v="2026-03-02T00:00:00"/>
    <x v="24"/>
    <s v="Inward Payment"/>
    <s v="FT26061W0FS6"/>
    <x v="47"/>
    <s v="GEMMA BAKER UTILIT"/>
    <n v="65"/>
    <n v="65"/>
    <n v="238956.21"/>
  </r>
  <r>
    <d v="2026-03-02T00:00:00"/>
    <x v="24"/>
    <s v="Inward Payment"/>
    <s v="FT260610MTYV"/>
    <x v="44"/>
    <s v="KATIE PARKER VEHIC"/>
    <n v="11.96"/>
    <n v="11.96"/>
    <n v="238891.21"/>
  </r>
  <r>
    <d v="2026-03-02T00:00:00"/>
    <x v="24"/>
    <s v="Inward Payment"/>
    <s v="FT26061SLVLL"/>
    <x v="44"/>
    <s v="KATIE PARKER UTILI"/>
    <n v="65"/>
    <n v="65"/>
    <n v="238879.25"/>
  </r>
  <r>
    <d v="2026-03-02T00:00:00"/>
    <x v="24"/>
    <s v="Inward Payment"/>
    <s v="FT260611SXCY"/>
    <x v="26"/>
    <s v="LEIGH AMES UTILITI"/>
    <n v="65"/>
    <n v="65"/>
    <n v="238814.25"/>
  </r>
  <r>
    <d v="2026-03-02T00:00:00"/>
    <x v="24"/>
    <s v="Inward Payment"/>
    <s v="FT26061LQ9J0"/>
    <x v="45"/>
    <s v="DAVID MORRIS RENT"/>
    <n v="95"/>
    <n v="95"/>
    <n v="238749.25"/>
  </r>
  <r>
    <d v="2026-03-02T00:00:00"/>
    <x v="24"/>
    <s v="Inward Payment"/>
    <s v="FT26061ZYPGS"/>
    <x v="55"/>
    <s v="TOBY PALETHORPE"/>
    <n v="100"/>
    <n v="100"/>
    <n v="238654.25"/>
  </r>
  <r>
    <d v="2026-03-02T00:00:00"/>
    <x v="24"/>
    <s v="Inward Payment"/>
    <s v="FT26061QWCDQ"/>
    <x v="27"/>
    <n v="38252"/>
    <n v="65"/>
    <n v="65"/>
    <n v="238554.25"/>
  </r>
  <r>
    <d v="2026-03-02T00:00:00"/>
    <x v="24"/>
    <s v="Inward Payment"/>
    <s v="FT26061G8T69"/>
    <x v="65"/>
    <s v="JOHN UPCOTT"/>
    <n v="145"/>
    <n v="145"/>
    <n v="238489.25"/>
  </r>
  <r>
    <d v="2026-03-02T00:00:00"/>
    <x v="24"/>
    <s v="Inward Payment"/>
    <s v="FT260617NXH7"/>
    <x v="50"/>
    <s v="ADAM ASTLEY"/>
    <n v="50"/>
    <n v="50"/>
    <n v="238344.25"/>
  </r>
  <r>
    <d v="2026-03-02T00:00:00"/>
    <x v="24"/>
    <s v="Card Transaction"/>
    <s v="00001580192-20260227-1521204"/>
    <x v="365"/>
    <s v="GBR 20260226 Auto Windscreens Sevenoaks"/>
    <n v="-150"/>
    <s v=""/>
    <n v="238294.25"/>
  </r>
  <r>
    <d v="2026-03-02T00:00:00"/>
    <x v="24"/>
    <s v="Card Transaction"/>
    <s v="00001580192-20260227-1521214"/>
    <x v="16"/>
    <s v="GBR 20260226 INTERFLORA BRITISH UNI SLEAFORD"/>
    <n v="-54"/>
    <s v=""/>
    <n v="238444.25"/>
  </r>
  <r>
    <d v="2026-03-02T00:00:00"/>
    <x v="24"/>
    <s v="Inward Payment"/>
    <s v="FT26061Y4T7F"/>
    <x v="67"/>
    <s v="TARENBIR CHEEMA"/>
    <n v="736.0599999999999"/>
    <n v="736.0599999999999"/>
    <n v="238498.25"/>
  </r>
  <r>
    <d v="2026-03-02T00:00:00"/>
    <x v="24"/>
    <s v="Inward Payment"/>
    <s v="FT260615D8PS"/>
    <x v="67"/>
    <s v="TARENBIR CHEEMA"/>
    <n v="100"/>
    <n v="100"/>
    <n v="237762.19"/>
  </r>
  <r>
    <d v="2026-03-02T00:00:00"/>
    <x v="24"/>
    <s v="Inward Payment"/>
    <s v="FT26061B6R6S"/>
    <x v="139"/>
    <s v="L NEAL"/>
    <n v="12.69"/>
    <n v="12.69"/>
    <n v="237662.19"/>
  </r>
  <r>
    <d v="2026-03-02T00:00:00"/>
    <x v="24"/>
    <s v="Inward Payment"/>
    <s v="FT26061BWWPQ"/>
    <x v="55"/>
    <s v="TOBY PALETHORPE"/>
    <n v="25"/>
    <n v="25"/>
    <n v="237649.5"/>
  </r>
  <r>
    <d v="2026-03-02T00:00:00"/>
    <x v="24"/>
    <s v="Inward Payment"/>
    <s v="FT2606165SL2"/>
    <x v="46"/>
    <s v="SIMON KELLY WEEKLY"/>
    <n v="95"/>
    <n v="95"/>
    <n v="237624.5"/>
  </r>
  <r>
    <d v="2026-03-02T00:00:00"/>
    <x v="24"/>
    <s v="Inward Payment"/>
    <s v="FT260618P31P"/>
    <x v="68"/>
    <s v="PETER HARRIS"/>
    <n v="216.67"/>
    <n v="216.67"/>
    <n v="237529.5"/>
  </r>
  <r>
    <d v="2026-03-02T00:00:00"/>
    <x v="24"/>
    <s v="Inward Payment"/>
    <s v="FT26061DT1MP"/>
    <x v="66"/>
    <s v="LUKE BAYLISS"/>
    <n v="359.85"/>
    <n v="359.85"/>
    <n v="237312.83"/>
  </r>
  <r>
    <d v="2026-03-02T00:00:00"/>
    <x v="24"/>
    <s v="Outward Faster Payment"/>
    <s v="FT260572GD00"/>
    <x v="366"/>
    <s v="Select Lifestyles"/>
    <n v="-220.8"/>
    <s v=""/>
    <n v="236952.98"/>
  </r>
  <r>
    <d v="2026-03-02T00:00:00"/>
    <x v="24"/>
    <s v="Outward Faster Payment"/>
    <s v="FT26058NFGK5"/>
    <x v="95"/>
    <s v="Inv 2759"/>
    <n v="-195"/>
    <s v=""/>
    <n v="237173.78"/>
  </r>
  <r>
    <d v="2026-03-02T00:00:00"/>
    <x v="24"/>
    <s v="Outward Faster Payment"/>
    <s v="FT26057PXJJD"/>
    <x v="367"/>
    <s v="OP2 011431"/>
    <n v="-195"/>
    <s v=""/>
    <n v="237368.78"/>
  </r>
  <r>
    <d v="2026-03-02T00:00:00"/>
    <x v="24"/>
    <s v="Standing Order"/>
    <s v="FT260611X9R9"/>
    <x v="368"/>
    <s v="Oberon Rent"/>
    <n v="-950"/>
    <s v=""/>
    <n v="237563.78"/>
  </r>
  <r>
    <d v="2026-03-02T00:00:00"/>
    <x v="24"/>
    <s v="Outward Faster Payment"/>
    <s v="FT260571F2JW"/>
    <x v="369"/>
    <s v="ADSEL56"/>
    <n v="-120"/>
    <s v=""/>
    <n v="238513.78"/>
  </r>
  <r>
    <d v="2026-03-02T00:00:00"/>
    <x v="24"/>
    <s v="Standing Order"/>
    <s v="FT26061NT78P"/>
    <x v="370"/>
    <s v="46 Dudding Road"/>
    <n v="-2900"/>
    <s v=""/>
    <n v="238633.78"/>
  </r>
  <r>
    <d v="2026-03-02T00:00:00"/>
    <x v="24"/>
    <s v="Outward Faster Payment"/>
    <s v="FT260572NG34"/>
    <x v="371"/>
    <s v="Select Lifestyles"/>
    <n v="-350"/>
    <s v=""/>
    <n v="241533.78"/>
  </r>
  <r>
    <d v="2026-03-02T00:00:00"/>
    <x v="24"/>
    <s v="Outward Faster Payment"/>
    <s v="FT26057XV1R6"/>
    <x v="194"/>
    <n v="366211"/>
    <n v="-932.26"/>
    <s v=""/>
    <n v="241883.78"/>
  </r>
  <r>
    <d v="2026-03-02T00:00:00"/>
    <x v="24"/>
    <s v="Standing Order"/>
    <s v="FT26061R9HW0"/>
    <x v="372"/>
    <s v="Marsons Court Rent"/>
    <n v="-7200"/>
    <s v=""/>
    <n v="242816.04"/>
  </r>
  <r>
    <d v="2026-03-02T00:00:00"/>
    <x v="24"/>
    <s v="Standing Order"/>
    <s v="FT260618GW3D"/>
    <x v="373"/>
    <s v="1 Harrison St Rent"/>
    <n v="-3000"/>
    <s v=""/>
    <n v="250016.04"/>
  </r>
  <r>
    <d v="2026-03-02T00:00:00"/>
    <x v="24"/>
    <s v="Standing Order"/>
    <s v="FT26061R0KML"/>
    <x v="41"/>
    <s v="Greswold Street Re"/>
    <n v="-1925"/>
    <s v=""/>
    <n v="253016.04"/>
  </r>
  <r>
    <d v="2026-03-02T00:00:00"/>
    <x v="24"/>
    <s v="Standing Order"/>
    <s v="FT26061JF8T0"/>
    <x v="41"/>
    <s v="The Bantocks Rent"/>
    <n v="-1850"/>
    <s v=""/>
    <n v="254941.04"/>
  </r>
  <r>
    <d v="2026-03-02T00:00:00"/>
    <x v="24"/>
    <s v="Outward Faster Payment"/>
    <s v="FT260574FPPP"/>
    <x v="374"/>
    <s v="Select Lifestyles"/>
    <n v="-100.61"/>
    <s v=""/>
    <n v="256791.04"/>
  </r>
  <r>
    <d v="2026-03-02T00:00:00"/>
    <x v="24"/>
    <s v="Outward Faster Payment"/>
    <s v="FT26057DK863"/>
    <x v="375"/>
    <s v="Select Lifestyles"/>
    <n v="-2041.2"/>
    <s v=""/>
    <n v="256891.65"/>
  </r>
  <r>
    <d v="2026-03-02T00:00:00"/>
    <x v="24"/>
    <s v="Outward Faster Payment"/>
    <s v="FT26057MN8BL"/>
    <x v="376"/>
    <s v="Select Lifestyles"/>
    <n v="-87"/>
    <s v=""/>
    <n v="258932.85"/>
  </r>
  <r>
    <d v="2026-03-02T00:00:00"/>
    <x v="24"/>
    <s v="Standing Order"/>
    <s v="FT26061LB7Z0"/>
    <x v="41"/>
    <s v="Peacock Close Rent"/>
    <n v="-1350"/>
    <s v=""/>
    <n v="259019.85"/>
  </r>
  <r>
    <d v="2026-03-02T00:00:00"/>
    <x v="24"/>
    <s v="Outward Faster Payment"/>
    <s v="FT260577B0TB"/>
    <x v="377"/>
    <s v="Select Lifestyles"/>
    <n v="-7536.58"/>
    <s v=""/>
    <n v="260369.85"/>
  </r>
  <r>
    <d v="2026-03-02T00:00:00"/>
    <x v="24"/>
    <s v="Standing Order"/>
    <s v="FT2606172CP8"/>
    <x v="378"/>
    <s v="Fellows Road Rent"/>
    <n v="-2600"/>
    <s v=""/>
    <n v="267906.43"/>
  </r>
  <r>
    <d v="2026-03-02T00:00:00"/>
    <x v="24"/>
    <s v="Outward Faster Payment"/>
    <s v="FT26057H9DTK"/>
    <x v="379"/>
    <s v="Select Lifestyles"/>
    <n v="-1867.11"/>
    <s v=""/>
    <n v="270506.43"/>
  </r>
  <r>
    <d v="2026-03-02T00:00:00"/>
    <x v="24"/>
    <s v="Outward Faster Payment"/>
    <s v="FT26057PBX2C"/>
    <x v="380"/>
    <s v="SELE01"/>
    <n v="-750"/>
    <s v=""/>
    <n v="272373.54"/>
  </r>
  <r>
    <d v="2026-03-02T00:00:00"/>
    <x v="24"/>
    <s v="Outward Faster Payment"/>
    <s v="FT26057WKH7G"/>
    <x v="381"/>
    <s v="Account S545"/>
    <n v="-6000"/>
    <s v=""/>
    <n v="273123.54"/>
  </r>
  <r>
    <d v="2026-03-02T00:00:00"/>
    <x v="24"/>
    <s v="Outward Faster Payment"/>
    <s v="FT2605711P4S"/>
    <x v="382"/>
    <s v="DK76SE01"/>
    <n v="-3317.7"/>
    <s v=""/>
    <n v="279123.54"/>
  </r>
  <r>
    <d v="2026-03-02T00:00:00"/>
    <x v="24"/>
    <s v="Outward Faster Payment"/>
    <s v="FT26057091ZF"/>
    <x v="383"/>
    <s v="SELE01"/>
    <n v="-2636.27"/>
    <s v=""/>
    <n v="282441.24"/>
  </r>
  <r>
    <d v="2026-03-02T00:00:00"/>
    <x v="24"/>
    <s v="Standing Order"/>
    <s v="FT26061NB4Z9"/>
    <x v="384"/>
    <s v="43c High St Rent"/>
    <n v="-725"/>
    <s v=""/>
    <n v="285077.51"/>
  </r>
  <r>
    <d v="2026-03-02T00:00:00"/>
    <x v="24"/>
    <s v="Standing Order"/>
    <s v="FT26061Z08D2"/>
    <x v="41"/>
    <s v="TivertonDrive Rent"/>
    <n v="-1500"/>
    <s v=""/>
    <n v="285802.51"/>
  </r>
  <r>
    <d v="2026-03-02T00:00:00"/>
    <x v="24"/>
    <s v="Standing Order"/>
    <s v="FT26061MTFS8"/>
    <x v="385"/>
    <s v="94-95 Throne Road"/>
    <n v="-3292"/>
    <s v=""/>
    <n v="287302.51"/>
  </r>
  <r>
    <d v="2026-03-02T00:00:00"/>
    <x v="24"/>
    <s v="Standing Order"/>
    <s v="FT26061RZ5JY"/>
    <x v="41"/>
    <s v="Vicarage Road Rent"/>
    <n v="-1775"/>
    <s v=""/>
    <n v="290594.51"/>
  </r>
  <r>
    <d v="2026-03-02T00:00:00"/>
    <x v="24"/>
    <s v="Standing Order"/>
    <s v="FT26061H6V7Z"/>
    <x v="386"/>
    <s v="127 Stony Ln Rent"/>
    <n v="-2500"/>
    <s v=""/>
    <n v="292369.51"/>
  </r>
  <r>
    <d v="2026-03-02T00:00:00"/>
    <x v="24"/>
    <s v="Standing Order"/>
    <s v="FT2606103K7S"/>
    <x v="370"/>
    <s v="Doveridge Place"/>
    <n v="-5900"/>
    <s v=""/>
    <n v="294869.51"/>
  </r>
  <r>
    <d v="2026-03-02T00:00:00"/>
    <x v="24"/>
    <s v="Outward Faster Payment"/>
    <s v="FT26057JSP82"/>
    <x v="387"/>
    <n v="6331640014093600"/>
    <n v="-1161.13"/>
    <s v=""/>
    <n v="300769.51"/>
  </r>
  <r>
    <d v="2026-03-02T00:00:00"/>
    <x v="24"/>
    <s v="Standing Order"/>
    <s v="FT260611XRYB"/>
    <x v="388"/>
    <s v="130 Himley Road"/>
    <n v="-3500"/>
    <s v=""/>
    <n v="301930.64"/>
  </r>
  <r>
    <d v="2026-03-02T00:00:00"/>
    <x v="24"/>
    <s v="Standing Order"/>
    <s v="FT26061Z22JD"/>
    <x v="370"/>
    <s v="12 Beeches Road"/>
    <n v="-2900"/>
    <s v=""/>
    <n v="305430.64"/>
  </r>
  <r>
    <d v="2026-03-02T00:00:00"/>
    <x v="24"/>
    <s v="Outward Faster Payment"/>
    <s v="FT2605707C1J"/>
    <x v="198"/>
    <n v="823739"/>
    <n v="-2814.62"/>
    <s v=""/>
    <n v="308330.64"/>
  </r>
  <r>
    <d v="2026-03-02T00:00:00"/>
    <x v="24"/>
    <s v="Standing Order"/>
    <s v="FT26061F4QBT"/>
    <x v="40"/>
    <s v="Penns Road Rent"/>
    <n v="-2750"/>
    <s v=""/>
    <n v="311145.26"/>
  </r>
  <r>
    <d v="2026-03-02T00:00:00"/>
    <x v="24"/>
    <s v="Outward Faster Payment"/>
    <s v="FT26057XDJ9Y"/>
    <x v="389"/>
    <s v="SSEL004"/>
    <n v="-6720"/>
    <s v=""/>
    <n v="313895.26"/>
  </r>
  <r>
    <d v="2026-03-02T00:00:00"/>
    <x v="24"/>
    <s v="Outward Faster Payment"/>
    <s v="FT26057YBGDH"/>
    <x v="390"/>
    <s v="Select Lifestyles"/>
    <n v="-8400"/>
    <s v=""/>
    <n v="320615.26"/>
  </r>
  <r>
    <d v="2026-03-02T00:00:00"/>
    <x v="24"/>
    <s v="Outward Faster Payment"/>
    <s v="FT260572G2ZY"/>
    <x v="391"/>
    <s v="Select Lifestyles"/>
    <n v="-703.2"/>
    <s v=""/>
    <n v="329015.26"/>
  </r>
  <r>
    <d v="2026-03-02T00:00:00"/>
    <x v="24"/>
    <s v="Inward Payment"/>
    <s v="FT26061G5D3F"/>
    <x v="64"/>
    <s v="JAMES COOPER RENT"/>
    <n v="95"/>
    <n v="95"/>
    <n v="329718.46"/>
  </r>
  <r>
    <d v="2026-03-02T00:00:00"/>
    <x v="24"/>
    <s v="Inward Payment"/>
    <s v="FT26061WGS3T"/>
    <x v="64"/>
    <s v="J COOPER SC"/>
    <n v="50"/>
    <n v="50"/>
    <n v="329623.46"/>
  </r>
  <r>
    <d v="2026-03-02T00:00:00"/>
    <x v="24"/>
    <s v="Inward Payment"/>
    <s v="FT26061T7XS1"/>
    <x v="287"/>
    <s v="SARAH JONES"/>
    <n v="281.67"/>
    <n v="281.67"/>
    <n v="329573.46"/>
  </r>
  <r>
    <d v="2026-03-02T00:00:00"/>
    <x v="24"/>
    <s v="Inward Payment"/>
    <s v="FT26061FQPHL"/>
    <x v="34"/>
    <s v="OLIVIA U WALKER"/>
    <n v="180"/>
    <n v="180"/>
    <n v="329291.79"/>
  </r>
  <r>
    <d v="2026-03-02T00:00:00"/>
    <x v="24"/>
    <s v="Inward Payment"/>
    <s v="FT260619KPNZ"/>
    <x v="392"/>
    <s v="William Skyte"/>
    <n v="25"/>
    <n v="25"/>
    <n v="329111.79"/>
  </r>
  <r>
    <d v="2026-03-02T00:00:00"/>
    <x v="24"/>
    <s v="Inward Payment"/>
    <s v="FT26061KSXS3"/>
    <x v="69"/>
    <s v="ZACHARY J HUGHES"/>
    <n v="50"/>
    <n v="50"/>
    <n v="329086.79"/>
  </r>
  <r>
    <d v="2026-03-02T00:00:00"/>
    <x v="24"/>
    <s v="Direct Debit"/>
    <s v="DDC202602272156648"/>
    <x v="252"/>
    <s v="PREMIUM CREDIT LTD 04C08092GA35-10008"/>
    <n v="-731.64"/>
    <s v=""/>
    <n v="329036.79"/>
  </r>
  <r>
    <d v="2026-03-02T00:00:00"/>
    <x v="24"/>
    <s v="Direct Debit"/>
    <s v="DDC202602272171742"/>
    <x v="250"/>
    <s v="ALPHABET GB 0PRT468410"/>
    <n v="-8.4"/>
    <s v=""/>
    <n v="329768.43"/>
  </r>
  <r>
    <d v="2026-03-02T00:00:00"/>
    <x v="24"/>
    <s v="Inward Payment"/>
    <s v="FT26061SZYQN"/>
    <x v="70"/>
    <s v="SERVICE CHARGE PW"/>
    <n v="50"/>
    <n v="50"/>
    <n v="329776.83"/>
  </r>
  <r>
    <d v="2026-03-02T00:00:00"/>
    <x v="24"/>
    <s v="Direct Debit"/>
    <s v="DDC202602272369149"/>
    <x v="393"/>
    <s v="UKO SERVICED OFFIC RHSELECT-1"/>
    <n v="-420"/>
    <s v=""/>
    <n v="329726.83"/>
  </r>
  <r>
    <d v="2026-03-02T00:00:00"/>
    <x v="24"/>
    <s v="Inward Payment"/>
    <s v="FT26061S6L0B"/>
    <x v="394"/>
    <s v="AJOHNSON"/>
    <n v="541.67"/>
    <n v="541.67"/>
    <n v="330146.83"/>
  </r>
  <r>
    <d v="2026-03-02T00:00:00"/>
    <x v="24"/>
    <s v="Direct Debit"/>
    <s v="DDC202602272358515"/>
    <x v="289"/>
    <s v="GOCARDLESS CARETUTOR-45S43K8E"/>
    <n v="-1620"/>
    <s v=""/>
    <n v="329605.16"/>
  </r>
  <r>
    <d v="2026-03-02T00:00:00"/>
    <x v="24"/>
    <s v="Direct Debit"/>
    <s v="DDC202602272359457"/>
    <x v="289"/>
    <s v="GOCARDLESS ALSALBIONLIM-M7M7Z"/>
    <n v="-1467.2"/>
    <s v=""/>
    <n v="331225.16"/>
  </r>
  <r>
    <d v="2026-03-02T00:00:00"/>
    <x v="24"/>
    <s v="Direct Debit"/>
    <s v="DDC202602272316706"/>
    <x v="52"/>
    <s v="FEDERAL CAPITAL JAN3FCP-FC605393"/>
    <n v="-11918.5"/>
    <s v=""/>
    <n v="332692.36"/>
  </r>
  <r>
    <d v="2026-03-02T00:00:00"/>
    <x v="24"/>
    <s v="Inward Payment"/>
    <s v="FT26061MK5MB"/>
    <x v="395"/>
    <s v="MARSHA KAY UTILITY"/>
    <n v="281.67"/>
    <n v="281.67"/>
    <n v="344610.86"/>
  </r>
  <r>
    <d v="2026-03-02T00:00:00"/>
    <x v="24"/>
    <s v="Inward Payment"/>
    <s v="FT26061PHM2T"/>
    <x v="71"/>
    <s v="DANIEL MEHMI"/>
    <n v="95"/>
    <n v="95"/>
    <n v="344329.19"/>
  </r>
  <r>
    <d v="2026-03-02T00:00:00"/>
    <x v="24"/>
    <s v="Inward Payment"/>
    <s v="FT26061VZM9B"/>
    <x v="72"/>
    <s v="AMY ELWELL"/>
    <n v="50"/>
    <n v="50"/>
    <n v="344234.19"/>
  </r>
  <r>
    <d v="2026-03-02T00:00:00"/>
    <x v="24"/>
    <s v="Direct Debit"/>
    <s v="DDC202602272426875"/>
    <x v="247"/>
    <s v="MULTIFLEET VEHICLE 0210438-004"/>
    <n v="-1478.98"/>
    <s v=""/>
    <n v="344184.19"/>
  </r>
  <r>
    <d v="2026-03-02T00:00:00"/>
    <x v="24"/>
    <s v="Direct Debit"/>
    <s v="DDC202602272426877"/>
    <x v="247"/>
    <s v="MULTIFLEET VEHICLE 0210438-004"/>
    <n v="-1426.42"/>
    <s v=""/>
    <n v="345663.17"/>
  </r>
  <r>
    <d v="2026-03-02T00:00:00"/>
    <x v="24"/>
    <s v="Direct Debit"/>
    <s v="DDC202602272296690"/>
    <x v="54"/>
    <s v="SANDWELL MBCCTAX 81735626"/>
    <n v="-119"/>
    <s v=""/>
    <n v="347089.59"/>
  </r>
  <r>
    <d v="2026-03-02T00:00:00"/>
    <x v="24"/>
    <s v="Inward Payment"/>
    <s v="FT260611VM8K"/>
    <x v="49"/>
    <s v="PAUL CAMPBELL HBSF"/>
    <n v="50"/>
    <n v="50"/>
    <n v="347208.59"/>
  </r>
  <r>
    <d v="2026-03-02T00:00:00"/>
    <x v="24"/>
    <s v="Inward Payment"/>
    <s v="FT26061LHPZL"/>
    <x v="49"/>
    <s v="PAUL CAMPBELL"/>
    <n v="50"/>
    <n v="50"/>
    <n v="347158.59"/>
  </r>
  <r>
    <d v="2026-03-02T00:00:00"/>
    <x v="24"/>
    <s v="Inward Payment"/>
    <s v="FT26061SCLVC"/>
    <x v="396"/>
    <s v="JAMIE HARTLEY"/>
    <n v="216.67"/>
    <n v="216.67"/>
    <n v="347108.59"/>
  </r>
  <r>
    <d v="2026-03-02T00:00:00"/>
    <x v="24"/>
    <s v="Inward Payment"/>
    <s v="FT260611GDGH"/>
    <x v="73"/>
    <s v="JB RENT"/>
    <n v="411.67"/>
    <n v="411.67"/>
    <n v="346891.92"/>
  </r>
  <r>
    <d v="2026-03-02T00:00:00"/>
    <x v="24"/>
    <s v="Inward Payment"/>
    <s v="FT26061M95D9"/>
    <x v="397"/>
    <s v="SSMITH"/>
    <n v="216.67"/>
    <n v="216.67"/>
    <n v="346480.25"/>
  </r>
  <r>
    <d v="2026-03-02T00:00:00"/>
    <x v="24"/>
    <s v="Inward Payment"/>
    <s v="FT26061RSG1Q"/>
    <x v="73"/>
    <s v="FOOD SHOPPING"/>
    <n v="50"/>
    <n v="50"/>
    <n v="346263.58"/>
  </r>
  <r>
    <d v="2026-03-02T00:00:00"/>
    <x v="24"/>
    <s v="BACS Payment Received"/>
    <s v="BACS20260227135836"/>
    <x v="57"/>
    <s v="WOLVERHAMPTON C C-560069-44470320 973636-WOLVERHAMPTON C C-&amp;--&amp;-3563 099 BACS CR SELECT  LIFESTYLES"/>
    <n v="42.3"/>
    <n v="42.3"/>
    <n v="346213.58"/>
  </r>
  <r>
    <d v="2026-03-02T00:00:00"/>
    <x v="24"/>
    <s v="BACS Payment Received"/>
    <s v="BACS20260227135837"/>
    <x v="57"/>
    <s v="WOLVERHAMPTON C C-560069-44470320 973636-WOLVERHAMPTON C C-&amp;--&amp;-3591 099 BACS CR SELECT  LIFESTYLES"/>
    <n v="42.3"/>
    <n v="42.3"/>
    <n v="346171.28"/>
  </r>
  <r>
    <d v="2026-03-02T00:00:00"/>
    <x v="24"/>
    <s v="BACS Payment Received"/>
    <s v="BACS20260227135859"/>
    <x v="58"/>
    <s v="SANDWELL MBC  BEN-601539-69624151 973200-SANDWELL MBC  BEN-&amp;--&amp;-17509 099 BACS CR SELECT LIFESTYLES"/>
    <n v="380"/>
    <n v="380"/>
    <n v="346128.98"/>
  </r>
  <r>
    <d v="2026-03-02T00:00:00"/>
    <x v="24"/>
    <s v="BACS Payment Received"/>
    <s v="BACS20260227131996"/>
    <x v="398"/>
    <s v="BHOULDEN-607080-10025863 278961-BHOULDEN-&amp;--&amp;-000000003640359861 099 BACS CR BRITNEY HOULDEN"/>
    <n v="411.67"/>
    <n v="411.67"/>
    <n v="345748.98"/>
  </r>
  <r>
    <d v="2026-03-02T00:00:00"/>
    <x v="24"/>
    <s v="BACS Payment Received"/>
    <s v="BACS20260227132060"/>
    <x v="399"/>
    <s v="ZHUGHES-607080-10025863 278961-ZHUGHES-&amp;--&amp;-000000003640362994 099 BACS CR ZACHARY HUGHES"/>
    <n v="411.67"/>
    <n v="411.67"/>
    <n v="345337.31"/>
  </r>
  <r>
    <d v="2026-03-02T00:00:00"/>
    <x v="24"/>
    <s v="BACS Payment Received"/>
    <s v="BACS20260227135840"/>
    <x v="57"/>
    <s v="WOLVERHAMPTON C C-560069-44470320 973636-WOLVERHAMPTON C C-&amp;--&amp;-6738 099 BACS CR SELECT LIFESTYLES"/>
    <n v="1291.36"/>
    <n v="1291.36"/>
    <n v="344925.64"/>
  </r>
  <r>
    <d v="2026-03-02T00:00:00"/>
    <x v="24"/>
    <s v="BACS Payment Received"/>
    <s v="BACS20260227100567"/>
    <x v="30"/>
    <s v="WALSALL METROPOLIT-206877-58552541 401256-WALSALL METROPOLIT-&amp;--&amp;-S HOLMES UTILITY 099 BACS CR SELECT LIFESTYLES"/>
    <n v="50"/>
    <n v="50"/>
    <n v="343634.28"/>
  </r>
  <r>
    <d v="2026-03-02T00:00:00"/>
    <x v="24"/>
    <s v="BACS Payment Received"/>
    <s v="BACS20260227100574"/>
    <x v="30"/>
    <s v="WALSALL METROPOLIT-206877-58552541 401256-WALSALL METROPOLIT-&amp;--&amp;-LRG WEEKLY FOOD 099 BACS CR SELECT LIFESTYLES"/>
    <n v="50"/>
    <n v="50"/>
    <n v="343584.28"/>
  </r>
  <r>
    <d v="2026-03-02T00:00:00"/>
    <x v="24"/>
    <s v="BACS Payment Received"/>
    <s v="BACS20260227100575"/>
    <x v="30"/>
    <s v="WALSALL METROPOLIT-206877-58552541 401256-WALSALL METROPOLIT-&amp;--&amp;-S P      S 099 BACS CR SELECT LIFESTYLES"/>
    <n v="50"/>
    <n v="50"/>
    <n v="343534.28"/>
  </r>
  <r>
    <d v="2026-03-02T00:00:00"/>
    <x v="24"/>
    <s v="BACS Payment Received"/>
    <s v="BACS20260227100565"/>
    <x v="30"/>
    <s v="WALSALL METROPOLIT-206877-58552541 401256-WALSALL METROPOLIT-&amp;--&amp;-LEO RONALD GUY 099 BACS CR SELECT LIFESTYLES"/>
    <n v="65"/>
    <n v="65"/>
    <n v="343484.28"/>
  </r>
  <r>
    <d v="2026-03-02T00:00:00"/>
    <x v="24"/>
    <s v="BACS Payment Received"/>
    <s v="BACS20260227100566"/>
    <x v="30"/>
    <s v="WALSALL METROPOLIT-206877-58552541 401256-WALSALL METROPOLIT-&amp;--&amp;-RBATE HB TOP UP 099 BACS CR SELECT LIFESTYLES"/>
    <n v="120"/>
    <n v="120"/>
    <n v="343419.28"/>
  </r>
  <r>
    <d v="2026-03-02T00:00:00"/>
    <x v="24"/>
    <s v="BACS Payment Received"/>
    <s v="BACS20260227100569"/>
    <x v="30"/>
    <s v="WALSALL METROPOLIT-206877-58552541 401256-WALSALL METROPOLIT-&amp;--&amp;-L R GUY RENT 099 BACS CR SELECT LIFESTYLES"/>
    <n v="120"/>
    <n v="120"/>
    <n v="343299.28"/>
  </r>
  <r>
    <d v="2026-03-02T00:00:00"/>
    <x v="24"/>
    <s v="BACS Payment Received"/>
    <s v="BACS20260227100571"/>
    <x v="30"/>
    <s v="WALSALL METROPOLIT-206877-58552541 401256-WALSALL METROPOLIT-&amp;--&amp;-TIA BRYON 099 BACS CR LIFESTYLES"/>
    <n v="120"/>
    <n v="120"/>
    <n v="343179.28"/>
  </r>
  <r>
    <d v="2026-03-02T00:00:00"/>
    <x v="24"/>
    <s v="BACS Payment Received"/>
    <s v="BACS20260227100553"/>
    <x v="30"/>
    <s v="WALSALL METROPOLIT-206877-58552541 401256-WALSALL METROPOLIT-&amp;--&amp;-D SWAIN RENT 099 BACS CR SELECT LIFESTYLES"/>
    <n v="128.06"/>
    <n v="128.06"/>
    <n v="343059.28"/>
  </r>
  <r>
    <d v="2026-03-02T00:00:00"/>
    <x v="24"/>
    <s v="BACS Payment Received"/>
    <s v="BACS20260227100570"/>
    <x v="30"/>
    <s v="WALSALL METROPOLIT-206877-58552541 401256-WALSALL METROPOLIT-&amp;--&amp;-KWILEMAN RENT 099 BACS CR SELECT LIFESTYLES"/>
    <n v="145"/>
    <n v="145"/>
    <n v="342931.22"/>
  </r>
  <r>
    <d v="2026-03-02T00:00:00"/>
    <x v="24"/>
    <s v="BACS Payment Received"/>
    <s v="BACS20260227100572"/>
    <x v="30"/>
    <s v="WALSALL METROPOLIT-206877-58552541 401256-WALSALL METROPOLIT-&amp;--&amp;-PROGERS RENT/UTIL 099 BACS CR SELECT LIFESTYLES"/>
    <n v="145"/>
    <n v="145"/>
    <n v="342786.22"/>
  </r>
  <r>
    <d v="2026-03-02T00:00:00"/>
    <x v="24"/>
    <s v="BACS Payment Received"/>
    <s v="BACS20260227100573"/>
    <x v="30"/>
    <s v="WALSALL METROPOLIT-206877-58552541 401256-WALSALL METROPOLIT-&amp;--&amp;-DSWAIN RENT &amp; SC 099 BACS CR SELECT LIFESTYLES"/>
    <n v="185"/>
    <n v="185"/>
    <n v="342641.22"/>
  </r>
  <r>
    <d v="2026-03-02T00:00:00"/>
    <x v="24"/>
    <s v="Inward Payment"/>
    <s v="FT26061VNTYS"/>
    <x v="400"/>
    <s v="AARON MORGAN"/>
    <n v="195"/>
    <n v="195"/>
    <n v="342456.22"/>
  </r>
  <r>
    <d v="2026-03-02T00:00:00"/>
    <x v="24"/>
    <s v="Inward Payment"/>
    <s v="FT26061N1MBG"/>
    <x v="84"/>
    <s v="D Limb Utilities"/>
    <n v="216.66"/>
    <n v="216.66"/>
    <n v="342261.22"/>
  </r>
  <r>
    <d v="2026-03-02T00:00:00"/>
    <x v="24"/>
    <s v="Inward Payment"/>
    <s v="FT26061D4J5W"/>
    <x v="113"/>
    <s v="Adam Peile- Rent A"/>
    <n v="100"/>
    <n v="100"/>
    <n v="342044.56"/>
  </r>
  <r>
    <d v="2026-03-02T00:00:00"/>
    <x v="24"/>
    <s v="Inward Payment"/>
    <s v="FT260610LG50"/>
    <x v="74"/>
    <s v="DPILLINGER TRANSP"/>
    <n v="11.96"/>
    <n v="11.96"/>
    <n v="341944.56"/>
  </r>
  <r>
    <d v="2026-03-02T00:00:00"/>
    <x v="24"/>
    <s v="Inward Payment"/>
    <s v="FT26061HSK1S"/>
    <x v="22"/>
    <s v="ERROLGRANT RENTTOP"/>
    <n v="25"/>
    <n v="25"/>
    <n v="341932.6"/>
  </r>
  <r>
    <d v="2026-03-02T00:00:00"/>
    <x v="24"/>
    <s v="Inward Payment"/>
    <s v="FT26061VNX6H"/>
    <x v="47"/>
    <s v="GEMMA BAKER MONTHL"/>
    <n v="12.69"/>
    <n v="12.69"/>
    <n v="341907.6"/>
  </r>
  <r>
    <d v="2026-03-02T00:00:00"/>
    <x v="24"/>
    <s v="Inward Payment"/>
    <s v="FT26061GH0B5"/>
    <x v="74"/>
    <s v="DAVID PILLINGER"/>
    <n v="65"/>
    <n v="65"/>
    <n v="341894.91"/>
  </r>
  <r>
    <d v="2026-03-02T00:00:00"/>
    <x v="24"/>
    <s v="Inward Payment"/>
    <s v="FT26061XDTTD"/>
    <x v="75"/>
    <s v="MRS M WOLVERSON"/>
    <n v="6.08"/>
    <n v="6.08"/>
    <n v="341829.91"/>
  </r>
  <r>
    <d v="2026-03-02T00:00:00"/>
    <x v="24"/>
    <s v="Inward Payment"/>
    <s v="FT260614CSGF"/>
    <x v="79"/>
    <s v="ANTHONY FRANCE"/>
    <n v="50"/>
    <n v="50"/>
    <n v="341823.83"/>
  </r>
  <r>
    <d v="2026-03-02T00:00:00"/>
    <x v="24"/>
    <s v="Inward Payment"/>
    <s v="FT26061YPJKX"/>
    <x v="78"/>
    <s v="DAVID SEABRIGHT"/>
    <n v="120"/>
    <n v="120"/>
    <n v="341773.83"/>
  </r>
  <r>
    <d v="2026-03-02T00:00:00"/>
    <x v="24"/>
    <s v="Inward Payment"/>
    <s v="FT26061N9LJB"/>
    <x v="83"/>
    <s v="A FRANCE - RENT"/>
    <n v="95"/>
    <n v="95"/>
    <n v="341653.83"/>
  </r>
  <r>
    <d v="2026-03-02T00:00:00"/>
    <x v="24"/>
    <s v="Inward Payment"/>
    <s v="FT260619XKYK"/>
    <x v="81"/>
    <s v="LOUISE ROBERTS"/>
    <n v="50"/>
    <n v="50"/>
    <n v="341558.83"/>
  </r>
  <r>
    <d v="2026-03-02T00:00:00"/>
    <x v="24"/>
    <s v="Inward Payment"/>
    <s v="FT26061YK38D"/>
    <x v="77"/>
    <s v="GARY EDWARDS"/>
    <n v="50"/>
    <n v="50"/>
    <n v="341508.83"/>
  </r>
  <r>
    <d v="2026-03-02T00:00:00"/>
    <x v="24"/>
    <s v="Inward Payment"/>
    <s v="FT26061WGN03"/>
    <x v="80"/>
    <s v="LOUISE ROBERTS"/>
    <n v="95"/>
    <n v="95"/>
    <n v="341458.83"/>
  </r>
  <r>
    <d v="2026-03-02T00:00:00"/>
    <x v="24"/>
    <s v="Inward Payment"/>
    <s v="FT26061N1757"/>
    <x v="124"/>
    <s v="KMAZUR RENT SF"/>
    <n v="25"/>
    <n v="25"/>
    <n v="341363.83"/>
  </r>
  <r>
    <d v="2026-03-02T00:00:00"/>
    <x v="24"/>
    <s v="Inward Payment"/>
    <s v="FT260613P0QH"/>
    <x v="86"/>
    <s v="RENT NICOLE S"/>
    <n v="411.67"/>
    <n v="411.67"/>
    <n v="341338.83"/>
  </r>
  <r>
    <d v="2026-03-02T00:00:00"/>
    <x v="24"/>
    <s v="Inward Payment"/>
    <s v="FT26061CBNFW"/>
    <x v="85"/>
    <s v="JAMES EASTWOOD"/>
    <n v="50"/>
    <n v="50"/>
    <n v="340927.16"/>
  </r>
  <r>
    <d v="2026-03-02T00:00:00"/>
    <x v="24"/>
    <s v="Inward Payment"/>
    <s v="FT26061RPX2F"/>
    <x v="63"/>
    <s v="RYAN LAWLEY"/>
    <n v="95"/>
    <n v="95"/>
    <n v="340877.16"/>
  </r>
  <r>
    <d v="2026-03-02T00:00:00"/>
    <x v="24"/>
    <s v="Inward Payment"/>
    <s v="FT260617D4P6"/>
    <x v="31"/>
    <s v="DANIEL STOKES"/>
    <n v="281.67"/>
    <n v="281.67"/>
    <n v="340782.16"/>
  </r>
  <r>
    <d v="2026-03-02T00:00:00"/>
    <x v="24"/>
    <s v="Inward Payment"/>
    <s v="FT26061YC7Z9"/>
    <x v="87"/>
    <s v="select Utility"/>
    <n v="50"/>
    <n v="50"/>
    <n v="340500.49"/>
  </r>
  <r>
    <d v="2026-03-02T00:00:00"/>
    <x v="24"/>
    <s v="Inward Payment"/>
    <s v="FT26061ZRK2Q"/>
    <x v="82"/>
    <s v="LAUREN SMITH"/>
    <n v="150"/>
    <n v="150"/>
    <n v="340450.49"/>
  </r>
  <r>
    <d v="2026-03-02T00:00:00"/>
    <x v="24"/>
    <s v="Inward Payment"/>
    <s v="FT26061L76PB"/>
    <x v="401"/>
    <s v="NICKY PATEL"/>
    <n v="200"/>
    <n v="200"/>
    <n v="340300.49"/>
  </r>
  <r>
    <d v="2026-03-02T00:00:00"/>
    <x v="24"/>
    <s v="Inward Payment"/>
    <s v="FT26061QYYLW"/>
    <x v="401"/>
    <s v="NICKY PATEL"/>
    <n v="363.34"/>
    <n v="363.34"/>
    <n v="340100.49"/>
  </r>
  <r>
    <d v="2026-03-02T00:00:00"/>
    <x v="24"/>
    <s v="Inward Payment"/>
    <s v="FT26061JRK5X"/>
    <x v="182"/>
    <s v="NO REF"/>
    <n v="50"/>
    <n v="50"/>
    <n v="339737.15"/>
  </r>
  <r>
    <d v="2026-03-02T00:00:00"/>
    <x v="24"/>
    <s v="Inward Payment"/>
    <s v="FT2606191358"/>
    <x v="402"/>
    <s v="KAMAL MIAH"/>
    <n v="195"/>
    <n v="195"/>
    <n v="339687.15"/>
  </r>
  <r>
    <d v="2026-03-02T00:00:00"/>
    <x v="24"/>
    <s v="Inward Payment"/>
    <s v="FT26061404RK"/>
    <x v="88"/>
    <s v="SHEYLLA"/>
    <n v="281.67"/>
    <n v="281.67"/>
    <n v="339492.15"/>
  </r>
  <r>
    <d v="2026-03-02T00:00:00"/>
    <x v="24"/>
    <s v="Inward Payment"/>
    <s v="FT26061M351H"/>
    <x v="88"/>
    <s v="SHEYLLA"/>
    <n v="120"/>
    <n v="120"/>
    <n v="339210.48"/>
  </r>
  <r>
    <d v="2026-03-02T00:00:00"/>
    <x v="24"/>
    <s v="Inward Payment"/>
    <s v="FT26061GJX24"/>
    <x v="63"/>
    <s v="RYAN LAWLEY"/>
    <n v="50"/>
    <n v="50"/>
    <n v="339090.48"/>
  </r>
</pivotCacheRecords>
</file>

<file path=xl/pivotCache/pivotCacheRecords2.xml><?xml version="1.0" encoding="utf-8"?>
<pivotCacheRecords xmlns="http://schemas.openxmlformats.org/spreadsheetml/2006/main" count="991">
  <r>
    <d v="2026-04-30T00:00:00"/>
    <x v="0"/>
    <s v="Inward Payment"/>
    <s v="FT26120SZ0RC"/>
    <x v="0"/>
    <s v="GFRAM 44443"/>
    <n v="890.04"/>
    <n v="890.04"/>
    <n v="97379.87"/>
  </r>
  <r>
    <d v="2026-04-30T00:00:00"/>
    <x v="0"/>
    <s v="Outward Faster Payment"/>
    <s v="FT26120KMC1N"/>
    <x v="1"/>
    <n v="42001"/>
    <n v="-673.2"/>
    <s v=""/>
    <n v="96489.83"/>
  </r>
  <r>
    <d v="2026-04-30T00:00:00"/>
    <x v="0"/>
    <s v="Outward Faster Payment"/>
    <s v="FT261200849J"/>
    <x v="2"/>
    <s v="SelectLife 36Slade"/>
    <n v="-166.67"/>
    <s v=""/>
    <n v="97163.03"/>
  </r>
  <r>
    <d v="2026-04-30T00:00:00"/>
    <x v="0"/>
    <s v="Outward Faster Payment"/>
    <s v="FT2612022DY8"/>
    <x v="1"/>
    <s v="3666 Kian"/>
    <n v="-4500"/>
    <s v=""/>
    <n v="97329.7"/>
  </r>
  <r>
    <d v="2026-04-30T00:00:00"/>
    <x v="0"/>
    <s v="Outward Faster Payment"/>
    <s v="FT261201XW2N"/>
    <x v="1"/>
    <n v="47570"/>
    <n v="-2400"/>
    <s v=""/>
    <n v="101829.7"/>
  </r>
  <r>
    <d v="2026-04-30T00:00:00"/>
    <x v="0"/>
    <s v="Outward Faster Payment"/>
    <s v="FT26120NNM3Y"/>
    <x v="3"/>
    <n v="6803"/>
    <n v="-10000"/>
    <s v=""/>
    <n v="104229.7"/>
  </r>
  <r>
    <d v="2026-04-30T00:00:00"/>
    <x v="0"/>
    <s v="Account to Account Transfer"/>
    <s v="FT261207YSJB"/>
    <x v="4"/>
    <s v="CC C Johnson"/>
    <n v="-200"/>
    <s v=""/>
    <n v="114229.7"/>
  </r>
  <r>
    <d v="2026-04-30T00:00:00"/>
    <x v="0"/>
    <s v="Outward Faster Payment"/>
    <s v="FT26120YH0M0"/>
    <x v="5"/>
    <s v="Tools Insurance"/>
    <n v="-11160.77"/>
    <s v=""/>
    <n v="114429.7"/>
  </r>
  <r>
    <d v="2026-04-30T00:00:00"/>
    <x v="0"/>
    <s v="Inward Payment"/>
    <s v="FT2612081WC7"/>
    <x v="6"/>
    <s v="FABIAN April RENT"/>
    <n v="852"/>
    <n v="852"/>
    <n v="125590.47"/>
  </r>
  <r>
    <d v="2026-04-30T00:00:00"/>
    <x v="0"/>
    <s v="Inward Payment"/>
    <s v="FT26120L48JD"/>
    <x v="7"/>
    <s v="LIFESTYLES"/>
    <n v="65"/>
    <n v="65"/>
    <n v="124738.47"/>
  </r>
  <r>
    <d v="2026-04-30T00:00:00"/>
    <x v="0"/>
    <s v="Faster Payment SDMC"/>
    <s v="FT26120YJF0R"/>
    <x v="8"/>
    <s v="FT26120YJF0R"/>
    <n v="-814968.99"/>
    <s v=""/>
    <n v="124673.47"/>
  </r>
  <r>
    <d v="2026-04-30T00:00:00"/>
    <x v="0"/>
    <s v="Card Transaction"/>
    <s v="00001580192-20260429-1522067"/>
    <x v="9"/>
    <s v="GBR 20260428 WWW.IWOCA.CO.UK LONDON"/>
    <n v="-6293.61"/>
    <s v=""/>
    <n v="939642.46"/>
  </r>
  <r>
    <d v="2026-04-30T00:00:00"/>
    <x v="0"/>
    <s v="Card Transaction"/>
    <s v="00001580192-20260429-1522077"/>
    <x v="10"/>
    <s v="GBR 20260428 PARKING 1VR BIR'HAM B4"/>
    <n v="-35"/>
    <s v=""/>
    <n v="945936.0699999999"/>
  </r>
  <r>
    <d v="2026-04-30T00:00:00"/>
    <x v="0"/>
    <s v="Direct Debit"/>
    <s v="DDC20260429261138"/>
    <x v="11"/>
    <s v="MULTIFLEET VEHICLE 0210438-004"/>
    <n v="-3370.31"/>
    <s v=""/>
    <n v="945971.0699999999"/>
  </r>
  <r>
    <d v="2026-04-30T00:00:00"/>
    <x v="0"/>
    <s v="Direct Debit"/>
    <s v="DDC20260429204200"/>
    <x v="12"/>
    <s v="STRIPE X2CIFOA3-FF"/>
    <n v="-765"/>
    <s v=""/>
    <n v="949341.38"/>
  </r>
  <r>
    <d v="2026-04-30T00:00:00"/>
    <x v="0"/>
    <s v="Direct Debit"/>
    <s v="DDC20260429231496"/>
    <x v="13"/>
    <s v="OYSTER COMMUNIC 000000000000003804"/>
    <n v="-131.69"/>
    <s v=""/>
    <n v="950106.38"/>
  </r>
  <r>
    <d v="2026-04-30T00:00:00"/>
    <x v="0"/>
    <s v="Inward Payment"/>
    <s v="FT261204V2FC"/>
    <x v="14"/>
    <s v="Ebrahim Perager"/>
    <n v="25"/>
    <n v="25"/>
    <n v="950238.0699999999"/>
  </r>
  <r>
    <d v="2026-04-30T00:00:00"/>
    <x v="0"/>
    <s v="Inward Payment"/>
    <s v="FT26120P6G42"/>
    <x v="15"/>
    <s v="COLLEEN JOHNSON"/>
    <n v="300"/>
    <n v="300"/>
    <n v="950213.0699999999"/>
  </r>
  <r>
    <d v="2026-04-30T00:00:00"/>
    <x v="0"/>
    <s v="Inward Payment"/>
    <s v="FT26120FL87P"/>
    <x v="16"/>
    <s v="JOSIAHLEE"/>
    <n v="50"/>
    <n v="50"/>
    <n v="949913.0699999999"/>
  </r>
  <r>
    <d v="2026-04-30T00:00:00"/>
    <x v="0"/>
    <s v="BACS Payment Received"/>
    <s v="BACS20260429113932"/>
    <x v="17"/>
    <s v="NHS BLACK COUNTRY-607080-10015272 284781-NHS BLACK COUNTRY-&amp;--&amp;-579357 099 BACS CR SELECT LIFESTYLES"/>
    <n v="3363.36"/>
    <n v="3363.36"/>
    <n v="949863.0699999999"/>
  </r>
  <r>
    <d v="2026-04-30T00:00:00"/>
    <x v="0"/>
    <s v="BACS Payment Received"/>
    <s v="BACS20260429105480"/>
    <x v="18"/>
    <s v="MARKEL INT INS-200000-70892076 446496-MARKEL INT INS-&amp;--&amp;-INSURANCE CLAIM 099 BACS CR SELECT LIFE STYLES"/>
    <n v="11160.77"/>
    <n v="11160.77"/>
    <n v="946499.71"/>
  </r>
  <r>
    <d v="2026-04-30T00:00:00"/>
    <x v="0"/>
    <s v="BACS Payment Received"/>
    <s v="BACS20260429123149"/>
    <x v="19"/>
    <s v="JDOLEMAN-607080-10025863 278961-JDOLEMAN-&amp;--&amp;-000000003743870250 099 BACS CR JAMIE DOLEMAN"/>
    <n v="411.67"/>
    <n v="411.67"/>
    <n v="935338.9399999999"/>
  </r>
  <r>
    <d v="2026-04-30T00:00:00"/>
    <x v="0"/>
    <s v="BACS Payment Received"/>
    <s v="BACS20260429123225"/>
    <x v="20"/>
    <s v="KMIAH-607080-10025863 278961-KMIAH-&amp;--&amp;-000000003744264865 099 BACS CR KAMAL MIAH"/>
    <n v="411.67"/>
    <n v="411.67"/>
    <n v="934927.27"/>
  </r>
  <r>
    <d v="2026-04-30T00:00:00"/>
    <x v="0"/>
    <s v="BACS Payment Received"/>
    <s v="BACS20260429128563"/>
    <x v="21"/>
    <s v="WOLVERHAMPTON CC-560069-44470320 972860-WOLVERHAMPTON CC-&amp;--&amp;-0 099 BACS CR SELECT LIFESTYLES"/>
    <n v="140800.84"/>
    <n v="140800.84"/>
    <n v="934515.6"/>
  </r>
  <r>
    <d v="2026-04-30T00:00:00"/>
    <x v="0"/>
    <s v="Inward Payment"/>
    <s v="FT26120004RC"/>
    <x v="22"/>
    <s v="SERVICE CHARGES"/>
    <n v="71.08"/>
    <n v="71.08"/>
    <n v="793714.76"/>
  </r>
  <r>
    <d v="2026-04-30T00:00:00"/>
    <x v="0"/>
    <s v="Inward Payment"/>
    <s v="FT26120Y2FW4"/>
    <x v="23"/>
    <s v="RENT"/>
    <n v="95"/>
    <n v="95"/>
    <n v="793643.6800000001"/>
  </r>
  <r>
    <d v="2026-04-30T00:00:00"/>
    <x v="0"/>
    <s v="Inward Payment"/>
    <s v="FT26120K7RPF"/>
    <x v="24"/>
    <s v="D Limb Utilities"/>
    <n v="216.66"/>
    <n v="216.66"/>
    <n v="793548.6800000001"/>
  </r>
  <r>
    <d v="2026-04-30T00:00:00"/>
    <x v="0"/>
    <s v="Inward Payment"/>
    <s v="FT26120HTLTD"/>
    <x v="25"/>
    <s v="RENT NICOLE S"/>
    <n v="411.67"/>
    <n v="411.67"/>
    <n v="793332.02"/>
  </r>
  <r>
    <d v="2026-04-29T00:00:00"/>
    <x v="1"/>
    <s v="Inward Payment"/>
    <s v="FT261199LK3G"/>
    <x v="26"/>
    <s v="RENTUTILITY BILL"/>
    <n v="980"/>
    <n v="980"/>
    <n v="792920.35"/>
  </r>
  <r>
    <d v="2026-04-29T00:00:00"/>
    <x v="1"/>
    <s v="Inward Payment"/>
    <s v="FT26119W2FQH"/>
    <x v="16"/>
    <s v="44588 RSHAMREZ"/>
    <n v="260"/>
    <n v="260"/>
    <n v="791940.35"/>
  </r>
  <r>
    <d v="2026-04-29T00:00:00"/>
    <x v="1"/>
    <s v="Inward Payment"/>
    <s v="FT26119B7PJZ"/>
    <x v="27"/>
    <s v="Holly Law - O/S Re"/>
    <n v="2215"/>
    <n v="2215"/>
    <n v="791680.35"/>
  </r>
  <r>
    <d v="2026-04-29T00:00:00"/>
    <x v="1"/>
    <s v="Inward Payment"/>
    <s v="FT261198TSQ5"/>
    <x v="28"/>
    <s v="FDMS 510799083"/>
    <n v="590"/>
    <n v="590"/>
    <n v="789465.35"/>
  </r>
  <r>
    <d v="2026-04-29T00:00:00"/>
    <x v="1"/>
    <s v="Account to Account Transfer"/>
    <s v="FT26119VLMZ0"/>
    <x v="4"/>
    <s v="CC M Gray"/>
    <n v="-200"/>
    <s v=""/>
    <n v="788875.35"/>
  </r>
  <r>
    <d v="2026-04-29T00:00:00"/>
    <x v="1"/>
    <s v="Account to Account Transfer"/>
    <s v="FT26119TH0V6"/>
    <x v="4"/>
    <s v="Metro Fees"/>
    <n v="-69"/>
    <s v=""/>
    <n v="789075.35"/>
  </r>
  <r>
    <d v="2026-04-29T00:00:00"/>
    <x v="1"/>
    <s v="Card Transaction"/>
    <s v="00001580192-20260428-1520428"/>
    <x v="29"/>
    <s v="GBR 20260427 TESCO GROCERY WELWYN GARDEN"/>
    <n v="-138.08"/>
    <s v=""/>
    <n v="789144.35"/>
  </r>
  <r>
    <d v="2026-04-29T00:00:00"/>
    <x v="1"/>
    <s v="Card Transaction"/>
    <s v="00001580192-20260428-1520418"/>
    <x v="30"/>
    <s v="GBR 20260427 WF   LONDON"/>
    <n v="-78.98999999999999"/>
    <s v=""/>
    <n v="789282.4300000001"/>
  </r>
  <r>
    <d v="2026-04-29T00:00:00"/>
    <x v="1"/>
    <s v="Standing Order"/>
    <s v="FT26119Q6FFC"/>
    <x v="31"/>
    <s v="Penns Road Rent"/>
    <n v="-2750"/>
    <s v=""/>
    <n v="789361.42"/>
  </r>
  <r>
    <d v="2026-04-29T00:00:00"/>
    <x v="1"/>
    <s v="Direct Debit"/>
    <s v="DDC20260428207075"/>
    <x v="32"/>
    <s v="ENGIE POWER 10340154002"/>
    <n v="-125.58"/>
    <s v=""/>
    <n v="792111.42"/>
  </r>
  <r>
    <d v="2026-04-29T00:00:00"/>
    <x v="1"/>
    <s v="Direct Debit"/>
    <s v="DDC20260428207182"/>
    <x v="32"/>
    <s v="ENGIE POWER 10299199001"/>
    <n v="-25278.51"/>
    <s v=""/>
    <n v="792237"/>
  </r>
  <r>
    <d v="2026-04-29T00:00:00"/>
    <x v="1"/>
    <s v="Direct Debit"/>
    <s v="DDC20260428207080"/>
    <x v="32"/>
    <s v="ENGIE POWER 10340158004"/>
    <n v="-4869.7"/>
    <s v=""/>
    <n v="817515.51"/>
  </r>
  <r>
    <d v="2026-04-29T00:00:00"/>
    <x v="1"/>
    <s v="Direct Debit"/>
    <s v="DDC20260428207076"/>
    <x v="32"/>
    <s v="ENGIE POWER 10340153003"/>
    <n v="-3645.54"/>
    <s v=""/>
    <n v="822385.21"/>
  </r>
  <r>
    <d v="2026-04-29T00:00:00"/>
    <x v="1"/>
    <s v="Direct Debit"/>
    <s v="DDC20260428207078"/>
    <x v="32"/>
    <s v="ENGIE POWER 10340155001"/>
    <n v="-2244.28"/>
    <s v=""/>
    <n v="826030.75"/>
  </r>
  <r>
    <d v="2026-04-29T00:00:00"/>
    <x v="1"/>
    <s v="Direct Debit"/>
    <s v="DDC20260428207084"/>
    <x v="32"/>
    <s v="ENGIE POWER 10309428003"/>
    <n v="-1533.44"/>
    <s v=""/>
    <n v="828275.03"/>
  </r>
  <r>
    <d v="2026-04-29T00:00:00"/>
    <x v="1"/>
    <s v="Direct Debit"/>
    <s v="DDC20260428207079"/>
    <x v="32"/>
    <s v="ENGIE POWER 10340152001"/>
    <n v="-1405.78"/>
    <s v=""/>
    <n v="829808.47"/>
  </r>
  <r>
    <d v="2026-04-29T00:00:00"/>
    <x v="1"/>
    <s v="Direct Debit"/>
    <s v="DDC20260428207081"/>
    <x v="32"/>
    <s v="ENGIE POWER 10340157001"/>
    <n v="-1262.48"/>
    <s v=""/>
    <n v="831214.25"/>
  </r>
  <r>
    <d v="2026-04-29T00:00:00"/>
    <x v="1"/>
    <s v="Direct Debit"/>
    <s v="DDC20260428207125"/>
    <x v="32"/>
    <s v="ENGIE POWER 10285429002"/>
    <n v="-1258.46"/>
    <s v=""/>
    <n v="832476.73"/>
  </r>
  <r>
    <d v="2026-04-29T00:00:00"/>
    <x v="1"/>
    <s v="Direct Debit"/>
    <s v="DDC20260428207097"/>
    <x v="32"/>
    <s v="ENGIE POWER 10281446003"/>
    <n v="-1231.13"/>
    <s v=""/>
    <n v="833735.1899999999"/>
  </r>
  <r>
    <d v="2026-04-29T00:00:00"/>
    <x v="1"/>
    <s v="Direct Debit"/>
    <s v="DDC20260428207137"/>
    <x v="32"/>
    <s v="ENGIE POWER 10287256001"/>
    <n v="-632.35"/>
    <s v=""/>
    <n v="834966.3199999999"/>
  </r>
  <r>
    <d v="2026-04-29T00:00:00"/>
    <x v="1"/>
    <s v="Direct Debit"/>
    <s v="DDC20260428207136"/>
    <x v="32"/>
    <s v="ENGIE POWER 10287255001"/>
    <n v="-583.92"/>
    <s v=""/>
    <n v="835598.67"/>
  </r>
  <r>
    <d v="2026-04-29T00:00:00"/>
    <x v="1"/>
    <s v="Direct Debit"/>
    <s v="DDC20260428207096"/>
    <x v="32"/>
    <s v="ENGIE POWER 10281444001"/>
    <n v="-540.13"/>
    <s v=""/>
    <n v="836182.59"/>
  </r>
  <r>
    <d v="2026-04-29T00:00:00"/>
    <x v="1"/>
    <s v="Direct Debit"/>
    <s v="DDC20260428207077"/>
    <x v="32"/>
    <s v="ENGIE POWER 10340156002"/>
    <n v="-500.38"/>
    <s v=""/>
    <n v="836722.72"/>
  </r>
  <r>
    <d v="2026-04-29T00:00:00"/>
    <x v="1"/>
    <s v="Direct Debit"/>
    <s v="DDC20260428207101"/>
    <x v="32"/>
    <s v="ENGIE POWER 10281554001"/>
    <n v="-450.79"/>
    <s v=""/>
    <n v="837223.1"/>
  </r>
  <r>
    <d v="2026-04-29T00:00:00"/>
    <x v="1"/>
    <s v="Direct Debit"/>
    <s v="DDC20260428207168"/>
    <x v="32"/>
    <s v="ENGIE POWER 10293979002"/>
    <n v="-356.81"/>
    <s v=""/>
    <n v="837673.89"/>
  </r>
  <r>
    <d v="2026-04-29T00:00:00"/>
    <x v="1"/>
    <s v="Direct Debit"/>
    <s v="DDC20260428207105"/>
    <x v="32"/>
    <s v="ENGIE POWER 10281557001"/>
    <n v="-346.87"/>
    <s v=""/>
    <n v="838030.7"/>
  </r>
  <r>
    <d v="2026-04-29T00:00:00"/>
    <x v="1"/>
    <s v="Direct Debit"/>
    <s v="DDC20260428207083"/>
    <x v="32"/>
    <s v="ENGIE POWER 10309247002"/>
    <n v="-320.16"/>
    <s v=""/>
    <n v="838377.5699999999"/>
  </r>
  <r>
    <d v="2026-04-29T00:00:00"/>
    <x v="1"/>
    <s v="Direct Debit"/>
    <s v="DDC20260428207123"/>
    <x v="32"/>
    <s v="ENGIE POWER 10285235002"/>
    <n v="-314.23"/>
    <s v=""/>
    <n v="838697.73"/>
  </r>
  <r>
    <d v="2026-04-29T00:00:00"/>
    <x v="1"/>
    <s v="Direct Debit"/>
    <s v="DDC20260428207199"/>
    <x v="32"/>
    <s v="ENGIE POWER 11430728001"/>
    <n v="-311.69"/>
    <s v=""/>
    <n v="839011.96"/>
  </r>
  <r>
    <d v="2026-04-29T00:00:00"/>
    <x v="1"/>
    <s v="Direct Debit"/>
    <s v="DDC20260428207108"/>
    <x v="32"/>
    <s v="ENGIE POWER 10407632001"/>
    <n v="-268.99"/>
    <s v=""/>
    <n v="839323.65"/>
  </r>
  <r>
    <d v="2026-04-29T00:00:00"/>
    <x v="1"/>
    <s v="Direct Debit"/>
    <s v="DDC20260428207102"/>
    <x v="32"/>
    <s v="ENGIE POWER 10281555001"/>
    <n v="-256.59"/>
    <s v=""/>
    <n v="839592.64"/>
  </r>
  <r>
    <d v="2026-04-29T00:00:00"/>
    <x v="1"/>
    <s v="Direct Debit"/>
    <s v="DDC20260428207162"/>
    <x v="32"/>
    <s v="ENGIE POWER 11453931001"/>
    <n v="-228.52"/>
    <s v=""/>
    <n v="839849.23"/>
  </r>
  <r>
    <d v="2026-04-29T00:00:00"/>
    <x v="1"/>
    <s v="Direct Debit"/>
    <s v="DDC20260428207103"/>
    <x v="32"/>
    <s v="ENGIE POWER 10281548003"/>
    <n v="-219.61"/>
    <s v=""/>
    <n v="840077.75"/>
  </r>
  <r>
    <d v="2026-04-29T00:00:00"/>
    <x v="1"/>
    <s v="Direct Debit"/>
    <s v="DDC20260428207121"/>
    <x v="32"/>
    <s v="ENGIE POWER 10285233002"/>
    <n v="-210.43"/>
    <s v=""/>
    <n v="840297.36"/>
  </r>
  <r>
    <d v="2026-04-29T00:00:00"/>
    <x v="1"/>
    <s v="Direct Debit"/>
    <s v="DDC20260428207100"/>
    <x v="32"/>
    <s v="ENGIE POWER 10281553001"/>
    <n v="-204.77"/>
    <s v=""/>
    <n v="840507.79"/>
  </r>
  <r>
    <d v="2026-04-29T00:00:00"/>
    <x v="1"/>
    <s v="Direct Debit"/>
    <s v="DDC20260428207085"/>
    <x v="32"/>
    <s v="ENGIE POWER 10309429003"/>
    <n v="-201.11"/>
    <s v=""/>
    <n v="840712.5600000001"/>
  </r>
  <r>
    <d v="2026-04-29T00:00:00"/>
    <x v="1"/>
    <s v="Direct Debit"/>
    <s v="DDC20260428207104"/>
    <x v="32"/>
    <s v="ENGIE POWER 10281556001"/>
    <n v="-191.44"/>
    <s v=""/>
    <n v="840913.67"/>
  </r>
  <r>
    <d v="2026-04-29T00:00:00"/>
    <x v="1"/>
    <s v="Direct Debit"/>
    <s v="DDC20260428207167"/>
    <x v="32"/>
    <s v="ENGIE POWER 10293978002"/>
    <n v="-189.01"/>
    <s v=""/>
    <n v="841105.11"/>
  </r>
  <r>
    <d v="2026-04-29T00:00:00"/>
    <x v="1"/>
    <s v="Direct Debit"/>
    <s v="DDC20260428207122"/>
    <x v="32"/>
    <s v="ENGIE POWER 10285234002"/>
    <n v="-172.16"/>
    <s v=""/>
    <n v="841294.12"/>
  </r>
  <r>
    <d v="2026-04-29T00:00:00"/>
    <x v="1"/>
    <s v="Direct Debit"/>
    <s v="DDC20260428207099"/>
    <x v="32"/>
    <s v="ENGIE POWER 10281552001"/>
    <n v="-161.9"/>
    <s v=""/>
    <n v="841466.28"/>
  </r>
  <r>
    <d v="2026-04-29T00:00:00"/>
    <x v="1"/>
    <s v="Direct Debit"/>
    <s v="DDC20260428207135"/>
    <x v="32"/>
    <s v="ENGIE POWER 10287246002"/>
    <n v="-146.91"/>
    <s v=""/>
    <n v="841628.1800000001"/>
  </r>
  <r>
    <d v="2026-04-29T00:00:00"/>
    <x v="1"/>
    <s v="Direct Debit"/>
    <s v="DDC20260428207094"/>
    <x v="32"/>
    <s v="ENGIE POWER 10281443001"/>
    <n v="-107.23"/>
    <s v=""/>
    <n v="841775.09"/>
  </r>
  <r>
    <d v="2026-04-29T00:00:00"/>
    <x v="1"/>
    <s v="BACS Payment Received"/>
    <s v="BACS20260428117100"/>
    <x v="33"/>
    <s v="BCAMPBELL-607080-10025863 278961-BCAMPBELL-&amp;--&amp;-000000003742554684 099 BACS CR BJORN CAMPBELL"/>
    <n v="411.67"/>
    <n v="411.67"/>
    <n v="841882.3199999999"/>
  </r>
  <r>
    <d v="2026-04-29T00:00:00"/>
    <x v="1"/>
    <s v="BACS Payment Received"/>
    <s v="BACS20260428117160"/>
    <x v="34"/>
    <s v="DSTOKES-607080-10025863 278961-DSTOKES-&amp;--&amp;-000000003742567390 099 BACS CR DANIEL STOKES"/>
    <n v="495"/>
    <n v="495"/>
    <n v="841470.65"/>
  </r>
  <r>
    <d v="2026-04-29T00:00:00"/>
    <x v="1"/>
    <s v="BACS Payment Received"/>
    <s v="BACS20260428117290"/>
    <x v="35"/>
    <s v="EPERAGER-607080-10025863 278961-EPERAGER-&amp;--&amp;-000000003742575532 099 BACS CR EBRAHIM PERAGER"/>
    <n v="495"/>
    <n v="495"/>
    <n v="840975.65"/>
  </r>
  <r>
    <d v="2026-04-29T00:00:00"/>
    <x v="1"/>
    <s v="Inward Payment"/>
    <s v="FT26119D4BNT"/>
    <x v="36"/>
    <s v="MARKEY GRAY- PERSO"/>
    <n v="200"/>
    <n v="200"/>
    <n v="840480.65"/>
  </r>
  <r>
    <d v="2026-04-29T00:00:00"/>
    <x v="1"/>
    <s v="Inward Payment"/>
    <s v="FT2611912L42"/>
    <x v="37"/>
    <s v="DANIEL MEHMI"/>
    <n v="69.86"/>
    <n v="69.86"/>
    <n v="840280.65"/>
  </r>
  <r>
    <d v="2026-04-28T00:00:00"/>
    <x v="2"/>
    <s v="Transaction Charges"/>
    <n v="39565854"/>
    <x v="38"/>
    <s v="Transaction Charges"/>
    <n v="-608"/>
    <s v=""/>
    <n v="840210.79"/>
  </r>
  <r>
    <d v="2026-04-29T00:00:00"/>
    <x v="1"/>
    <s v="Inward Payment"/>
    <s v="FT26119PSVXT"/>
    <x v="39"/>
    <s v="LAURA NEAL"/>
    <n v="45"/>
    <n v="45"/>
    <n v="840818.79"/>
  </r>
  <r>
    <d v="2026-04-28T00:00:00"/>
    <x v="2"/>
    <s v="Inward Payment"/>
    <s v="FT261187Y148"/>
    <x v="40"/>
    <s v="C SKELDON"/>
    <n v="20"/>
    <n v="20"/>
    <n v="840773.79"/>
  </r>
  <r>
    <d v="2026-04-28T00:00:00"/>
    <x v="2"/>
    <s v="Inward Payment"/>
    <s v="FT261182QMP0"/>
    <x v="41"/>
    <s v="44431 Rent/Utiliti"/>
    <n v="380"/>
    <n v="380"/>
    <n v="840753.79"/>
  </r>
  <r>
    <d v="2026-04-28T00:00:00"/>
    <x v="2"/>
    <s v="Inward Payment"/>
    <s v="FT26118QCS7J"/>
    <x v="27"/>
    <s v="44450 - Utility/se"/>
    <n v="260"/>
    <n v="260"/>
    <n v="840373.79"/>
  </r>
  <r>
    <d v="2026-04-28T00:00:00"/>
    <x v="2"/>
    <s v="Inward Payment"/>
    <s v="FT26118BY6YD"/>
    <x v="27"/>
    <s v="44451 - Rent"/>
    <n v="480"/>
    <n v="480"/>
    <n v="840113.79"/>
  </r>
  <r>
    <d v="2026-04-28T00:00:00"/>
    <x v="2"/>
    <s v="Outward Faster Payment"/>
    <s v="FT26118X2683"/>
    <x v="42"/>
    <s v="Howdens Oven Linc"/>
    <n v="-477.31"/>
    <s v=""/>
    <n v="839633.79"/>
  </r>
  <r>
    <d v="2026-04-28T00:00:00"/>
    <x v="2"/>
    <s v="Outward Faster Payment"/>
    <s v="FT261184C224"/>
    <x v="43"/>
    <s v="Howdens Oven Linc"/>
    <n v="-477.31"/>
    <s v=""/>
    <n v="840111.1"/>
  </r>
  <r>
    <d v="2026-04-28T00:00:00"/>
    <x v="2"/>
    <s v="Outward Faster Payment"/>
    <s v="FT261181PR8G"/>
    <x v="44"/>
    <s v="YB64 SSB"/>
    <n v="-420"/>
    <s v=""/>
    <n v="840588.41"/>
  </r>
  <r>
    <d v="2026-04-28T00:00:00"/>
    <x v="2"/>
    <s v="Inward Payment"/>
    <s v="FT26118W2Q59"/>
    <x v="28"/>
    <s v="FDMS 510799083"/>
    <n v="991.67"/>
    <n v="991.67"/>
    <n v="841008.41"/>
  </r>
  <r>
    <d v="2026-04-28T00:00:00"/>
    <x v="2"/>
    <s v="Account to Account Transfer"/>
    <s v="FT26118WFQQL"/>
    <x v="4"/>
    <s v="CC DS/TC"/>
    <n v="-553.34"/>
    <s v=""/>
    <n v="840016.74"/>
  </r>
  <r>
    <d v="2026-04-28T00:00:00"/>
    <x v="2"/>
    <s v="Account to Account Transfer"/>
    <s v="FT26118RD2GL"/>
    <x v="45"/>
    <s v="Transfer"/>
    <n v="816631.98"/>
    <n v="816631.98"/>
    <n v="840570.08"/>
  </r>
  <r>
    <d v="2026-04-28T00:00:00"/>
    <x v="2"/>
    <s v="Inward Payment"/>
    <s v="FT2611822RSV"/>
    <x v="25"/>
    <s v="AprilServiceCharge"/>
    <n v="214.28"/>
    <n v="214.28"/>
    <n v="23938.1"/>
  </r>
  <r>
    <d v="2026-04-28T00:00:00"/>
    <x v="2"/>
    <s v="Card Transaction"/>
    <s v="00001580192-20260427-1528414"/>
    <x v="46"/>
    <s v="GBR 20260424 SP TOPGEAR PLATES WEST BROMWICH"/>
    <n v="-44.98"/>
    <s v=""/>
    <n v="23723.82"/>
  </r>
  <r>
    <d v="2026-04-28T00:00:00"/>
    <x v="2"/>
    <s v="Standing Order"/>
    <s v="FT2611801VQK"/>
    <x v="47"/>
    <s v="Greswold Street Re"/>
    <n v="-1925"/>
    <s v=""/>
    <n v="23768.8"/>
  </r>
  <r>
    <d v="2026-04-28T00:00:00"/>
    <x v="2"/>
    <s v="Standing Order"/>
    <s v="FT26118CFCP6"/>
    <x v="47"/>
    <s v="The Bantocks Rent"/>
    <n v="-1850"/>
    <s v=""/>
    <n v="25693.8"/>
  </r>
  <r>
    <d v="2026-04-28T00:00:00"/>
    <x v="2"/>
    <s v="Standing Order"/>
    <s v="FT26118NH1KJ"/>
    <x v="47"/>
    <s v="Peacock Close Rent"/>
    <n v="-1350"/>
    <s v=""/>
    <n v="27543.8"/>
  </r>
  <r>
    <d v="2026-04-28T00:00:00"/>
    <x v="2"/>
    <s v="Inward Payment"/>
    <s v="FT261188NDLQ"/>
    <x v="48"/>
    <s v="502869 B NOBLE"/>
    <n v="140"/>
    <n v="140"/>
    <n v="28893.8"/>
  </r>
  <r>
    <d v="2026-04-28T00:00:00"/>
    <x v="2"/>
    <s v="Inward Payment"/>
    <s v="FT2611821ZDH"/>
    <x v="49"/>
    <s v="ERROLGRANT"/>
    <n v="65"/>
    <n v="65"/>
    <n v="28753.8"/>
  </r>
  <r>
    <d v="2026-04-28T00:00:00"/>
    <x v="2"/>
    <s v="Inward Payment"/>
    <s v="FT26118685R0"/>
    <x v="50"/>
    <s v="C LAVANDER"/>
    <n v="102.51"/>
    <n v="102.51"/>
    <n v="28688.8"/>
  </r>
  <r>
    <d v="2026-04-28T00:00:00"/>
    <x v="2"/>
    <s v="Direct Debit"/>
    <s v="DDC20260427253105"/>
    <x v="51"/>
    <s v="FEDERAL CAPITAL JAN3FCP-FC605393"/>
    <n v="-11918.5"/>
    <s v=""/>
    <n v="28586.29"/>
  </r>
  <r>
    <d v="2026-04-28T00:00:00"/>
    <x v="2"/>
    <s v="Direct Debit"/>
    <s v="DDC20260427251415"/>
    <x v="52"/>
    <s v="PURE CLOUD SOLS SELE01"/>
    <n v="-1003.83"/>
    <s v=""/>
    <n v="40504.79"/>
  </r>
  <r>
    <d v="2026-04-28T00:00:00"/>
    <x v="2"/>
    <s v="Direct Debit"/>
    <s v="DDC20260427248540"/>
    <x v="53"/>
    <s v="SANDWELL MBCCTAX 80851840"/>
    <n v="-170.7"/>
    <s v=""/>
    <n v="41508.62"/>
  </r>
  <r>
    <d v="2026-04-28T00:00:00"/>
    <x v="2"/>
    <s v="Direct Debit"/>
    <s v="DDC20260427248541"/>
    <x v="53"/>
    <s v="SANDWELL MBCCTAX 81735626"/>
    <n v="-121.3"/>
    <s v=""/>
    <n v="41679.32"/>
  </r>
  <r>
    <d v="2026-04-28T00:00:00"/>
    <x v="2"/>
    <s v="Direct Debit"/>
    <s v="DDC20260427269378"/>
    <x v="54"/>
    <s v="DUDLEY M B C 62463154"/>
    <n v="-131.73"/>
    <s v=""/>
    <n v="41800.62"/>
  </r>
  <r>
    <d v="2026-04-28T00:00:00"/>
    <x v="2"/>
    <s v="Direct Debit"/>
    <s v="DDC20260427222631"/>
    <x v="55"/>
    <s v="TOTALENERGIES G&amp;P 1257875"/>
    <n v="-2224.52"/>
    <s v=""/>
    <n v="41932.35"/>
  </r>
  <r>
    <d v="2026-04-28T00:00:00"/>
    <x v="2"/>
    <s v="Direct Debit"/>
    <s v="DDC20260427244709"/>
    <x v="56"/>
    <s v="BRITISH GAS BUSINE 604100248301024000"/>
    <n v="-87.79000000000001"/>
    <s v=""/>
    <n v="44156.87"/>
  </r>
  <r>
    <d v="2026-04-28T00:00:00"/>
    <x v="2"/>
    <s v="BACS Payment Received"/>
    <s v="BACS20260427120170"/>
    <x v="57"/>
    <s v="KBREAKWELL-607080-10025863 278961-KBREAKWELL-&amp;--&amp;-000000003740984138 099 BACS CR KILE BREAKWELL"/>
    <n v="411.67"/>
    <n v="411.67"/>
    <n v="44244.66"/>
  </r>
  <r>
    <d v="2026-04-28T00:00:00"/>
    <x v="2"/>
    <s v="BACS Payment Received"/>
    <s v="BACS20260427120457"/>
    <x v="58"/>
    <s v="WSKYTE-607080-10025863 278961-WSKYTE-&amp;--&amp;-000000003740932682 099 BACS CR WILLIAM SKYTE"/>
    <n v="495"/>
    <n v="495"/>
    <n v="43832.99"/>
  </r>
  <r>
    <d v="2026-04-28T00:00:00"/>
    <x v="2"/>
    <s v="BACS Payment Received"/>
    <s v="BACS20260427100883"/>
    <x v="59"/>
    <s v="WALSALL METROPOLIT-206877-58552541 401256-WALSALL METROPOLIT-&amp;--&amp;-S B 099 BACS CR SELECT LIFESTYSLES"/>
    <n v="50"/>
    <n v="50"/>
    <n v="43337.99"/>
  </r>
  <r>
    <d v="2026-04-28T00:00:00"/>
    <x v="2"/>
    <s v="BACS Payment Received"/>
    <s v="BACS20260427100884"/>
    <x v="59"/>
    <s v="WALSALL METROPOLIT-206877-58552541 401256-WALSALL METROPOLIT-&amp;--&amp;-H 099 BACS CR SELECT LIFESTYLES"/>
    <n v="50"/>
    <n v="50"/>
    <n v="43287.99"/>
  </r>
  <r>
    <d v="2026-04-28T00:00:00"/>
    <x v="2"/>
    <s v="BACS Payment Received"/>
    <s v="BACS20260427100885"/>
    <x v="59"/>
    <s v="WALSALL METROPOLIT-206877-58552541 401256-WALSALL METROPOLIT-&amp;--&amp;-A H 099 BACS CR SELECT LIFESTYLES"/>
    <n v="50"/>
    <n v="50"/>
    <n v="43237.99"/>
  </r>
  <r>
    <d v="2026-04-28T00:00:00"/>
    <x v="2"/>
    <s v="BACS Payment Received"/>
    <s v="BACS20260427100882"/>
    <x v="59"/>
    <s v="WALSALL METROPOLIT-206877-58552541 401256-WALSALL METROPOLIT-&amp;--&amp;-SELECT D SHAW 099 BACS CR SELECT LIFESTYLES"/>
    <n v="520"/>
    <n v="520"/>
    <n v="43187.99"/>
  </r>
  <r>
    <d v="2026-04-28T00:00:00"/>
    <x v="2"/>
    <s v="Inward Payment"/>
    <s v="FT261183MKHB"/>
    <x v="60"/>
    <s v="L HAWKINS-Utilit/S"/>
    <n v="65"/>
    <n v="65"/>
    <n v="42667.99"/>
  </r>
  <r>
    <d v="2026-04-28T00:00:00"/>
    <x v="2"/>
    <s v="Inward Payment"/>
    <s v="FT26118VD33K"/>
    <x v="60"/>
    <s v="L HAWKINS-RENT"/>
    <n v="120"/>
    <n v="120"/>
    <n v="42602.99"/>
  </r>
  <r>
    <d v="2026-04-28T00:00:00"/>
    <x v="2"/>
    <s v="Inward Payment"/>
    <s v="FT261180D6SF"/>
    <x v="61"/>
    <s v="ANTHONY MEACHIN UT"/>
    <n v="50"/>
    <n v="50"/>
    <n v="42482.99"/>
  </r>
  <r>
    <d v="2026-04-28T00:00:00"/>
    <x v="2"/>
    <s v="Inward Payment"/>
    <s v="FT261189KVYB"/>
    <x v="62"/>
    <s v="LEIGH AMES RENT"/>
    <n v="120"/>
    <n v="120"/>
    <n v="42432.99"/>
  </r>
  <r>
    <d v="2026-04-28T00:00:00"/>
    <x v="2"/>
    <s v="Inward Payment"/>
    <s v="FT26118S41B7"/>
    <x v="63"/>
    <s v="JOHN PACE RENT"/>
    <n v="120"/>
    <n v="120"/>
    <n v="42312.99"/>
  </r>
  <r>
    <d v="2026-04-28T00:00:00"/>
    <x v="2"/>
    <s v="Inward Payment"/>
    <s v="FT26118S1W2W"/>
    <x v="64"/>
    <s v="LUKE BAYLISS"/>
    <n v="359.85"/>
    <n v="359.85"/>
    <n v="42192.99"/>
  </r>
  <r>
    <d v="2026-04-28T00:00:00"/>
    <x v="2"/>
    <s v="Inward Payment"/>
    <s v="FT2611871150"/>
    <x v="65"/>
    <s v="DS WEEKLY SPEND"/>
    <n v="120"/>
    <n v="120"/>
    <n v="41833.14"/>
  </r>
  <r>
    <d v="2026-04-28T00:00:00"/>
    <x v="2"/>
    <s v="Inward Payment"/>
    <s v="FT261185F7YQ"/>
    <x v="66"/>
    <s v="TREVOR KEANE"/>
    <n v="50"/>
    <n v="50"/>
    <n v="41713.14"/>
  </r>
  <r>
    <d v="2026-04-28T00:00:00"/>
    <x v="2"/>
    <s v="Inward Payment"/>
    <s v="FT26118HKWCT"/>
    <x v="67"/>
    <s v="TARENBIR CHEEMA"/>
    <n v="736.0599999999999"/>
    <n v="736.0599999999999"/>
    <n v="41663.14"/>
  </r>
  <r>
    <d v="2026-04-28T00:00:00"/>
    <x v="2"/>
    <s v="Inward Payment"/>
    <s v="FT261188RYS6"/>
    <x v="68"/>
    <s v="PETER HARRIS"/>
    <n v="216.67"/>
    <n v="216.67"/>
    <n v="40927.08"/>
  </r>
  <r>
    <d v="2026-04-28T00:00:00"/>
    <x v="2"/>
    <s v="Inward Payment"/>
    <s v="FT26118STYBT"/>
    <x v="69"/>
    <s v="S L SERVICE CHARGE"/>
    <n v="50"/>
    <n v="50"/>
    <n v="40710.41"/>
  </r>
  <r>
    <d v="2026-04-28T00:00:00"/>
    <x v="2"/>
    <s v="Inward Payment"/>
    <s v="FT26118RMB0G"/>
    <x v="70"/>
    <s v="OLIVIAWA"/>
    <n v="380"/>
    <n v="380"/>
    <n v="40660.41"/>
  </r>
  <r>
    <d v="2026-04-27T00:00:00"/>
    <x v="3"/>
    <s v="Outward Faster Payment"/>
    <s v="FT26117N03L1"/>
    <x v="71"/>
    <s v="Select Lifestyles"/>
    <n v="-986.4299999999999"/>
    <s v=""/>
    <n v="40280.41"/>
  </r>
  <r>
    <d v="2026-04-27T00:00:00"/>
    <x v="3"/>
    <s v="Account to Account Transfer"/>
    <s v="FT26117YT8G7"/>
    <x v="4"/>
    <s v="CC KW/TP/LS/JB/PC/LG"/>
    <n v="-550"/>
    <s v=""/>
    <n v="41266.84"/>
  </r>
  <r>
    <d v="2026-04-27T00:00:00"/>
    <x v="3"/>
    <s v="Account to Account Transfer"/>
    <s v="FT26117HTYCP"/>
    <x v="72"/>
    <s v="SUSAN PRICE 44476"/>
    <n v="740"/>
    <n v="740"/>
    <n v="41816.84"/>
  </r>
  <r>
    <d v="2026-04-27T00:00:00"/>
    <x v="3"/>
    <s v="Inward Payment"/>
    <s v="FT26117D0CTQ"/>
    <x v="73"/>
    <s v="Tough Furn Rfd"/>
    <n v="3378"/>
    <n v="3378"/>
    <n v="41076.84"/>
  </r>
  <r>
    <d v="2026-04-27T00:00:00"/>
    <x v="3"/>
    <s v="Inward Payment"/>
    <s v="FT261179707N"/>
    <x v="74"/>
    <s v="JOHN UPCOTT"/>
    <n v="145"/>
    <n v="145"/>
    <n v="37698.84"/>
  </r>
  <r>
    <d v="2026-04-27T00:00:00"/>
    <x v="3"/>
    <s v="Standing Order"/>
    <s v="FT2611768Q1H"/>
    <x v="75"/>
    <s v="Select Lifestyles"/>
    <n v="-3055.55"/>
    <s v=""/>
    <n v="37553.84"/>
  </r>
  <r>
    <d v="2026-04-27T00:00:00"/>
    <x v="3"/>
    <s v="Standing Order"/>
    <s v="FT26117DQ43G"/>
    <x v="76"/>
    <s v="56 Lea Rd Rent"/>
    <n v="-2400"/>
    <s v=""/>
    <n v="40609.39"/>
  </r>
  <r>
    <d v="2026-04-27T00:00:00"/>
    <x v="3"/>
    <s v="Standing Order"/>
    <s v="FT26117GC166"/>
    <x v="77"/>
    <s v="Select Lifestyles"/>
    <n v="-2250"/>
    <s v=""/>
    <n v="43009.39"/>
  </r>
  <r>
    <d v="2026-04-27T00:00:00"/>
    <x v="3"/>
    <s v="Standing Order"/>
    <s v="FT261174D81B"/>
    <x v="78"/>
    <s v="Select Lifestyles"/>
    <n v="-525"/>
    <s v=""/>
    <n v="45259.39"/>
  </r>
  <r>
    <d v="2026-04-27T00:00:00"/>
    <x v="3"/>
    <s v="Direct Debit"/>
    <s v="DDC20260424238039"/>
    <x v="79"/>
    <s v="LDF FINANCE NO.3 L 05036"/>
    <n v="-5244.03"/>
    <s v=""/>
    <n v="45784.39"/>
  </r>
  <r>
    <d v="2026-04-27T00:00:00"/>
    <x v="3"/>
    <s v="Direct Debit"/>
    <s v="DDC20260424200994"/>
    <x v="80"/>
    <s v="BIFFA WASTE SERVIC S55587"/>
    <n v="-1489.2"/>
    <s v=""/>
    <n v="51028.42"/>
  </r>
  <r>
    <d v="2026-04-27T00:00:00"/>
    <x v="3"/>
    <s v="Direct Debit"/>
    <s v="DDC20260424202780"/>
    <x v="81"/>
    <s v="HMRC MY-DRS.CO.UK A04564941"/>
    <n v="-869.48"/>
    <s v=""/>
    <n v="52517.62"/>
  </r>
  <r>
    <d v="2026-04-27T00:00:00"/>
    <x v="3"/>
    <s v="Direct Debit"/>
    <s v="DDC20260424207365"/>
    <x v="82"/>
    <s v="SEVERN TRENT WATER 6480082045"/>
    <n v="-245.52"/>
    <s v=""/>
    <n v="53387.1"/>
  </r>
  <r>
    <d v="2026-04-27T00:00:00"/>
    <x v="3"/>
    <s v="Direct Debit"/>
    <s v="DDC20260424207418"/>
    <x v="82"/>
    <s v="SEVERN TRENT WATER 6330104242"/>
    <n v="-187.02"/>
    <s v=""/>
    <n v="53632.62"/>
  </r>
  <r>
    <d v="2026-04-27T00:00:00"/>
    <x v="3"/>
    <s v="Direct Debit"/>
    <s v="DDC20260424209337"/>
    <x v="83"/>
    <s v="WALSALL MBC 2 1000029107"/>
    <n v="-177.49"/>
    <s v=""/>
    <n v="53819.64"/>
  </r>
  <r>
    <d v="2026-04-27T00:00:00"/>
    <x v="3"/>
    <s v="Direct Debit"/>
    <s v="DDC20260424207408"/>
    <x v="82"/>
    <s v="SEVERN TRENT WATER 5230177835"/>
    <n v="-125"/>
    <s v=""/>
    <n v="53997.13"/>
  </r>
  <r>
    <d v="2026-04-27T00:00:00"/>
    <x v="3"/>
    <s v="Direct Debit"/>
    <s v="DDC20260424207435"/>
    <x v="82"/>
    <s v="SEVERN TRENT WATER 3400071263"/>
    <n v="-97.52"/>
    <s v=""/>
    <n v="54122.13"/>
  </r>
  <r>
    <d v="2026-04-27T00:00:00"/>
    <x v="3"/>
    <s v="Direct Debit"/>
    <s v="DDC20260424207368"/>
    <x v="82"/>
    <s v="SEVERN TRENT WATER 6270102117"/>
    <n v="-95.54000000000001"/>
    <s v=""/>
    <n v="54219.65"/>
  </r>
  <r>
    <d v="2026-04-27T00:00:00"/>
    <x v="3"/>
    <s v="Direct Debit"/>
    <s v="DDC20260424207391"/>
    <x v="82"/>
    <s v="SEVERN TRENT WATER 5110056835"/>
    <n v="-86.52"/>
    <s v=""/>
    <n v="54315.19"/>
  </r>
  <r>
    <d v="2026-04-27T00:00:00"/>
    <x v="3"/>
    <s v="Direct Debit"/>
    <s v="DDC20260424207352"/>
    <x v="82"/>
    <s v="SEVERN TRENT WATER 3780135565"/>
    <n v="-79.06999999999999"/>
    <s v=""/>
    <n v="54401.71"/>
  </r>
  <r>
    <d v="2026-04-27T00:00:00"/>
    <x v="3"/>
    <s v="Direct Debit"/>
    <s v="DDC20260424207393"/>
    <x v="82"/>
    <s v="SEVERN TRENT WATER 4950066851"/>
    <n v="-4.27"/>
    <s v=""/>
    <n v="54480.78"/>
  </r>
  <r>
    <d v="2026-04-27T00:00:00"/>
    <x v="3"/>
    <s v="Direct Debit"/>
    <s v="DDC20260424255834"/>
    <x v="84"/>
    <s v="MBFIN  S0BN24NYC01 S0BN24NYC014741959"/>
    <n v="-703.37"/>
    <s v=""/>
    <n v="54485.05"/>
  </r>
  <r>
    <d v="2026-04-27T00:00:00"/>
    <x v="3"/>
    <s v="Direct Debit"/>
    <s v="DDC20260424259546"/>
    <x v="56"/>
    <s v="BRITISH GAS BUSINE 602950335100222000"/>
    <n v="-222.11"/>
    <s v=""/>
    <n v="55188.42"/>
  </r>
  <r>
    <d v="2026-04-27T00:00:00"/>
    <x v="3"/>
    <s v="Direct Debit"/>
    <s v="DDC20260424252402"/>
    <x v="85"/>
    <s v="E.ON NEXT LTD A-7AB901FF-001"/>
    <n v="-37.21"/>
    <s v=""/>
    <n v="55410.53"/>
  </r>
  <r>
    <d v="2026-04-27T00:00:00"/>
    <x v="3"/>
    <s v="Direct Debit"/>
    <s v="DDC20260424269418"/>
    <x v="86"/>
    <s v="SKY DIGITAL 00625083842454"/>
    <n v="-186.94"/>
    <s v=""/>
    <n v="55447.74"/>
  </r>
  <r>
    <d v="2026-04-27T00:00:00"/>
    <x v="3"/>
    <s v="Direct Debit"/>
    <s v="DDC20260424282577"/>
    <x v="87"/>
    <s v="FUNDING CIRCLE FW2ZFN3"/>
    <n v="-4589.17"/>
    <s v=""/>
    <n v="55634.68"/>
  </r>
  <r>
    <d v="2026-04-27T00:00:00"/>
    <x v="3"/>
    <s v="Direct Debit"/>
    <s v="DDC20260424295894"/>
    <x v="88"/>
    <s v="SOUTH STAFFS WATER 3144157701"/>
    <n v="-31.49"/>
    <s v=""/>
    <n v="60223.85"/>
  </r>
  <r>
    <d v="2026-04-27T00:00:00"/>
    <x v="3"/>
    <s v="Inward Payment"/>
    <s v="FT26117FZNLX"/>
    <x v="89"/>
    <s v="ZACHARY J HUGHES"/>
    <n v="50"/>
    <n v="50"/>
    <n v="60255.34"/>
  </r>
  <r>
    <d v="2026-04-27T00:00:00"/>
    <x v="3"/>
    <s v="Inward Payment"/>
    <s v="FT2611733XM2"/>
    <x v="16"/>
    <s v="JAMES COOPER RENT"/>
    <n v="95"/>
    <n v="95"/>
    <n v="60205.34"/>
  </r>
  <r>
    <d v="2026-04-27T00:00:00"/>
    <x v="3"/>
    <s v="Inward Payment"/>
    <s v="FT26117SJSWD"/>
    <x v="16"/>
    <s v="J COOPER SC"/>
    <n v="50"/>
    <n v="50"/>
    <n v="60110.34"/>
  </r>
  <r>
    <d v="2026-04-27T00:00:00"/>
    <x v="3"/>
    <s v="Inward Payment"/>
    <s v="FT26117B7FC7"/>
    <x v="90"/>
    <s v="PAUL CAMPBELL HBSF"/>
    <n v="50"/>
    <n v="50"/>
    <n v="60060.34"/>
  </r>
  <r>
    <d v="2026-04-27T00:00:00"/>
    <x v="3"/>
    <s v="Inward Payment"/>
    <s v="FT26117ZDSD6"/>
    <x v="90"/>
    <s v="PAUL CAMPBELL"/>
    <n v="50"/>
    <n v="50"/>
    <n v="60010.34"/>
  </r>
  <r>
    <d v="2026-04-27T00:00:00"/>
    <x v="3"/>
    <s v="BACS Payment Received"/>
    <s v="BACS20260424100569"/>
    <x v="59"/>
    <s v="WALSALL METROPOLIT-206877-58552541 401256-WALSALL METROPOLIT-&amp;--&amp;-S HOLMES UTILITY 099 BACS CR SELECT LIFESTYLES"/>
    <n v="50"/>
    <n v="50"/>
    <n v="59960.34"/>
  </r>
  <r>
    <d v="2026-04-27T00:00:00"/>
    <x v="3"/>
    <s v="BACS Payment Received"/>
    <s v="BACS20260424100580"/>
    <x v="59"/>
    <s v="WALSALL METROPOLIT-206877-58552541 401256-WALSALL METROPOLIT-&amp;--&amp;-LRG WEEKLY FOOD 099 BACS CR SELECT LIFESTYLES"/>
    <n v="50"/>
    <n v="50"/>
    <n v="59910.34"/>
  </r>
  <r>
    <d v="2026-04-27T00:00:00"/>
    <x v="3"/>
    <s v="BACS Payment Received"/>
    <s v="BACS20260424100582"/>
    <x v="59"/>
    <s v="WALSALL METROPOLIT-206877-58552541 401256-WALSALL METROPOLIT-&amp;--&amp;-S P      S 099 BACS CR SELECT LIFESTYLES"/>
    <n v="50"/>
    <n v="50"/>
    <n v="59860.34"/>
  </r>
  <r>
    <d v="2026-04-27T00:00:00"/>
    <x v="3"/>
    <s v="BACS Payment Received"/>
    <s v="BACS20260424100578"/>
    <x v="59"/>
    <s v="WALSALL METROPOLIT-206877-58552541 401256-WALSALL METROPOLIT-&amp;--&amp;-LEO RONALD GUY 099 BACS CR SELECT LIFESTYLES"/>
    <n v="65"/>
    <n v="65"/>
    <n v="59810.34"/>
  </r>
  <r>
    <d v="2026-04-27T00:00:00"/>
    <x v="3"/>
    <s v="BACS Payment Received"/>
    <s v="BACS20260424100571"/>
    <x v="59"/>
    <s v="WALSALL METROPOLIT-206877-58552541 401256-WALSALL METROPOLIT-&amp;--&amp;-L R GUY RENT 099 BACS CR SELECT LIFESTYLES"/>
    <n v="120"/>
    <n v="120"/>
    <n v="59745.34"/>
  </r>
  <r>
    <d v="2026-04-27T00:00:00"/>
    <x v="3"/>
    <s v="BACS Payment Received"/>
    <s v="BACS20260424100574"/>
    <x v="59"/>
    <s v="WALSALL METROPOLIT-206877-58552541 401256-WALSALL METROPOLIT-&amp;--&amp;-RBATE HB TOP UP 099 BACS CR SELECT LIFESTYLES"/>
    <n v="120"/>
    <n v="120"/>
    <n v="59625.34"/>
  </r>
  <r>
    <d v="2026-04-27T00:00:00"/>
    <x v="3"/>
    <s v="BACS Payment Received"/>
    <s v="BACS20260424100575"/>
    <x v="59"/>
    <s v="WALSALL METROPOLIT-206877-58552541 401256-WALSALL METROPOLIT-&amp;--&amp;-TIA BRYON 099 BACS CR LIFESTYLES"/>
    <n v="120"/>
    <n v="120"/>
    <n v="59505.34"/>
  </r>
  <r>
    <d v="2026-04-27T00:00:00"/>
    <x v="3"/>
    <s v="BACS Payment Received"/>
    <s v="BACS20260424100572"/>
    <x v="59"/>
    <s v="WALSALL METROPOLIT-206877-58552541 401256-WALSALL METROPOLIT-&amp;--&amp;-PROGERS RENT/UTIL 099 BACS CR SELECT LIFESTYLES"/>
    <n v="145"/>
    <n v="145"/>
    <n v="59385.34"/>
  </r>
  <r>
    <d v="2026-04-27T00:00:00"/>
    <x v="3"/>
    <s v="BACS Payment Received"/>
    <s v="BACS20260424100577"/>
    <x v="59"/>
    <s v="WALSALL METROPOLIT-206877-58552541 401256-WALSALL METROPOLIT-&amp;--&amp;-KWILEMAN RENT 099 BACS CR SELECT LIFESTYLES"/>
    <n v="145"/>
    <n v="145"/>
    <n v="59240.34"/>
  </r>
  <r>
    <d v="2026-04-27T00:00:00"/>
    <x v="3"/>
    <s v="BACS Payment Received"/>
    <s v="BACS20260424100570"/>
    <x v="59"/>
    <s v="WALSALL METROPOLIT-206877-58552541 401256-WALSALL METROPOLIT-&amp;--&amp;-DSWAIN RENT &amp; SC 099 BACS CR SELECT LIFESTYLES"/>
    <n v="185"/>
    <n v="185"/>
    <n v="59095.34"/>
  </r>
  <r>
    <d v="2026-04-27T00:00:00"/>
    <x v="3"/>
    <s v="BACS Payment Received"/>
    <s v="BACS20260424141715"/>
    <x v="91"/>
    <s v="WOLVERHAMPTON C C-560069-44470320 973636-WOLVERHAMPTON C C-&amp;--&amp;-3591 099 BACS CR SELECT  LIFESTYLES"/>
    <n v="78.56"/>
    <n v="78.56"/>
    <n v="58910.34"/>
  </r>
  <r>
    <d v="2026-04-27T00:00:00"/>
    <x v="3"/>
    <s v="BACS Payment Received"/>
    <s v="BACS20260424141732"/>
    <x v="92"/>
    <s v="SANDWELL MBC  BEN-601539-69624151 973200-SANDWELL MBC  BEN-&amp;--&amp;-17509 099 BACS CR SELECT LIFESTYLES"/>
    <n v="380"/>
    <n v="380"/>
    <n v="58831.78"/>
  </r>
  <r>
    <d v="2026-04-27T00:00:00"/>
    <x v="3"/>
    <s v="BACS Payment Received"/>
    <s v="BACS20260424138650"/>
    <x v="93"/>
    <s v="KATELYNNE-607080-10025863 278961-KATELYNNE-&amp;--&amp;-000000003738384381 099 BACS CR KATE-LYNNE ENGLISH"/>
    <n v="411.67"/>
    <n v="411.67"/>
    <n v="58451.78"/>
  </r>
  <r>
    <d v="2026-04-27T00:00:00"/>
    <x v="3"/>
    <s v="BACS Payment Received"/>
    <s v="BACS20260424138778"/>
    <x v="94"/>
    <s v="G SPRIGGS-607080-10025863 278961-G SPRIGGS-&amp;--&amp;-000000003738389038 099 BACS CR GEORGE SPRIGGS"/>
    <n v="411.67"/>
    <n v="411.67"/>
    <n v="58040.11"/>
  </r>
  <r>
    <d v="2026-04-27T00:00:00"/>
    <x v="3"/>
    <s v="BACS Payment Received"/>
    <s v="BACS20260424141713"/>
    <x v="91"/>
    <s v="WOLVERHAMPTON C C-560069-44470320 973636-WOLVERHAMPTON C C-&amp;--&amp;-6738 099 BACS CR SELECT LIFESTYLES"/>
    <n v="835.6799999999999"/>
    <n v="835.6799999999999"/>
    <n v="57628.44"/>
  </r>
  <r>
    <d v="2026-04-27T00:00:00"/>
    <x v="3"/>
    <s v="Inward Payment"/>
    <s v="FT26117ZZK3V"/>
    <x v="95"/>
    <s v="TOBY PALETHORPE"/>
    <n v="100"/>
    <n v="100"/>
    <n v="56792.76"/>
  </r>
  <r>
    <d v="2026-04-27T00:00:00"/>
    <x v="3"/>
    <s v="Inward Payment"/>
    <s v="FT261174ZZ94"/>
    <x v="96"/>
    <s v="KIERAN ALLEN"/>
    <n v="216.67"/>
    <n v="216.67"/>
    <n v="56692.76"/>
  </r>
  <r>
    <d v="2026-04-27T00:00:00"/>
    <x v="3"/>
    <s v="Inward Payment"/>
    <s v="FT261176S548"/>
    <x v="97"/>
    <s v="ADAM ASTLEY - RENT"/>
    <n v="412"/>
    <n v="412"/>
    <n v="56476.09"/>
  </r>
  <r>
    <d v="2026-04-27T00:00:00"/>
    <x v="3"/>
    <s v="Inward Payment"/>
    <s v="FT26117CXTM3"/>
    <x v="97"/>
    <s v="ADAM ASTLEY"/>
    <n v="50"/>
    <n v="50"/>
    <n v="56064.09"/>
  </r>
  <r>
    <d v="2026-04-27T00:00:00"/>
    <x v="3"/>
    <s v="Inward Payment"/>
    <s v="FT26117ZVZWX"/>
    <x v="98"/>
    <s v="DAVID MORRIS UTILI"/>
    <n v="50"/>
    <n v="50"/>
    <n v="56014.09"/>
  </r>
  <r>
    <d v="2026-04-27T00:00:00"/>
    <x v="3"/>
    <s v="Inward Payment"/>
    <s v="FT26117FKDQV"/>
    <x v="36"/>
    <s v="MARKER GRAY-UTILIT"/>
    <n v="65"/>
    <n v="65"/>
    <n v="55964.09"/>
  </r>
  <r>
    <d v="2026-04-27T00:00:00"/>
    <x v="3"/>
    <s v="Inward Payment"/>
    <s v="FT26117187F9"/>
    <x v="99"/>
    <s v="GEMMA BAKER UTILIT"/>
    <n v="65"/>
    <n v="65"/>
    <n v="55899.09"/>
  </r>
  <r>
    <d v="2026-04-27T00:00:00"/>
    <x v="3"/>
    <s v="Inward Payment"/>
    <s v="FT26117CBST4"/>
    <x v="100"/>
    <s v="CHRISTOPHER MILLIN"/>
    <n v="50"/>
    <n v="50"/>
    <n v="55834.09"/>
  </r>
  <r>
    <d v="2026-04-27T00:00:00"/>
    <x v="3"/>
    <s v="Inward Payment"/>
    <s v="FT26117Q5DQL"/>
    <x v="62"/>
    <s v="LEIGH AMES UTILITI"/>
    <n v="65"/>
    <n v="65"/>
    <n v="55784.09"/>
  </r>
  <r>
    <d v="2026-04-27T00:00:00"/>
    <x v="3"/>
    <s v="Inward Payment"/>
    <s v="FT261171MGVC"/>
    <x v="101"/>
    <s v="KATIE PARKER VEHIC"/>
    <n v="11.96"/>
    <n v="11.96"/>
    <n v="55719.09"/>
  </r>
  <r>
    <d v="2026-04-27T00:00:00"/>
    <x v="3"/>
    <s v="Inward Payment"/>
    <s v="FT26117LCPRX"/>
    <x v="101"/>
    <s v="KATIE PARKER RENT"/>
    <n v="6.08"/>
    <n v="6.08"/>
    <n v="55707.13"/>
  </r>
  <r>
    <d v="2026-04-27T00:00:00"/>
    <x v="3"/>
    <s v="Inward Payment"/>
    <s v="FT2611775Y54"/>
    <x v="101"/>
    <s v="KATIE PARKER UTILI"/>
    <n v="65"/>
    <n v="65"/>
    <n v="55701.05"/>
  </r>
  <r>
    <d v="2026-04-27T00:00:00"/>
    <x v="3"/>
    <s v="Inward Payment"/>
    <s v="FT261179Z3QY"/>
    <x v="102"/>
    <s v="MICHAELG/UTIL/SRV"/>
    <n v="740"/>
    <n v="740"/>
    <n v="55636.05"/>
  </r>
  <r>
    <d v="2026-04-27T00:00:00"/>
    <x v="3"/>
    <s v="Inward Payment"/>
    <s v="FT261173KGN0"/>
    <x v="36"/>
    <s v="MARKEY GRAY-RENT"/>
    <n v="120"/>
    <n v="120"/>
    <n v="54896.05"/>
  </r>
  <r>
    <d v="2026-04-27T00:00:00"/>
    <x v="3"/>
    <s v="Inward Payment"/>
    <s v="FT26117N44ZD"/>
    <x v="61"/>
    <s v="ANTHONY MEACHIN RE"/>
    <n v="95"/>
    <n v="95"/>
    <n v="54776.05"/>
  </r>
  <r>
    <d v="2026-04-27T00:00:00"/>
    <x v="3"/>
    <s v="Inward Payment"/>
    <s v="FT26117ZWTRN"/>
    <x v="98"/>
    <s v="DAVID MORRIS RENT"/>
    <n v="95"/>
    <n v="95"/>
    <n v="54681.05"/>
  </r>
  <r>
    <d v="2026-04-27T00:00:00"/>
    <x v="3"/>
    <s v="Inward Payment"/>
    <s v="FT261175T3L7"/>
    <x v="103"/>
    <s v="SIMON KELLY UTILIT"/>
    <n v="50"/>
    <n v="50"/>
    <n v="54586.05"/>
  </r>
  <r>
    <d v="2026-04-27T00:00:00"/>
    <x v="3"/>
    <s v="Inward Payment"/>
    <s v="FT26117970R0"/>
    <x v="63"/>
    <n v="38252"/>
    <n v="65"/>
    <n v="65"/>
    <n v="54536.05"/>
  </r>
  <r>
    <d v="2026-04-27T00:00:00"/>
    <x v="3"/>
    <s v="Inward Payment"/>
    <s v="FT26117VRBBR"/>
    <x v="103"/>
    <s v="SIMON KELLY WEEKLY"/>
    <n v="95"/>
    <n v="95"/>
    <n v="54471.05"/>
  </r>
  <r>
    <d v="2026-04-27T00:00:00"/>
    <x v="3"/>
    <s v="Inward Payment"/>
    <s v="FT261170J6Y3"/>
    <x v="69"/>
    <s v="HGP Rent Payment"/>
    <n v="411.67"/>
    <n v="411.67"/>
    <n v="54376.05"/>
  </r>
  <r>
    <d v="2026-04-27T00:00:00"/>
    <x v="3"/>
    <s v="Inward Payment"/>
    <s v="FT26117GRBJN"/>
    <x v="70"/>
    <s v="OLIVIA U WALKER"/>
    <n v="180"/>
    <n v="180"/>
    <n v="53964.38"/>
  </r>
  <r>
    <d v="2026-04-27T00:00:00"/>
    <x v="3"/>
    <s v="Inward Payment"/>
    <s v="FT26117JZYCQ"/>
    <x v="37"/>
    <s v="DANIEL MEHMI"/>
    <n v="95"/>
    <n v="95"/>
    <n v="53784.38"/>
  </r>
  <r>
    <d v="2026-04-27T00:00:00"/>
    <x v="3"/>
    <s v="Inward Payment"/>
    <s v="FT261177K8KG"/>
    <x v="104"/>
    <s v="AMY ELWELL"/>
    <n v="50"/>
    <n v="50"/>
    <n v="53689.38"/>
  </r>
  <r>
    <d v="2026-04-27T00:00:00"/>
    <x v="3"/>
    <s v="Inward Payment"/>
    <s v="FT26117D5T20"/>
    <x v="23"/>
    <s v="SERVICE CHARGE PW"/>
    <n v="50"/>
    <n v="50"/>
    <n v="53639.38"/>
  </r>
  <r>
    <d v="2026-04-27T00:00:00"/>
    <x v="3"/>
    <s v="Inward Payment"/>
    <s v="FT26117LKFRW"/>
    <x v="105"/>
    <s v="DAVID PILLINGER"/>
    <n v="65"/>
    <n v="65"/>
    <n v="53589.38"/>
  </r>
  <r>
    <d v="2026-04-27T00:00:00"/>
    <x v="3"/>
    <s v="Inward Payment"/>
    <s v="FT26117ML82D"/>
    <x v="106"/>
    <s v="ANTHONY FRANCE"/>
    <n v="50"/>
    <n v="50"/>
    <n v="53524.38"/>
  </r>
  <r>
    <d v="2026-04-27T00:00:00"/>
    <x v="3"/>
    <s v="Inward Payment"/>
    <s v="FT26117Z50X7"/>
    <x v="105"/>
    <s v="DPILLINGER TRANSP"/>
    <n v="11.96"/>
    <n v="11.96"/>
    <n v="53474.38"/>
  </r>
  <r>
    <d v="2026-04-27T00:00:00"/>
    <x v="3"/>
    <s v="Inward Payment"/>
    <s v="FT26117Q9PD3"/>
    <x v="107"/>
    <s v="MRS M WOLVERSON"/>
    <n v="6.08"/>
    <n v="6.08"/>
    <n v="53462.42"/>
  </r>
  <r>
    <d v="2026-04-27T00:00:00"/>
    <x v="3"/>
    <s v="Inward Payment"/>
    <s v="FT26117WPQJM"/>
    <x v="108"/>
    <s v="LAUREN SMITH"/>
    <n v="150"/>
    <n v="150"/>
    <n v="53456.34"/>
  </r>
  <r>
    <d v="2026-04-27T00:00:00"/>
    <x v="3"/>
    <s v="Inward Payment"/>
    <s v="FT2611711YB1"/>
    <x v="109"/>
    <s v="A FRANCE - RENT"/>
    <n v="95"/>
    <n v="95"/>
    <n v="53306.34"/>
  </r>
  <r>
    <d v="2026-04-27T00:00:00"/>
    <x v="3"/>
    <s v="Inward Payment"/>
    <s v="FT26117C7BYK"/>
    <x v="110"/>
    <s v="LOUISE ROBERTS"/>
    <n v="95"/>
    <n v="95"/>
    <n v="53211.34"/>
  </r>
  <r>
    <d v="2026-04-27T00:00:00"/>
    <x v="3"/>
    <s v="Inward Payment"/>
    <s v="FT26117DBQB2"/>
    <x v="111"/>
    <s v="LOUISE ROBERTS"/>
    <n v="50"/>
    <n v="50"/>
    <n v="53116.34"/>
  </r>
  <r>
    <d v="2026-04-27T00:00:00"/>
    <x v="3"/>
    <s v="Inward Payment"/>
    <s v="FT26117KX0K7"/>
    <x v="112"/>
    <s v="GARY EDWARDS"/>
    <n v="50"/>
    <n v="50"/>
    <n v="53066.34"/>
  </r>
  <r>
    <d v="2026-04-27T00:00:00"/>
    <x v="3"/>
    <s v="Inward Payment"/>
    <s v="FT26117K1CRL"/>
    <x v="113"/>
    <s v="WESTLEY YATES"/>
    <n v="50"/>
    <n v="50"/>
    <n v="53016.34"/>
  </r>
  <r>
    <d v="2026-04-27T00:00:00"/>
    <x v="3"/>
    <s v="Inward Payment"/>
    <s v="FT2611744NQ0"/>
    <x v="114"/>
    <s v="DAVID SEABRIGHT"/>
    <n v="120"/>
    <n v="120"/>
    <n v="52966.34"/>
  </r>
  <r>
    <d v="2026-04-27T00:00:00"/>
    <x v="3"/>
    <s v="Inward Payment"/>
    <s v="FT26117BBSD6"/>
    <x v="115"/>
    <s v="FOOD SHOPPING"/>
    <n v="50"/>
    <n v="50"/>
    <n v="52846.34"/>
  </r>
  <r>
    <d v="2026-04-27T00:00:00"/>
    <x v="3"/>
    <s v="Inward Payment"/>
    <s v="FT2611702DJ3"/>
    <x v="116"/>
    <s v="RYAN LAWLEY"/>
    <n v="95"/>
    <n v="95"/>
    <n v="52796.34"/>
  </r>
  <r>
    <d v="2026-04-27T00:00:00"/>
    <x v="3"/>
    <s v="Inward Payment"/>
    <s v="FT26117DWZ15"/>
    <x v="117"/>
    <s v="NO REF"/>
    <n v="50"/>
    <n v="50"/>
    <n v="52701.34"/>
  </r>
  <r>
    <d v="2026-04-27T00:00:00"/>
    <x v="3"/>
    <s v="Inward Payment"/>
    <s v="FT26117F1V6Q"/>
    <x v="116"/>
    <s v="RYAN LAWLEY"/>
    <n v="50"/>
    <n v="50"/>
    <n v="52651.34"/>
  </r>
  <r>
    <d v="2026-04-27T00:00:00"/>
    <x v="3"/>
    <s v="Inward Payment"/>
    <s v="FT26117R4ST1"/>
    <x v="118"/>
    <s v="JAMES EASTWOOD"/>
    <n v="50"/>
    <n v="50"/>
    <n v="52601.34"/>
  </r>
  <r>
    <d v="2026-04-27T00:00:00"/>
    <x v="3"/>
    <s v="Inward Payment"/>
    <s v="FT26117XW9VM"/>
    <x v="119"/>
    <s v="select Utility"/>
    <n v="50"/>
    <n v="50"/>
    <n v="52551.34"/>
  </r>
  <r>
    <d v="2026-04-27T00:00:00"/>
    <x v="3"/>
    <s v="Inward Payment"/>
    <s v="FT26117MFHZB"/>
    <x v="120"/>
    <s v="SHEYLLA"/>
    <n v="120"/>
    <n v="120"/>
    <n v="52501.34"/>
  </r>
  <r>
    <d v="2026-04-24T00:00:00"/>
    <x v="4"/>
    <s v="Inward Payment"/>
    <s v="FT26114D92SG"/>
    <x v="121"/>
    <s v="KIERON WILSON CASH"/>
    <n v="200"/>
    <n v="200"/>
    <n v="52381.34"/>
  </r>
  <r>
    <d v="2026-04-24T00:00:00"/>
    <x v="5"/>
    <s v="Inward Payment"/>
    <s v="FT261147RNHV"/>
    <x v="122"/>
    <s v="BJORN CAMPBELL"/>
    <n v="216.67"/>
    <n v="216.67"/>
    <n v="52181.34"/>
  </r>
  <r>
    <d v="2026-04-24T00:00:00"/>
    <x v="6"/>
    <s v="Inward Payment"/>
    <s v="FT26114MR2P6"/>
    <x v="123"/>
    <s v="JOSEPH WALSH"/>
    <n v="495"/>
    <n v="495"/>
    <n v="51964.67"/>
  </r>
  <r>
    <d v="2026-04-24T00:00:00"/>
    <x v="6"/>
    <s v="Inward Payment"/>
    <s v="FT26114FRG9H"/>
    <x v="124"/>
    <s v="Devante Blick And"/>
    <n v="801.67"/>
    <n v="801.67"/>
    <n v="51469.67"/>
  </r>
  <r>
    <d v="2026-04-24T00:00:00"/>
    <x v="6"/>
    <s v="Outward Faster Payment"/>
    <s v="FT26114BJR3M"/>
    <x v="125"/>
    <s v="SELECTLI"/>
    <n v="-72"/>
    <s v=""/>
    <n v="50668"/>
  </r>
  <r>
    <d v="2026-04-24T00:00:00"/>
    <x v="6"/>
    <s v="Inward Payment"/>
    <s v="FT26114CTMLP"/>
    <x v="126"/>
    <n v="44474"/>
    <n v="740"/>
    <n v="740"/>
    <n v="50740"/>
  </r>
  <r>
    <d v="2026-04-24T00:00:00"/>
    <x v="6"/>
    <s v="Account to Account Transfer"/>
    <s v="FT26114D2K0T"/>
    <x v="45"/>
    <s v="Transfer"/>
    <n v="-194349.27"/>
    <s v=""/>
    <n v="50000"/>
  </r>
  <r>
    <d v="2026-04-24T00:00:00"/>
    <x v="6"/>
    <s v="Outward Faster Payment"/>
    <s v="FT2611471CQG"/>
    <x v="127"/>
    <n v="823739"/>
    <n v="-1398.82"/>
    <s v=""/>
    <n v="244349.27"/>
  </r>
  <r>
    <d v="2026-04-24T00:00:00"/>
    <x v="6"/>
    <s v="Outward Faster Payment"/>
    <s v="FT26114RRVN0"/>
    <x v="128"/>
    <s v="Select Lifestyles"/>
    <n v="-170"/>
    <s v=""/>
    <n v="245748.09"/>
  </r>
  <r>
    <d v="2026-04-24T00:00:00"/>
    <x v="6"/>
    <s v="Outward Faster Payment"/>
    <s v="FT26114YS2C1"/>
    <x v="129"/>
    <n v="366211"/>
    <n v="-1098.39"/>
    <s v=""/>
    <n v="245918.09"/>
  </r>
  <r>
    <d v="2026-04-24T00:00:00"/>
    <x v="6"/>
    <s v="Outward Faster Payment"/>
    <s v="FT261143HD0L"/>
    <x v="130"/>
    <s v="TS22010371"/>
    <n v="-123.34"/>
    <s v=""/>
    <n v="247016.48"/>
  </r>
  <r>
    <d v="2026-04-24T00:00:00"/>
    <x v="6"/>
    <s v="Outward Faster Payment"/>
    <s v="FT26114CD211"/>
    <x v="131"/>
    <s v="Select Lifestyles"/>
    <n v="-2250"/>
    <s v=""/>
    <n v="247139.82"/>
  </r>
  <r>
    <d v="2026-04-24T00:00:00"/>
    <x v="6"/>
    <s v="Account to Account Transfer"/>
    <s v="FT26114ZY67Y"/>
    <x v="4"/>
    <s v="CC GS/YD"/>
    <n v="-733.33"/>
    <s v=""/>
    <n v="249389.82"/>
  </r>
  <r>
    <d v="2026-04-24T00:00:00"/>
    <x v="6"/>
    <s v="Outward Faster Payment"/>
    <s v="FT26113QP2H7"/>
    <x v="132"/>
    <s v="16549 103343"/>
    <n v="-346.8"/>
    <s v=""/>
    <n v="250123.15"/>
  </r>
  <r>
    <d v="2026-04-24T00:00:00"/>
    <x v="6"/>
    <s v="Outward Faster Payment"/>
    <s v="FT26113BZDG8"/>
    <x v="132"/>
    <s v="16586 103337"/>
    <n v="-346.8"/>
    <s v=""/>
    <n v="250469.95"/>
  </r>
  <r>
    <d v="2026-04-24T00:00:00"/>
    <x v="6"/>
    <s v="Direct Debit"/>
    <s v="DDC20260423201504"/>
    <x v="133"/>
    <s v="BIZLEND LTD GBP AC BIZLEND4444"/>
    <n v="-5625"/>
    <s v=""/>
    <n v="250816.75"/>
  </r>
  <r>
    <d v="2026-04-24T00:00:00"/>
    <x v="6"/>
    <s v="Direct Debit"/>
    <s v="DDC20260423205285"/>
    <x v="134"/>
    <s v="ENGIE GAS 10325152002"/>
    <n v="-1579.08"/>
    <s v=""/>
    <n v="256441.75"/>
  </r>
  <r>
    <d v="2026-04-24T00:00:00"/>
    <x v="6"/>
    <s v="Direct Debit"/>
    <s v="DDC20260423205269"/>
    <x v="134"/>
    <s v="ENGIE GAS 10293463001"/>
    <n v="-900.77"/>
    <s v=""/>
    <n v="258020.83"/>
  </r>
  <r>
    <d v="2026-04-24T00:00:00"/>
    <x v="6"/>
    <s v="Direct Debit"/>
    <s v="DDC20260423205240"/>
    <x v="134"/>
    <s v="ENGIE GAS 10430727001"/>
    <n v="-676.28"/>
    <s v=""/>
    <n v="258921.6"/>
  </r>
  <r>
    <d v="2026-04-24T00:00:00"/>
    <x v="6"/>
    <s v="Direct Debit"/>
    <s v="DDC20260423205213"/>
    <x v="134"/>
    <s v="ENGIE GAS 10285849001"/>
    <n v="-341.41"/>
    <s v=""/>
    <n v="259597.88"/>
  </r>
  <r>
    <d v="2026-04-24T00:00:00"/>
    <x v="6"/>
    <s v="Direct Debit"/>
    <s v="DDC20260423205266"/>
    <x v="134"/>
    <s v="ENGIE GAS 10276835001"/>
    <n v="-288.99"/>
    <s v=""/>
    <n v="259939.29"/>
  </r>
  <r>
    <d v="2026-04-24T00:00:00"/>
    <x v="6"/>
    <s v="Direct Debit"/>
    <s v="DDC20260423205214"/>
    <x v="134"/>
    <s v="ENGIE GAS 10285854001"/>
    <n v="-265.58"/>
    <s v=""/>
    <n v="260228.28"/>
  </r>
  <r>
    <d v="2026-04-24T00:00:00"/>
    <x v="6"/>
    <s v="Direct Debit"/>
    <s v="DDC20260423205273"/>
    <x v="134"/>
    <s v="ENGIE GAS 10340026001"/>
    <n v="-260.95"/>
    <s v=""/>
    <n v="260493.86"/>
  </r>
  <r>
    <d v="2026-04-24T00:00:00"/>
    <x v="6"/>
    <s v="Direct Debit"/>
    <s v="DDC20260423205276"/>
    <x v="134"/>
    <s v="ENGIE GAS 10293982002"/>
    <n v="-231.17"/>
    <s v=""/>
    <n v="260754.81"/>
  </r>
  <r>
    <d v="2026-04-24T00:00:00"/>
    <x v="6"/>
    <s v="Direct Debit"/>
    <s v="DDC20260423205259"/>
    <x v="134"/>
    <s v="ENGIE GAS 10453833001"/>
    <n v="-203.07"/>
    <s v=""/>
    <n v="260985.98"/>
  </r>
  <r>
    <d v="2026-04-24T00:00:00"/>
    <x v="6"/>
    <s v="Direct Debit"/>
    <s v="DDC20260423205260"/>
    <x v="134"/>
    <s v="ENGIE GAS 10453834001"/>
    <n v="-203.07"/>
    <s v=""/>
    <n v="261189.05"/>
  </r>
  <r>
    <d v="2026-04-24T00:00:00"/>
    <x v="6"/>
    <s v="Direct Debit"/>
    <s v="DDC20260423205215"/>
    <x v="134"/>
    <s v="ENGIE GAS 10285850001"/>
    <n v="-162.53"/>
    <s v=""/>
    <n v="261392.12"/>
  </r>
  <r>
    <d v="2026-04-24T00:00:00"/>
    <x v="6"/>
    <s v="Direct Debit"/>
    <s v="DDC20260423205265"/>
    <x v="134"/>
    <s v="ENGIE GAS 10276836001"/>
    <n v="-138.54"/>
    <s v=""/>
    <n v="261554.65"/>
  </r>
  <r>
    <d v="2026-04-24T00:00:00"/>
    <x v="6"/>
    <s v="Direct Debit"/>
    <s v="DDC20260423205216"/>
    <x v="134"/>
    <s v="ENGIE GAS 10285852002"/>
    <n v="-138.12"/>
    <s v=""/>
    <n v="261693.19"/>
  </r>
  <r>
    <d v="2026-04-24T00:00:00"/>
    <x v="6"/>
    <s v="Direct Debit"/>
    <s v="DDC20260423205275"/>
    <x v="134"/>
    <s v="ENGIE GAS 10293980001"/>
    <n v="-51.2"/>
    <s v=""/>
    <n v="261831.31"/>
  </r>
  <r>
    <d v="2026-04-24T00:00:00"/>
    <x v="6"/>
    <s v="Direct Debit"/>
    <s v="DDC20260423205264"/>
    <x v="134"/>
    <s v="ENGIE GAS 10276837001"/>
    <n v="-6.12"/>
    <s v=""/>
    <n v="261882.51"/>
  </r>
  <r>
    <d v="2026-04-24T00:00:00"/>
    <x v="6"/>
    <s v="Direct Debit"/>
    <s v="DDC20260423205290"/>
    <x v="134"/>
    <s v="ENGIE GAS 10405533001"/>
    <n v="-1158.97"/>
    <s v=""/>
    <n v="261888.63"/>
  </r>
  <r>
    <d v="2026-04-24T00:00:00"/>
    <x v="6"/>
    <s v="Direct Debit"/>
    <s v="DDC20260423205302"/>
    <x v="134"/>
    <s v="ENGIE GAS 10281434002"/>
    <n v="-696.4400000000001"/>
    <s v=""/>
    <n v="263047.6"/>
  </r>
  <r>
    <d v="2026-04-24T00:00:00"/>
    <x v="6"/>
    <s v="Direct Debit"/>
    <s v="DDC20260423205297"/>
    <x v="134"/>
    <s v="ENGIE GAS 10280832001"/>
    <n v="-225.98"/>
    <s v=""/>
    <n v="263744.04"/>
  </r>
  <r>
    <d v="2026-04-24T00:00:00"/>
    <x v="6"/>
    <s v="Direct Debit"/>
    <s v="DDC20260423205292"/>
    <x v="134"/>
    <s v="ENGIE GAS 10280830001"/>
    <n v="-223.43"/>
    <s v=""/>
    <n v="263970.02"/>
  </r>
  <r>
    <d v="2026-04-24T00:00:00"/>
    <x v="6"/>
    <s v="Direct Debit"/>
    <s v="DDC20260423205296"/>
    <x v="134"/>
    <s v="ENGIE GAS 10280831001"/>
    <n v="-198.76"/>
    <s v=""/>
    <n v="264193.45"/>
  </r>
  <r>
    <d v="2026-04-24T00:00:00"/>
    <x v="6"/>
    <s v="Direct Debit"/>
    <s v="DDC20260423205294"/>
    <x v="134"/>
    <s v="ENGIE GAS 10280833001"/>
    <n v="-147.38"/>
    <s v=""/>
    <n v="264392.21"/>
  </r>
  <r>
    <d v="2026-04-24T00:00:00"/>
    <x v="6"/>
    <s v="Direct Debit"/>
    <s v="DDC20260423205286"/>
    <x v="134"/>
    <s v="ENGIE GAS 10309525001"/>
    <n v="-132.79"/>
    <s v=""/>
    <n v="264539.59"/>
  </r>
  <r>
    <d v="2026-04-24T00:00:00"/>
    <x v="6"/>
    <s v="Direct Debit"/>
    <s v="DDC20260423205295"/>
    <x v="134"/>
    <s v="ENGIE GAS 10280829003"/>
    <n v="-109.85"/>
    <s v=""/>
    <n v="264672.38"/>
  </r>
  <r>
    <d v="2026-04-24T00:00:00"/>
    <x v="6"/>
    <s v="Direct Debit"/>
    <s v="DDC20260423238474"/>
    <x v="135"/>
    <s v="ALD AUTOMOTIVE SQ2337843"/>
    <n v="-6123.51"/>
    <s v=""/>
    <n v="264782.23"/>
  </r>
  <r>
    <d v="2026-04-24T00:00:00"/>
    <x v="6"/>
    <s v="Direct Debit"/>
    <s v="DDC20260423238499"/>
    <x v="135"/>
    <s v="ALD AUTOMOTIVE SQ2675397"/>
    <n v="-964.79"/>
    <s v=""/>
    <n v="270905.74"/>
  </r>
  <r>
    <d v="2026-04-24T00:00:00"/>
    <x v="6"/>
    <s v="Direct Debit"/>
    <s v="DDC20260423238875"/>
    <x v="136"/>
    <s v="EVERFLOW LIMITED B248025A"/>
    <n v="-274.68"/>
    <s v=""/>
    <n v="271870.53"/>
  </r>
  <r>
    <d v="2026-04-24T00:00:00"/>
    <x v="6"/>
    <s v="BACS Payment Received"/>
    <s v="BACS20260423102596"/>
    <x v="59"/>
    <s v="WALSALL METROPOLIT-206877-58552541 401256-WALSALL METROPOLIT-&amp;--&amp;-N SMITH SC 099 BACS CR SELECT LIFESTYLES"/>
    <n v="50"/>
    <n v="50"/>
    <n v="272145.21"/>
  </r>
  <r>
    <d v="2026-04-24T00:00:00"/>
    <x v="6"/>
    <s v="BACS Payment Received"/>
    <s v="BACS20260423102592"/>
    <x v="59"/>
    <s v="WALSALL METROPOLIT-206877-58552541 401256-WALSALL METROPOLIT-&amp;--&amp;-S HOLMES UTILITY 099 BACS CR SELECT LIFESTYLES"/>
    <n v="95"/>
    <n v="95"/>
    <n v="272095.21"/>
  </r>
  <r>
    <d v="2026-04-24T00:00:00"/>
    <x v="6"/>
    <s v="BACS Payment Received"/>
    <s v="BACS20260423102593"/>
    <x v="59"/>
    <s v="WALSALL METROPOLIT-206877-58552541 401256-WALSALL METROPOLIT-&amp;--&amp;-NM SMITH RENT 099 BACS CR SELECT LIFESTYLES"/>
    <n v="95"/>
    <n v="95"/>
    <n v="272000.21"/>
  </r>
  <r>
    <d v="2026-04-24T00:00:00"/>
    <x v="6"/>
    <s v="BACS Payment Received"/>
    <s v="BACS20260423102594"/>
    <x v="59"/>
    <s v="WALSALL METROPOLIT-206877-58552541 401256-WALSALL METROPOLIT-&amp;--&amp;-S        R 099 BACS CR SELECT LIFESTYLES"/>
    <n v="95"/>
    <n v="95"/>
    <n v="271905.21"/>
  </r>
  <r>
    <d v="2026-04-24T00:00:00"/>
    <x v="6"/>
    <s v="BACS Payment Received"/>
    <s v="BACS20260423102595"/>
    <x v="59"/>
    <s v="WALSALL METROPOLIT-206877-58552541 401256-WALSALL METROPOLIT-&amp;--&amp;-S B     W     R 099 BACS CR SELECT LIFESTYLES"/>
    <n v="95"/>
    <n v="95"/>
    <n v="271810.21"/>
  </r>
  <r>
    <d v="2026-04-24T00:00:00"/>
    <x v="6"/>
    <s v="BACS Payment Received"/>
    <s v="BACS20260423107573"/>
    <x v="137"/>
    <s v="B-HAM CITY COUNCIL-200790-70489166 972201-B-HAM CITY COUNCIL-&amp;--&amp;-2049706 099 BACS CR SELECT LIFESTYLES"/>
    <n v="59419.08"/>
    <n v="59419.08"/>
    <n v="271715.21"/>
  </r>
  <r>
    <d v="2026-04-24T00:00:00"/>
    <x v="6"/>
    <s v="BACS Payment Received"/>
    <s v="BACS20260423137401"/>
    <x v="138"/>
    <s v="SANDWELL MBC-601539-69624135 971830-SANDWELL MBC-&amp;--&amp;-135597 099 BACS CR SELECT LIFESTYLES"/>
    <n v="158792.17"/>
    <n v="158792.17"/>
    <n v="212296.13"/>
  </r>
  <r>
    <d v="2026-04-24T00:00:00"/>
    <x v="6"/>
    <s v="BACS Payment Received"/>
    <s v="BACS20260423131172"/>
    <x v="139"/>
    <s v="HGPRYCE-607080-10025863 278961-HGPRYCE-&amp;--&amp;-000000003734459967 099 BACS CR HARLEY GOODIN-PRYC"/>
    <n v="68.95999999999999"/>
    <n v="68.95999999999999"/>
    <n v="53503.96"/>
  </r>
  <r>
    <d v="2026-04-24T00:00:00"/>
    <x v="6"/>
    <s v="BACS Payment Received"/>
    <s v="BACS20260423130463"/>
    <x v="140"/>
    <s v="G BAKER-607080-10025863 278961-G BAKER-&amp;--&amp;-000000003733943150 099 BACS CR GEMMA BAKER"/>
    <n v="495"/>
    <n v="495"/>
    <n v="53435"/>
  </r>
  <r>
    <d v="2026-04-24T00:00:00"/>
    <x v="6"/>
    <s v="BACS Payment Received"/>
    <s v="BACS20260423131621"/>
    <x v="141"/>
    <s v="BREYNOLDS-607080-10025863 278961-BREYNOLDS-&amp;--&amp;-000000003733828624 099 BACS CR BETHANY REYNOLDS"/>
    <n v="495"/>
    <n v="495"/>
    <n v="52940"/>
  </r>
  <r>
    <d v="2026-04-24T00:00:00"/>
    <x v="6"/>
    <s v="BACS Payment Received"/>
    <s v="BACS20260423132082"/>
    <x v="142"/>
    <s v="KIERONWILSON-607080-10025863 278961-KIERONWILSON-&amp;--&amp;-000000003733852360 099 BACS CR KIERON WILSON"/>
    <n v="495"/>
    <n v="495"/>
    <n v="52445"/>
  </r>
  <r>
    <d v="2026-04-24T00:00:00"/>
    <x v="6"/>
    <s v="Inward Payment"/>
    <s v="FT26114MYJJC"/>
    <x v="143"/>
    <s v="WEEKLY RENT PAUL B"/>
    <n v="95"/>
    <n v="95"/>
    <n v="51950"/>
  </r>
  <r>
    <d v="2026-04-24T00:00:00"/>
    <x v="6"/>
    <s v="Inward Payment"/>
    <s v="FT26114H7NRL"/>
    <x v="143"/>
    <s v="PAUL BATSON WKLY U"/>
    <n v="50"/>
    <n v="50"/>
    <n v="51855"/>
  </r>
  <r>
    <d v="2026-04-24T00:00:00"/>
    <x v="6"/>
    <s v="Inward Payment"/>
    <s v="FT26114YW06K"/>
    <x v="144"/>
    <s v="SHARQUILLE BARNABY"/>
    <n v="250"/>
    <n v="250"/>
    <n v="51805"/>
  </r>
  <r>
    <d v="2026-04-24T00:00:00"/>
    <x v="6"/>
    <s v="Inward Payment"/>
    <s v="FT261146K4LQ"/>
    <x v="16"/>
    <s v="REEHAN SHAMREZ"/>
    <n v="40"/>
    <n v="40"/>
    <n v="51555"/>
  </r>
  <r>
    <d v="2026-04-24T00:00:00"/>
    <x v="6"/>
    <s v="Inward Payment"/>
    <s v="FT26114BK063"/>
    <x v="145"/>
    <s v="Kia Harvey-Utiliti"/>
    <n v="780"/>
    <n v="780"/>
    <n v="51515"/>
  </r>
  <r>
    <d v="2026-04-24T00:00:00"/>
    <x v="6"/>
    <s v="Inward Payment"/>
    <s v="FT26114ZLNGW"/>
    <x v="146"/>
    <s v="D WOODHALL"/>
    <n v="45"/>
    <n v="45"/>
    <n v="50735"/>
  </r>
  <r>
    <d v="2026-04-24T00:00:00"/>
    <x v="6"/>
    <s v="Inward Payment"/>
    <s v="FT261149RD7V"/>
    <x v="107"/>
    <s v="ANGELA WOLVERSON"/>
    <n v="65"/>
    <n v="65"/>
    <n v="50690"/>
  </r>
  <r>
    <d v="2026-04-24T00:00:00"/>
    <x v="6"/>
    <s v="Inward Payment"/>
    <s v="FT26114QP6LR"/>
    <x v="147"/>
    <s v="BRANLUCASSERVICE"/>
    <n v="50"/>
    <n v="50"/>
    <n v="50625"/>
  </r>
  <r>
    <d v="2026-04-24T00:00:00"/>
    <x v="6"/>
    <s v="Inward Payment"/>
    <s v="FT26114NRMNF"/>
    <x v="148"/>
    <s v="R DAWSON RENT"/>
    <n v="50"/>
    <n v="50"/>
    <n v="50575"/>
  </r>
  <r>
    <d v="2026-04-24T00:00:00"/>
    <x v="6"/>
    <s v="Inward Payment"/>
    <s v="FT26114M7Y4Q"/>
    <x v="149"/>
    <s v="JAYDON LOCKLEYS RE"/>
    <n v="25"/>
    <n v="25"/>
    <n v="50525"/>
  </r>
  <r>
    <d v="2026-04-24T00:00:00"/>
    <x v="6"/>
    <s v="Inward Payment"/>
    <s v="FT2611476NF5"/>
    <x v="150"/>
    <s v="CHARANJIT DHILLON"/>
    <n v="500"/>
    <n v="500"/>
    <n v="50500"/>
  </r>
  <r>
    <d v="2026-04-23T00:00:00"/>
    <x v="7"/>
    <s v="Account to Account Transfer"/>
    <s v="FT261139HSSC"/>
    <x v="45"/>
    <s v="Transfer"/>
    <n v="-75000"/>
    <s v=""/>
    <n v="50000"/>
  </r>
  <r>
    <d v="2026-04-23T00:00:00"/>
    <x v="7"/>
    <s v="Inward Payment"/>
    <s v="FT26113N27TQ"/>
    <x v="151"/>
    <s v="NO REF"/>
    <n v="75000"/>
    <n v="75000"/>
    <n v="125000"/>
  </r>
  <r>
    <d v="2026-04-23T00:00:00"/>
    <x v="7"/>
    <s v="Account to Account Transfer"/>
    <s v="FT26113M136R"/>
    <x v="45"/>
    <s v="Transfer"/>
    <n v="-123046.33"/>
    <s v=""/>
    <n v="50000"/>
  </r>
  <r>
    <d v="2026-04-23T00:00:00"/>
    <x v="7"/>
    <s v="Outward Faster Payment"/>
    <s v="FT261138YCBC"/>
    <x v="152"/>
    <s v="ASW Rent"/>
    <n v="-14400"/>
    <s v=""/>
    <n v="173046.33"/>
  </r>
  <r>
    <d v="2026-04-23T00:00:00"/>
    <x v="7"/>
    <s v="Inward Payment"/>
    <s v="FT26113G4C4P"/>
    <x v="90"/>
    <s v="Paul Campbell Rent"/>
    <n v="411.67"/>
    <n v="411.67"/>
    <n v="187446.33"/>
  </r>
  <r>
    <d v="2026-04-23T00:00:00"/>
    <x v="7"/>
    <s v="Inward Payment"/>
    <s v="FT26113VMN56"/>
    <x v="7"/>
    <s v="LIFESTYLES"/>
    <n v="65"/>
    <n v="65"/>
    <n v="187034.66"/>
  </r>
  <r>
    <d v="2026-04-23T00:00:00"/>
    <x v="7"/>
    <s v="Inward Payment"/>
    <s v="FT26113KWGTF"/>
    <x v="153"/>
    <s v="SERVICE CHARGES"/>
    <n v="650"/>
    <n v="650"/>
    <n v="186969.66"/>
  </r>
  <r>
    <d v="2026-04-23T00:00:00"/>
    <x v="7"/>
    <s v="Standing Order"/>
    <s v="FT26113JC2P4"/>
    <x v="154"/>
    <s v="SELECT LIFESTYLES"/>
    <n v="-750"/>
    <s v=""/>
    <n v="186319.66"/>
  </r>
  <r>
    <d v="2026-04-23T00:00:00"/>
    <x v="7"/>
    <s v="Direct Debit"/>
    <s v="DDC20260422229442"/>
    <x v="155"/>
    <s v="TELECOM CENTRAL TC10216"/>
    <n v="-5300.56"/>
    <s v=""/>
    <n v="187069.66"/>
  </r>
  <r>
    <d v="2026-04-23T00:00:00"/>
    <x v="7"/>
    <s v="Direct Debit"/>
    <s v="DDC20260422230949"/>
    <x v="156"/>
    <s v="INFORMATION COMMIS Z1300321"/>
    <n v="-47"/>
    <s v=""/>
    <n v="192370.22"/>
  </r>
  <r>
    <d v="2026-04-23T00:00:00"/>
    <x v="7"/>
    <s v="Direct Debit"/>
    <s v="DDC20260422212580"/>
    <x v="157"/>
    <s v="BNP PARIBAS LEASIN A1E93446  V5981139"/>
    <n v="-101.82"/>
    <s v=""/>
    <n v="192417.22"/>
  </r>
  <r>
    <d v="2026-04-23T00:00:00"/>
    <x v="7"/>
    <s v="Direct Debit"/>
    <s v="DDC20260422237907"/>
    <x v="158"/>
    <s v="LEX AUTOLEASE 576482V00447102"/>
    <n v="-498.36"/>
    <s v=""/>
    <n v="192519.04"/>
  </r>
  <r>
    <d v="2026-04-23T00:00:00"/>
    <x v="7"/>
    <s v="Direct Debit"/>
    <s v="DDC20260422225896"/>
    <x v="56"/>
    <s v="BRITISH GAS BUSINE 602963428031123000"/>
    <n v="-1779.31"/>
    <s v=""/>
    <n v="193017.4"/>
  </r>
  <r>
    <d v="2026-04-23T00:00:00"/>
    <x v="7"/>
    <s v="BACS Payment Received"/>
    <s v="BACS20260422110097"/>
    <x v="159"/>
    <s v="LNEAL-607080-10025863 278961-LNEAL-&amp;--&amp;-000000003731487062 099 BACS CR LAURA NEAL"/>
    <n v="411.67"/>
    <n v="411.67"/>
    <n v="194796.71"/>
  </r>
  <r>
    <d v="2026-04-23T00:00:00"/>
    <x v="7"/>
    <s v="BACS Payment Received"/>
    <s v="BACS20260422110244"/>
    <x v="160"/>
    <s v="WYATES-607080-10025863 278961-WYATES-&amp;--&amp;-000000003731475059 099 BACS CR WESTLEY YATES"/>
    <n v="411.67"/>
    <n v="411.67"/>
    <n v="194385.04"/>
  </r>
  <r>
    <d v="2026-04-23T00:00:00"/>
    <x v="7"/>
    <s v="BACS Payment Received"/>
    <s v="BACS20260422113476"/>
    <x v="138"/>
    <s v="SANDWELL MBC-601539-69624135 971830-SANDWELL MBC-&amp;--&amp;-135084 099 BACS CR SELECT LIFESTYLES"/>
    <n v="6534.4"/>
    <n v="6534.4"/>
    <n v="193973.37"/>
  </r>
  <r>
    <d v="2026-04-23T00:00:00"/>
    <x v="7"/>
    <s v="BACS Payment Received"/>
    <s v="BACS20260422113478"/>
    <x v="21"/>
    <s v="WOLVERHAMPTON CC-560069-44470320 972860-WOLVERHAMPTON CC-&amp;--&amp;-0 099 BACS CR SELECT LIFESTYLES"/>
    <n v="139121.2"/>
    <n v="139121.2"/>
    <n v="187438.97"/>
  </r>
  <r>
    <d v="2026-04-23T00:00:00"/>
    <x v="7"/>
    <s v="Inward Payment"/>
    <s v="FT26113601NR"/>
    <x v="16"/>
    <s v="JOSIAHLEE"/>
    <n v="50"/>
    <n v="50"/>
    <n v="48317.77"/>
  </r>
  <r>
    <d v="2026-04-23T00:00:00"/>
    <x v="7"/>
    <s v="Inward Payment"/>
    <s v="FT261136QN25"/>
    <x v="22"/>
    <s v="SERVICE CHARGES"/>
    <n v="71.08"/>
    <n v="71.08"/>
    <n v="48267.77"/>
  </r>
  <r>
    <d v="2026-04-23T00:00:00"/>
    <x v="7"/>
    <s v="Inward Payment"/>
    <s v="FT26113SMNRD"/>
    <x v="161"/>
    <s v="KRYSTIAN"/>
    <n v="260"/>
    <n v="260"/>
    <n v="48196.69"/>
  </r>
  <r>
    <d v="2026-04-23T00:00:00"/>
    <x v="7"/>
    <s v="Inward Payment"/>
    <s v="FT2611388CHK"/>
    <x v="108"/>
    <s v="LAUREN SMITH"/>
    <n v="411.67"/>
    <n v="411.67"/>
    <n v="47936.69"/>
  </r>
  <r>
    <d v="2026-04-23T00:00:00"/>
    <x v="7"/>
    <s v="Inward Payment"/>
    <s v="FT261131FFH1"/>
    <x v="23"/>
    <s v="RENT"/>
    <n v="95"/>
    <n v="95"/>
    <n v="47525.02"/>
  </r>
  <r>
    <d v="2026-04-23T00:00:00"/>
    <x v="7"/>
    <s v="Inward Payment"/>
    <s v="FT26113CR0FT"/>
    <x v="162"/>
    <s v="HITEN MISTRY"/>
    <n v="306.67"/>
    <n v="306.67"/>
    <n v="47430.02"/>
  </r>
  <r>
    <d v="2026-04-22T00:00:00"/>
    <x v="8"/>
    <s v="Inward Payment"/>
    <s v="FT26112HCNJC"/>
    <x v="163"/>
    <s v="Ashley"/>
    <n v="250"/>
    <n v="250"/>
    <n v="47123.35"/>
  </r>
  <r>
    <d v="2026-04-22T00:00:00"/>
    <x v="8"/>
    <s v="Inward Payment"/>
    <s v="FT26112CP3MQ"/>
    <x v="28"/>
    <s v="FDMS 510799083"/>
    <n v="1034.29"/>
    <n v="1034.29"/>
    <n v="46873.35"/>
  </r>
  <r>
    <d v="2026-04-22T00:00:00"/>
    <x v="8"/>
    <s v="Account to Account Transfer"/>
    <s v="FT261120C009"/>
    <x v="4"/>
    <s v="CC KW/SM/MG"/>
    <n v="-950"/>
    <s v=""/>
    <n v="45839.06"/>
  </r>
  <r>
    <d v="2026-04-22T00:00:00"/>
    <x v="8"/>
    <s v="Inward Payment"/>
    <s v="FT26112GVK4T"/>
    <x v="164"/>
    <s v="SARAH MAPHOSA"/>
    <n v="1199.51"/>
    <n v="1199.51"/>
    <n v="46789.06"/>
  </r>
  <r>
    <d v="2026-04-22T00:00:00"/>
    <x v="8"/>
    <s v="Inward Payment"/>
    <s v="FT26112Z8YDS"/>
    <x v="165"/>
    <s v="MARTIN CRIMMONS"/>
    <n v="470.56"/>
    <n v="470.56"/>
    <n v="45589.55"/>
  </r>
  <r>
    <d v="2026-04-22T00:00:00"/>
    <x v="8"/>
    <s v="Card Transaction"/>
    <s v="00001580192-20260421-1520311"/>
    <x v="10"/>
    <s v="GBR 20260420 PARKING 1VR BIR'HAM B4"/>
    <n v="-60"/>
    <s v=""/>
    <n v="45118.99"/>
  </r>
  <r>
    <d v="2026-04-22T00:00:00"/>
    <x v="8"/>
    <s v="Direct Debit"/>
    <s v="DDC20260421253073"/>
    <x v="136"/>
    <s v="EVERFLOW LIMITED B259114A"/>
    <n v="-66.38"/>
    <s v=""/>
    <n v="45178.99"/>
  </r>
  <r>
    <d v="2026-04-22T00:00:00"/>
    <x v="8"/>
    <s v="Direct Debit"/>
    <s v="DDC20260421251097"/>
    <x v="166"/>
    <s v="PENNON WATER SRVCS 5059027201"/>
    <n v="-22"/>
    <s v=""/>
    <n v="45245.37"/>
  </r>
  <r>
    <d v="2026-04-22T00:00:00"/>
    <x v="8"/>
    <s v="Direct Debit"/>
    <s v="DDC20260421236476"/>
    <x v="56"/>
    <s v="BRITISH GAS BUSINE 602970373031123000"/>
    <n v="-841"/>
    <s v=""/>
    <n v="45267.37"/>
  </r>
  <r>
    <d v="2026-04-22T00:00:00"/>
    <x v="8"/>
    <s v="Direct Debit"/>
    <s v="DDC20260421225551"/>
    <x v="167"/>
    <s v="TV LICENCE DDA 3881778276"/>
    <n v="-180"/>
    <s v=""/>
    <n v="46108.37"/>
  </r>
  <r>
    <d v="2026-04-22T00:00:00"/>
    <x v="8"/>
    <s v="Direct Debit"/>
    <s v="DDC20260421225938"/>
    <x v="167"/>
    <s v="TV LICENCE DDA 3781172330"/>
    <n v="-180"/>
    <s v=""/>
    <n v="46288.37"/>
  </r>
  <r>
    <d v="2026-04-22T00:00:00"/>
    <x v="8"/>
    <s v="Direct Debit"/>
    <s v="DDC20260421206863"/>
    <x v="168"/>
    <s v="VODAFONE LIMITED 30880282M962635"/>
    <n v="-338.8"/>
    <s v=""/>
    <n v="46468.37"/>
  </r>
  <r>
    <d v="2026-04-22T00:00:00"/>
    <x v="8"/>
    <s v="Inward Payment"/>
    <s v="FT26112VNT32"/>
    <x v="36"/>
    <s v="MARKEY GRAY- PERSO"/>
    <n v="200"/>
    <n v="200"/>
    <n v="46807.17"/>
  </r>
  <r>
    <d v="2026-04-22T00:00:00"/>
    <x v="8"/>
    <s v="BACS Payment Received"/>
    <s v="BACS20260421116536"/>
    <x v="169"/>
    <s v="KILSLEY-607080-10025863 278961-KILSLEY-&amp;--&amp;-000000003730102608 099 BACS CR KENT ANDREW ILSLEY"/>
    <n v="411.67"/>
    <n v="411.67"/>
    <n v="46607.17"/>
  </r>
  <r>
    <d v="2026-04-22T00:00:00"/>
    <x v="8"/>
    <s v="BACS Payment Received"/>
    <s v="BACS20260421116583"/>
    <x v="170"/>
    <s v="JLOCKLEY-607080-10025863 278961-JLOCKLEY-&amp;--&amp;-000000003730126747 099 BACS CR JAYDON LOCKLEY"/>
    <n v="520"/>
    <n v="520"/>
    <n v="46195.5"/>
  </r>
  <r>
    <d v="2026-04-22T00:00:00"/>
    <x v="8"/>
    <s v="Inward Payment"/>
    <s v="FT2611209H8N"/>
    <x v="37"/>
    <s v="DANIEL MEHMI"/>
    <n v="69.86"/>
    <n v="69.86"/>
    <n v="45675.5"/>
  </r>
  <r>
    <d v="2026-04-22T00:00:00"/>
    <x v="8"/>
    <s v="Inward Payment"/>
    <s v="FT26112M6K2W"/>
    <x v="110"/>
    <s v="CALLUM BRADNICK"/>
    <n v="200"/>
    <n v="200"/>
    <n v="45605.64"/>
  </r>
  <r>
    <d v="2026-04-22T00:00:00"/>
    <x v="8"/>
    <s v="Inward Payment"/>
    <s v="FT261122ZZPS"/>
    <x v="39"/>
    <s v="LAURA NEAL"/>
    <n v="45"/>
    <n v="45"/>
    <n v="45405.64"/>
  </r>
  <r>
    <d v="2026-04-21T00:00:00"/>
    <x v="9"/>
    <s v="Inward Payment"/>
    <s v="FT26111SHRM9"/>
    <x v="121"/>
    <s v="KIERON WILSON CASH"/>
    <n v="450"/>
    <n v="450"/>
    <n v="45360.64"/>
  </r>
  <r>
    <d v="2026-04-21T00:00:00"/>
    <x v="9"/>
    <s v="Inward Payment"/>
    <s v="FT26111DXKD7"/>
    <x v="171"/>
    <s v="Service charge"/>
    <n v="216.67"/>
    <n v="216.67"/>
    <n v="44910.64"/>
  </r>
  <r>
    <d v="2026-04-21T00:00:00"/>
    <x v="9"/>
    <s v="Account to Account Transfer"/>
    <s v="FT26111RPRZ3"/>
    <x v="4"/>
    <s v="CC SJ/DS"/>
    <n v="-370"/>
    <s v=""/>
    <n v="44693.97"/>
  </r>
  <r>
    <d v="2026-04-21T00:00:00"/>
    <x v="9"/>
    <s v="Inward Payment"/>
    <s v="FT26111ZFQ4F"/>
    <x v="48"/>
    <s v="502869 B NOBLE"/>
    <n v="140"/>
    <n v="140"/>
    <n v="45063.97"/>
  </r>
  <r>
    <d v="2026-04-21T00:00:00"/>
    <x v="9"/>
    <s v="Inward Payment"/>
    <s v="FT26111PF2LX"/>
    <x v="49"/>
    <s v="ERROLGRANT"/>
    <n v="65"/>
    <n v="65"/>
    <n v="44923.97"/>
  </r>
  <r>
    <d v="2026-04-21T00:00:00"/>
    <x v="9"/>
    <s v="Card Transaction"/>
    <s v="00001580192-20260420-1528307"/>
    <x v="172"/>
    <s v="GBR 20260417 Tesla Inc. West Drayton"/>
    <n v="-10.6"/>
    <s v=""/>
    <n v="44858.97"/>
  </r>
  <r>
    <d v="2026-04-21T00:00:00"/>
    <x v="9"/>
    <s v="Card Transaction"/>
    <s v="00001580192-20260420-1528317"/>
    <x v="172"/>
    <s v="GBR 20260419 Tesla Inc. West Drayton"/>
    <n v="-10.16"/>
    <s v=""/>
    <n v="44869.57"/>
  </r>
  <r>
    <d v="2026-04-21T00:00:00"/>
    <x v="9"/>
    <s v="Inward Payment"/>
    <s v="FT26111L6070"/>
    <x v="50"/>
    <s v="C LAVANDER"/>
    <n v="102.51"/>
    <n v="102.51"/>
    <n v="44879.73"/>
  </r>
  <r>
    <d v="2026-04-21T00:00:00"/>
    <x v="9"/>
    <s v="Direct Debit"/>
    <s v="DDC20260420239875"/>
    <x v="88"/>
    <s v="SOUTH STAFFS WATER 1865852002"/>
    <n v="-189.47"/>
    <s v=""/>
    <n v="44777.22"/>
  </r>
  <r>
    <d v="2026-04-21T00:00:00"/>
    <x v="9"/>
    <s v="Direct Debit"/>
    <s v="DDC20260420239873"/>
    <x v="88"/>
    <s v="SOUTH STAFFS WATER 1789297801"/>
    <n v="-152.73"/>
    <s v=""/>
    <n v="44966.69"/>
  </r>
  <r>
    <d v="2026-04-21T00:00:00"/>
    <x v="9"/>
    <s v="Direct Debit"/>
    <s v="DDC20260420239860"/>
    <x v="88"/>
    <s v="SOUTH STAFFS WATER 1683377701"/>
    <n v="-104.84"/>
    <s v=""/>
    <n v="45119.42"/>
  </r>
  <r>
    <d v="2026-04-21T00:00:00"/>
    <x v="9"/>
    <s v="Direct Debit"/>
    <s v="DDC20260420239874"/>
    <x v="88"/>
    <s v="SOUTH STAFFS WATER 1876680801"/>
    <n v="-100.88"/>
    <s v=""/>
    <n v="45224.26"/>
  </r>
  <r>
    <d v="2026-04-21T00:00:00"/>
    <x v="9"/>
    <s v="Direct Debit"/>
    <s v="DDC20260420239887"/>
    <x v="88"/>
    <s v="SOUTH STAFFS WATER 2010939601"/>
    <n v="-66.13"/>
    <s v=""/>
    <n v="45325.14"/>
  </r>
  <r>
    <d v="2026-04-21T00:00:00"/>
    <x v="9"/>
    <s v="Direct Debit"/>
    <s v="DDC20260420239867"/>
    <x v="88"/>
    <s v="SOUTH STAFFS WATER 1726030501"/>
    <n v="-18.7"/>
    <s v=""/>
    <n v="45391.27"/>
  </r>
  <r>
    <d v="2026-04-21T00:00:00"/>
    <x v="9"/>
    <s v="Direct Debit"/>
    <s v="DDC20260420210843"/>
    <x v="173"/>
    <s v="EE LIMITED Q47903011715735481"/>
    <n v="-2042.94"/>
    <s v=""/>
    <n v="45409.97"/>
  </r>
  <r>
    <d v="2026-04-21T00:00:00"/>
    <x v="9"/>
    <s v="Direct Debit"/>
    <s v="DDC20260420213119"/>
    <x v="55"/>
    <s v="TOTALENERGIES G&amp;P 1215483"/>
    <n v="-1939.64"/>
    <s v=""/>
    <n v="47452.91"/>
  </r>
  <r>
    <d v="2026-04-21T00:00:00"/>
    <x v="9"/>
    <s v="Direct Debit"/>
    <s v="DDC20260420213120"/>
    <x v="55"/>
    <s v="TOTALENERGIES G&amp;P 1249855"/>
    <n v="-872.74"/>
    <s v=""/>
    <n v="49392.55"/>
  </r>
  <r>
    <d v="2026-04-21T00:00:00"/>
    <x v="9"/>
    <s v="Direct Debit"/>
    <s v="DDC20260420209739"/>
    <x v="174"/>
    <s v="PC/COVEAEXECHOME 04AFEK2558/010/111"/>
    <n v="-533.24"/>
    <s v=""/>
    <n v="50265.29"/>
  </r>
  <r>
    <d v="2026-04-21T00:00:00"/>
    <x v="9"/>
    <s v="Direct Debit"/>
    <s v="DDC20260420213118"/>
    <x v="55"/>
    <s v="TOTALENERGIES G&amp;P 1215482"/>
    <n v="-410.4"/>
    <s v=""/>
    <n v="50798.53"/>
  </r>
  <r>
    <d v="2026-04-21T00:00:00"/>
    <x v="9"/>
    <s v="Direct Debit"/>
    <s v="DDC20260420206716"/>
    <x v="175"/>
    <s v="BIRMINGHAM CITY CO 5057617358"/>
    <n v="-127.8"/>
    <s v=""/>
    <n v="51208.93"/>
  </r>
  <r>
    <d v="2026-04-21T00:00:00"/>
    <x v="9"/>
    <s v="Direct Debit"/>
    <s v="DDC20260420206712"/>
    <x v="175"/>
    <s v="BIRMINGHAM CITY CO 5056103873"/>
    <n v="-88.84999999999999"/>
    <s v=""/>
    <n v="51336.73"/>
  </r>
  <r>
    <d v="2026-04-21T00:00:00"/>
    <x v="9"/>
    <s v="Direct Debit"/>
    <s v="DDC20260420239859"/>
    <x v="88"/>
    <s v="SOUTH STAFFS WATER 1682525101"/>
    <n v="-180.49"/>
    <s v=""/>
    <n v="51425.58"/>
  </r>
  <r>
    <d v="2026-04-21T00:00:00"/>
    <x v="9"/>
    <s v="Direct Debit"/>
    <s v="DDC20260420239840"/>
    <x v="88"/>
    <s v="SOUTH STAFFS WATER 1854298302"/>
    <n v="-98.58"/>
    <s v=""/>
    <n v="51606.07"/>
  </r>
  <r>
    <d v="2026-04-21T00:00:00"/>
    <x v="9"/>
    <s v="Direct Debit"/>
    <s v="DDC20260420239851"/>
    <x v="88"/>
    <s v="SOUTH STAFFS WATER 1225542001"/>
    <n v="-87.59999999999999"/>
    <s v=""/>
    <n v="51704.65"/>
  </r>
  <r>
    <d v="2026-04-21T00:00:00"/>
    <x v="9"/>
    <s v="Direct Debit"/>
    <s v="DDC20260420239838"/>
    <x v="88"/>
    <s v="SOUTH STAFFS WATER 1965284701"/>
    <n v="-59.81"/>
    <s v=""/>
    <n v="51792.25"/>
  </r>
  <r>
    <d v="2026-04-21T00:00:00"/>
    <x v="9"/>
    <s v="BACS Payment Received"/>
    <s v="BACS20260420114204"/>
    <x v="176"/>
    <s v="NJAMES-607080-10025863 278961-NJAMES-&amp;--&amp;-000000003728495827 099 BACS CR NAOMI JAMES"/>
    <n v="495"/>
    <n v="495"/>
    <n v="51852.06"/>
  </r>
  <r>
    <d v="2026-04-21T00:00:00"/>
    <x v="9"/>
    <s v="BACS Payment Received"/>
    <s v="BACS20260420100581"/>
    <x v="59"/>
    <s v="WALSALL METROPOLIT-206877-58552541 401256-WALSALL METROPOLIT-&amp;--&amp;-A H 099 BACS CR SELECT LIFESTYLES"/>
    <n v="50"/>
    <n v="50"/>
    <n v="51357.06"/>
  </r>
  <r>
    <d v="2026-04-21T00:00:00"/>
    <x v="9"/>
    <s v="BACS Payment Received"/>
    <s v="BACS20260420100582"/>
    <x v="59"/>
    <s v="WALSALL METROPOLIT-206877-58552541 401256-WALSALL METROPOLIT-&amp;--&amp;-H 099 BACS CR SELECT LIFESTYLES"/>
    <n v="50"/>
    <n v="50"/>
    <n v="51307.06"/>
  </r>
  <r>
    <d v="2026-04-21T00:00:00"/>
    <x v="9"/>
    <s v="BACS Payment Received"/>
    <s v="BACS20260420100583"/>
    <x v="59"/>
    <s v="WALSALL METROPOLIT-206877-58552541 401256-WALSALL METROPOLIT-&amp;--&amp;-S B 099 BACS CR SELECT LIFESTYSLES"/>
    <n v="50"/>
    <n v="50"/>
    <n v="51257.06"/>
  </r>
  <r>
    <d v="2026-04-21T00:00:00"/>
    <x v="9"/>
    <s v="Inward Payment"/>
    <s v="FT26111S6KCP"/>
    <x v="63"/>
    <s v="JOHN PACE RENT"/>
    <n v="120"/>
    <n v="120"/>
    <n v="51207.06"/>
  </r>
  <r>
    <d v="2026-04-21T00:00:00"/>
    <x v="9"/>
    <s v="Inward Payment"/>
    <s v="FT26111P65C0"/>
    <x v="60"/>
    <s v="L HAWKINS-Utilit/S"/>
    <n v="65"/>
    <n v="65"/>
    <n v="51087.06"/>
  </r>
  <r>
    <d v="2026-04-21T00:00:00"/>
    <x v="9"/>
    <s v="Inward Payment"/>
    <s v="FT26111MF9WH"/>
    <x v="62"/>
    <s v="LEIGH AMES RENT"/>
    <n v="120"/>
    <n v="120"/>
    <n v="51022.06"/>
  </r>
  <r>
    <d v="2026-04-21T00:00:00"/>
    <x v="9"/>
    <s v="Inward Payment"/>
    <s v="FT26111B6ZBH"/>
    <x v="60"/>
    <s v="L HAWKINS-RENT"/>
    <n v="120"/>
    <n v="120"/>
    <n v="50902.06"/>
  </r>
  <r>
    <d v="2026-04-21T00:00:00"/>
    <x v="9"/>
    <s v="Inward Payment"/>
    <s v="FT26111L89YF"/>
    <x v="61"/>
    <s v="ANTHONY MEACHIN UT"/>
    <n v="50"/>
    <n v="50"/>
    <n v="50782.06"/>
  </r>
  <r>
    <d v="2026-04-21T00:00:00"/>
    <x v="9"/>
    <s v="Inward Payment"/>
    <s v="FT26111D8TZX"/>
    <x v="177"/>
    <s v="SERVICECHARGE"/>
    <n v="216.67"/>
    <n v="216.67"/>
    <n v="50732.06"/>
  </r>
  <r>
    <d v="2026-04-21T00:00:00"/>
    <x v="9"/>
    <s v="Inward Payment"/>
    <s v="FT261111Y5ZD"/>
    <x v="65"/>
    <s v="DS WEEKLY SPEND"/>
    <n v="120"/>
    <n v="120"/>
    <n v="50515.39"/>
  </r>
  <r>
    <d v="2026-04-21T00:00:00"/>
    <x v="9"/>
    <s v="Inward Payment"/>
    <s v="FT26111X07H7"/>
    <x v="178"/>
    <s v="PAUL HINDS"/>
    <n v="25"/>
    <n v="25"/>
    <n v="50395.39"/>
  </r>
  <r>
    <d v="2026-04-21T00:00:00"/>
    <x v="9"/>
    <s v="Inward Payment"/>
    <s v="FT26111GN5GK"/>
    <x v="66"/>
    <s v="TREVOR KEANE"/>
    <n v="50"/>
    <n v="50"/>
    <n v="50370.39"/>
  </r>
  <r>
    <d v="2026-04-21T00:00:00"/>
    <x v="9"/>
    <s v="Inward Payment"/>
    <s v="FT26111S4XQ0"/>
    <x v="179"/>
    <s v="JOSEPH WALSH"/>
    <n v="25"/>
    <n v="25"/>
    <n v="50320.39"/>
  </r>
  <r>
    <d v="2026-04-21T00:00:00"/>
    <x v="9"/>
    <s v="Inward Payment"/>
    <s v="FT26111MFQLQ"/>
    <x v="69"/>
    <s v="S L SERVICE CHARGE"/>
    <n v="50"/>
    <n v="50"/>
    <n v="50295.39"/>
  </r>
  <r>
    <d v="2026-04-21T00:00:00"/>
    <x v="9"/>
    <s v="Inward Payment"/>
    <s v="FT261117WVQR"/>
    <x v="163"/>
    <s v="ASHLEY"/>
    <n v="216.67"/>
    <n v="216.67"/>
    <n v="50245.39"/>
  </r>
  <r>
    <d v="2026-04-20T00:00:00"/>
    <x v="10"/>
    <s v="Account to Account Transfer"/>
    <s v="FT26110C5106"/>
    <x v="45"/>
    <s v="Transfer"/>
    <n v="-10751.36"/>
    <s v=""/>
    <n v="50028.72"/>
  </r>
  <r>
    <d v="2026-04-20T00:00:00"/>
    <x v="10"/>
    <s v="Inward Payment"/>
    <s v="FT2611000FV0"/>
    <x v="180"/>
    <s v="Sarah Jones"/>
    <n v="250"/>
    <n v="250"/>
    <n v="60780.08"/>
  </r>
  <r>
    <d v="2026-04-20T00:00:00"/>
    <x v="10"/>
    <s v="Account to Account Transfer"/>
    <s v="FT2611009M0J"/>
    <x v="4"/>
    <s v="CC RD/JB/LS/TP/PC/LG"/>
    <n v="-460"/>
    <s v=""/>
    <n v="60530.08"/>
  </r>
  <r>
    <d v="2026-04-20T00:00:00"/>
    <x v="10"/>
    <s v="Card Transaction"/>
    <s v="00001580192-20260417-1521148"/>
    <x v="181"/>
    <s v="GBR 20260416 FASTFIT NATIONWIDE LIM WORCESTERSHIR"/>
    <n v="-100"/>
    <s v=""/>
    <n v="60990.08"/>
  </r>
  <r>
    <d v="2026-04-20T00:00:00"/>
    <x v="10"/>
    <s v="Inward Payment"/>
    <s v="FT26110PPWGP"/>
    <x v="182"/>
    <s v="BETHANY REYNOLDS"/>
    <n v="307.84"/>
    <n v="307.84"/>
    <n v="61090.08"/>
  </r>
  <r>
    <d v="2026-04-20T00:00:00"/>
    <x v="10"/>
    <s v="Inward Payment"/>
    <s v="FT26110S6DT1"/>
    <x v="90"/>
    <s v="PAUL CAMPBELL HBSF"/>
    <n v="50"/>
    <n v="50"/>
    <n v="60782.24"/>
  </r>
  <r>
    <d v="2026-04-20T00:00:00"/>
    <x v="10"/>
    <s v="Inward Payment"/>
    <s v="FT26110FSH5L"/>
    <x v="90"/>
    <s v="PAUL CAMPBELL"/>
    <n v="50"/>
    <n v="50"/>
    <n v="60732.24"/>
  </r>
  <r>
    <d v="2026-04-20T00:00:00"/>
    <x v="10"/>
    <s v="Inward Payment"/>
    <s v="FT2611069FXK"/>
    <x v="95"/>
    <s v="TOBY PALETHORPE"/>
    <n v="100"/>
    <n v="100"/>
    <n v="60682.24"/>
  </r>
  <r>
    <d v="2026-04-20T00:00:00"/>
    <x v="10"/>
    <s v="Inward Payment"/>
    <s v="FT2611057MRT"/>
    <x v="97"/>
    <s v="ADAM ASTLEY"/>
    <n v="50"/>
    <n v="50"/>
    <n v="60582.24"/>
  </r>
  <r>
    <d v="2026-04-20T00:00:00"/>
    <x v="10"/>
    <s v="Direct Debit"/>
    <s v="DDC20260417206548"/>
    <x v="183"/>
    <s v="PEAC UK LTD AALF233608"/>
    <n v="-983.89"/>
    <s v=""/>
    <n v="60532.24"/>
  </r>
  <r>
    <d v="2026-04-20T00:00:00"/>
    <x v="10"/>
    <s v="Direct Debit"/>
    <s v="DDC20260417207236"/>
    <x v="184"/>
    <s v="WALSALL M.B.C 79157524"/>
    <n v="-218.48"/>
    <s v=""/>
    <n v="61516.13"/>
  </r>
  <r>
    <d v="2026-04-20T00:00:00"/>
    <x v="10"/>
    <s v="Direct Debit"/>
    <s v="DDC20260417207237"/>
    <x v="184"/>
    <s v="WALSALL M.B.C 79157538"/>
    <n v="-166.61"/>
    <s v=""/>
    <n v="61734.61"/>
  </r>
  <r>
    <d v="2026-04-20T00:00:00"/>
    <x v="10"/>
    <s v="Direct Debit"/>
    <s v="DDC20260417207235"/>
    <x v="184"/>
    <s v="WALSALL M.B.C 77714439"/>
    <n v="-131.68"/>
    <s v=""/>
    <n v="61901.22"/>
  </r>
  <r>
    <d v="2026-04-20T00:00:00"/>
    <x v="10"/>
    <s v="Direct Debit"/>
    <s v="DDC20260417259210"/>
    <x v="185"/>
    <s v="VIRGIN MEDIA PYMTS 055906302001"/>
    <n v="-69.26000000000001"/>
    <s v=""/>
    <n v="62032.9"/>
  </r>
  <r>
    <d v="2026-04-20T00:00:00"/>
    <x v="10"/>
    <s v="Direct Debit"/>
    <s v="DDC20260417225667"/>
    <x v="186"/>
    <s v="VWFS  UK  LIMITED 0000440140678785"/>
    <n v="-1752.19"/>
    <s v=""/>
    <n v="62102.16"/>
  </r>
  <r>
    <d v="2026-04-20T00:00:00"/>
    <x v="10"/>
    <s v="Direct Debit"/>
    <s v="DDC20260417260378"/>
    <x v="51"/>
    <s v="FEDERAL CAPITAL JAN3FCP-FC70666"/>
    <n v="-23316"/>
    <s v=""/>
    <n v="63854.35"/>
  </r>
  <r>
    <d v="2026-04-20T00:00:00"/>
    <x v="10"/>
    <s v="Direct Debit"/>
    <s v="DDC20260417222155"/>
    <x v="157"/>
    <s v="BNP PARIBAS LEASIN A1F50931  V5959977"/>
    <n v="-65.69"/>
    <s v=""/>
    <n v="87170.35000000001"/>
  </r>
  <r>
    <d v="2026-04-20T00:00:00"/>
    <x v="10"/>
    <s v="Direct Debit"/>
    <s v="DDC20260417251635"/>
    <x v="56"/>
    <s v="BRITISH GAS BUSINE 602950271050121000"/>
    <n v="-569.25"/>
    <s v=""/>
    <n v="87236.03999999999"/>
  </r>
  <r>
    <d v="2026-04-20T00:00:00"/>
    <x v="10"/>
    <s v="Direct Debit"/>
    <s v="DDC20260417251960"/>
    <x v="56"/>
    <s v="BRITISH GAS BUSINE 604100244301024000"/>
    <n v="-373.27"/>
    <s v=""/>
    <n v="87805.28999999999"/>
  </r>
  <r>
    <d v="2026-04-20T00:00:00"/>
    <x v="10"/>
    <s v="Direct Debit"/>
    <s v="DDC20260417251961"/>
    <x v="56"/>
    <s v="BRITISH GAS BUSINE 604100246301024000"/>
    <n v="-82.27"/>
    <s v=""/>
    <n v="88178.56"/>
  </r>
  <r>
    <d v="2026-04-20T00:00:00"/>
    <x v="10"/>
    <s v="Direct Debit"/>
    <s v="DDC20260417281984"/>
    <x v="135"/>
    <s v="ALD AUTOMOTIVE SQ2593192"/>
    <n v="-933.5"/>
    <s v=""/>
    <n v="88260.83"/>
  </r>
  <r>
    <d v="2026-04-20T00:00:00"/>
    <x v="10"/>
    <s v="Direct Debit"/>
    <s v="DDC20260417238514"/>
    <x v="187"/>
    <s v="THE SHOPWORKS SLSTYLE01"/>
    <n v="-8757.620000000001"/>
    <s v=""/>
    <n v="89194.33"/>
  </r>
  <r>
    <d v="2026-04-20T00:00:00"/>
    <x v="10"/>
    <s v="Direct Debit"/>
    <s v="DDC20260417233202"/>
    <x v="79"/>
    <s v="LDF FINANCE NO.3 L 02864"/>
    <n v="-6263.65"/>
    <s v=""/>
    <n v="97951.95"/>
  </r>
  <r>
    <d v="2026-04-20T00:00:00"/>
    <x v="10"/>
    <s v="Direct Debit"/>
    <s v="DDC20260417268735"/>
    <x v="188"/>
    <s v="QCS LTD B77GVKJ"/>
    <n v="-758.8"/>
    <s v=""/>
    <n v="104215.6"/>
  </r>
  <r>
    <d v="2026-04-20T00:00:00"/>
    <x v="10"/>
    <s v="BACS Payment Received"/>
    <s v="BACS20260417140050"/>
    <x v="189"/>
    <s v="ADONNELLY-607080-10025863 278961-ADONNELLY-&amp;--&amp;-000000003725929749 099 BACS CR ASHLEY DONNELLY"/>
    <n v="411.67"/>
    <n v="411.67"/>
    <n v="104974.4"/>
  </r>
  <r>
    <d v="2026-04-20T00:00:00"/>
    <x v="10"/>
    <s v="BACS Payment Received"/>
    <s v="BACS20260417100672"/>
    <x v="59"/>
    <s v="WALSALL METROPOLIT-206877-58552541 401256-WALSALL METROPOLIT-&amp;--&amp;-S HOLMES UTILITY 099 BACS CR SELECT LIFESTYLES"/>
    <n v="50"/>
    <n v="50"/>
    <n v="104562.73"/>
  </r>
  <r>
    <d v="2026-04-20T00:00:00"/>
    <x v="10"/>
    <s v="BACS Payment Received"/>
    <s v="BACS20260417100686"/>
    <x v="59"/>
    <s v="WALSALL METROPOLIT-206877-58552541 401256-WALSALL METROPOLIT-&amp;--&amp;-S P      S 099 BACS CR SELECT LIFESTYLES"/>
    <n v="50"/>
    <n v="50"/>
    <n v="104512.73"/>
  </r>
  <r>
    <d v="2026-04-20T00:00:00"/>
    <x v="10"/>
    <s v="BACS Payment Received"/>
    <s v="BACS20260417100688"/>
    <x v="59"/>
    <s v="WALSALL METROPOLIT-206877-58552541 401256-WALSALL METROPOLIT-&amp;--&amp;-LRG WEEKLY FOOD 099 BACS CR SELECT LIFESTYLES"/>
    <n v="50"/>
    <n v="50"/>
    <n v="104462.73"/>
  </r>
  <r>
    <d v="2026-04-20T00:00:00"/>
    <x v="10"/>
    <s v="BACS Payment Received"/>
    <s v="BACS20260417100673"/>
    <x v="59"/>
    <s v="WALSALL METROPOLIT-206877-58552541 401256-WALSALL METROPOLIT-&amp;--&amp;-LEO RONALD GUY 099 BACS CR SELECT LIFESTYLES"/>
    <n v="65"/>
    <n v="65"/>
    <n v="104412.73"/>
  </r>
  <r>
    <d v="2026-04-20T00:00:00"/>
    <x v="10"/>
    <s v="BACS Payment Received"/>
    <s v="BACS20260417100676"/>
    <x v="59"/>
    <s v="WALSALL METROPOLIT-206877-58552541 401256-WALSALL METROPOLIT-&amp;--&amp;-RBATE HB TOP UP 099 BACS CR SELECT LIFESTYLES"/>
    <n v="120"/>
    <n v="120"/>
    <n v="104347.73"/>
  </r>
  <r>
    <d v="2026-04-20T00:00:00"/>
    <x v="10"/>
    <s v="BACS Payment Received"/>
    <s v="BACS20260417100680"/>
    <x v="59"/>
    <s v="WALSALL METROPOLIT-206877-58552541 401256-WALSALL METROPOLIT-&amp;--&amp;-L R GUY RENT 099 BACS CR SELECT LIFESTYLES"/>
    <n v="120"/>
    <n v="120"/>
    <n v="104227.73"/>
  </r>
  <r>
    <d v="2026-04-20T00:00:00"/>
    <x v="10"/>
    <s v="BACS Payment Received"/>
    <s v="BACS20260417100682"/>
    <x v="59"/>
    <s v="WALSALL METROPOLIT-206877-58552541 401256-WALSALL METROPOLIT-&amp;--&amp;-TIA BRYON 099 BACS CR LIFESTYLES"/>
    <n v="120"/>
    <n v="120"/>
    <n v="104107.73"/>
  </r>
  <r>
    <d v="2026-04-20T00:00:00"/>
    <x v="10"/>
    <s v="BACS Payment Received"/>
    <s v="BACS20260417100678"/>
    <x v="59"/>
    <s v="WALSALL METROPOLIT-206877-58552541 401256-WALSALL METROPOLIT-&amp;--&amp;-PROGERS RENT/UTIL 099 BACS CR SELECT LIFESTYLES"/>
    <n v="145"/>
    <n v="145"/>
    <n v="103987.73"/>
  </r>
  <r>
    <d v="2026-04-20T00:00:00"/>
    <x v="10"/>
    <s v="BACS Payment Received"/>
    <s v="BACS20260417100687"/>
    <x v="59"/>
    <s v="WALSALL METROPOLIT-206877-58552541 401256-WALSALL METROPOLIT-&amp;--&amp;-KWILEMAN RENT 099 BACS CR SELECT LIFESTYLES"/>
    <n v="145"/>
    <n v="145"/>
    <n v="103842.73"/>
  </r>
  <r>
    <d v="2026-04-20T00:00:00"/>
    <x v="10"/>
    <s v="BACS Payment Received"/>
    <s v="BACS20260417100674"/>
    <x v="59"/>
    <s v="WALSALL METROPOLIT-206877-58552541 401256-WALSALL METROPOLIT-&amp;--&amp;-DSWAIN RENT &amp; SC 099 BACS CR SELECT LIFESTYLES"/>
    <n v="185"/>
    <n v="185"/>
    <n v="103697.73"/>
  </r>
  <r>
    <d v="2026-04-20T00:00:00"/>
    <x v="10"/>
    <s v="BACS Payment Received"/>
    <s v="BACS20260417100685"/>
    <x v="59"/>
    <s v="WALSALL METROPOLIT-206877-58552541 401256-WALSALL METROPOLIT-&amp;--&amp;-R      B    B 099 BACS CR SELECT LIFESTYLES"/>
    <n v="260"/>
    <n v="260"/>
    <n v="103512.73"/>
  </r>
  <r>
    <d v="2026-04-20T00:00:00"/>
    <x v="10"/>
    <s v="BACS Payment Received"/>
    <s v="BACS20260417100675"/>
    <x v="59"/>
    <s v="WALSALL METROPOLIT-206877-58552541 401256-WALSALL METROPOLIT-&amp;--&amp;-RENT &amp; SC  DDAVIES 099 BACS CR SELECT LIFESTYLES"/>
    <n v="580"/>
    <n v="580"/>
    <n v="103252.73"/>
  </r>
  <r>
    <d v="2026-04-20T00:00:00"/>
    <x v="10"/>
    <s v="BACS Payment Received"/>
    <s v="BACS20260417101157"/>
    <x v="190"/>
    <s v="SOLIHULL MBC EXP.-200771-00561525 990787-SOLIHULL MBC EXP.-&amp;--&amp;-353732 099 BACS CR SELECT LIFESTYLES"/>
    <n v="33639.34"/>
    <n v="33639.34"/>
    <n v="102672.73"/>
  </r>
  <r>
    <d v="2026-04-20T00:00:00"/>
    <x v="10"/>
    <s v="BACS Payment Received"/>
    <s v="BACS20260417147452"/>
    <x v="191"/>
    <s v="LONDON BOROUGH OF-308012-12992868 293730-LONDON BOROUGH OF-&amp;--&amp;-T PEART 099 BACS CR SELECT LIFESTYLES"/>
    <n v="260"/>
    <n v="260"/>
    <n v="69033.39"/>
  </r>
  <r>
    <d v="2026-04-20T00:00:00"/>
    <x v="10"/>
    <s v="BACS Payment Received"/>
    <s v="BACS20260417147453"/>
    <x v="191"/>
    <s v="LONDON BOROUGH OF-308012-12992868 293730-LONDON BOROUGH OF-&amp;--&amp;-TREVORPEART 099 BACS CR SELECT LIFESTYLES"/>
    <n v="480"/>
    <n v="480"/>
    <n v="68773.39"/>
  </r>
  <r>
    <d v="2026-04-20T00:00:00"/>
    <x v="10"/>
    <s v="Inward Payment"/>
    <s v="FT26110W5DL5"/>
    <x v="192"/>
    <s v="S CLARK - rent/uti"/>
    <n v="740"/>
    <n v="740"/>
    <n v="68293.39"/>
  </r>
  <r>
    <d v="2026-04-20T00:00:00"/>
    <x v="10"/>
    <s v="Inward Payment"/>
    <s v="FT26110Y4G96"/>
    <x v="193"/>
    <s v="STEVEN BLAND Utili"/>
    <n v="580"/>
    <n v="580"/>
    <n v="67553.39"/>
  </r>
  <r>
    <d v="2026-04-20T00:00:00"/>
    <x v="10"/>
    <s v="Inward Payment"/>
    <s v="FT26110133NR"/>
    <x v="194"/>
    <s v="NATHANFL"/>
    <n v="787.84"/>
    <n v="787.84"/>
    <n v="66973.39"/>
  </r>
  <r>
    <d v="2026-04-20T00:00:00"/>
    <x v="10"/>
    <s v="Inward Payment"/>
    <s v="FT261108LKDG"/>
    <x v="195"/>
    <s v="HILARY SUFFOLK SER"/>
    <n v="740"/>
    <n v="740"/>
    <n v="66185.55"/>
  </r>
  <r>
    <d v="2026-04-20T00:00:00"/>
    <x v="10"/>
    <s v="Inward Payment"/>
    <s v="FT26110JLP54"/>
    <x v="100"/>
    <s v="CHRISMIL"/>
    <n v="380"/>
    <n v="380"/>
    <n v="65445.55"/>
  </r>
  <r>
    <d v="2026-04-20T00:00:00"/>
    <x v="10"/>
    <s v="Inward Payment"/>
    <s v="FT2611052M1N"/>
    <x v="196"/>
    <s v="STEVEN MCMILLAN RE"/>
    <n v="740"/>
    <n v="740"/>
    <n v="65065.55"/>
  </r>
  <r>
    <d v="2026-04-20T00:00:00"/>
    <x v="10"/>
    <s v="Inward Payment"/>
    <s v="FT26110Y6P7C"/>
    <x v="197"/>
    <s v="ADAM PEILE rent"/>
    <n v="380"/>
    <n v="380"/>
    <n v="64325.55"/>
  </r>
  <r>
    <d v="2026-04-20T00:00:00"/>
    <x v="10"/>
    <s v="Inward Payment"/>
    <s v="FT261107K4DS"/>
    <x v="198"/>
    <s v="S COGHLANUtility/S"/>
    <n v="580"/>
    <n v="580"/>
    <n v="63945.55"/>
  </r>
  <r>
    <d v="2026-04-20T00:00:00"/>
    <x v="10"/>
    <s v="Inward Payment"/>
    <s v="FT26110FW2BJ"/>
    <x v="199"/>
    <s v="DAVIDCUL -UTILITY/"/>
    <n v="787.84"/>
    <n v="787.84"/>
    <n v="63365.55"/>
  </r>
  <r>
    <d v="2026-04-20T00:00:00"/>
    <x v="10"/>
    <s v="Inward Payment"/>
    <s v="FT2611066CT4"/>
    <x v="36"/>
    <s v="MARKEY GRAY-RENT"/>
    <n v="120"/>
    <n v="120"/>
    <n v="62577.71"/>
  </r>
  <r>
    <d v="2026-04-20T00:00:00"/>
    <x v="10"/>
    <s v="Inward Payment"/>
    <s v="FT2611080T5G"/>
    <x v="200"/>
    <s v="R Singh - Utility/"/>
    <n v="740"/>
    <n v="740"/>
    <n v="62457.71"/>
  </r>
  <r>
    <d v="2026-04-20T00:00:00"/>
    <x v="10"/>
    <s v="Inward Payment"/>
    <s v="FT26110XF426"/>
    <x v="201"/>
    <s v="BOBBY LI RENT UTI"/>
    <n v="787.84"/>
    <n v="787.84"/>
    <n v="61717.71"/>
  </r>
  <r>
    <d v="2026-04-20T00:00:00"/>
    <x v="10"/>
    <s v="Inward Payment"/>
    <s v="FT26110KDZ07"/>
    <x v="36"/>
    <s v="MARKER GRAY-UTILIT"/>
    <n v="65"/>
    <n v="65"/>
    <n v="60929.87"/>
  </r>
  <r>
    <d v="2026-04-20T00:00:00"/>
    <x v="10"/>
    <s v="Inward Payment"/>
    <s v="FT26110SQLXC"/>
    <x v="101"/>
    <s v="KATIE PARKER VEHIC"/>
    <n v="11.96"/>
    <n v="11.96"/>
    <n v="60864.87"/>
  </r>
  <r>
    <d v="2026-04-20T00:00:00"/>
    <x v="10"/>
    <s v="Inward Payment"/>
    <s v="FT261109DW21"/>
    <x v="98"/>
    <s v="DAVID MORRIS RENT"/>
    <n v="95"/>
    <n v="95"/>
    <n v="60852.91"/>
  </r>
  <r>
    <d v="2026-04-20T00:00:00"/>
    <x v="10"/>
    <s v="Inward Payment"/>
    <s v="FT26110YY1LV"/>
    <x v="101"/>
    <s v="KATIE PARKER UTILI"/>
    <n v="65"/>
    <n v="65"/>
    <n v="60757.91"/>
  </r>
  <r>
    <d v="2026-04-20T00:00:00"/>
    <x v="10"/>
    <s v="Inward Payment"/>
    <s v="FT261108S7SX"/>
    <x v="202"/>
    <s v="VRussell - Utiltiy"/>
    <n v="740"/>
    <n v="740"/>
    <n v="60692.91"/>
  </r>
  <r>
    <d v="2026-04-20T00:00:00"/>
    <x v="10"/>
    <s v="Inward Payment"/>
    <s v="FT26110T9J34"/>
    <x v="62"/>
    <s v="LEIGH AMES UTILITI"/>
    <n v="65"/>
    <n v="65"/>
    <n v="59952.91"/>
  </r>
  <r>
    <d v="2026-04-20T00:00:00"/>
    <x v="10"/>
    <s v="Inward Payment"/>
    <s v="FT26110HTYHB"/>
    <x v="203"/>
    <s v="JORDAN BURN RENT"/>
    <n v="580"/>
    <n v="580"/>
    <n v="59887.91"/>
  </r>
  <r>
    <d v="2026-04-20T00:00:00"/>
    <x v="10"/>
    <s v="Inward Payment"/>
    <s v="FT2611054KRC"/>
    <x v="61"/>
    <s v="ANTHONY MEACHIN RE"/>
    <n v="95"/>
    <n v="95"/>
    <n v="59307.91"/>
  </r>
  <r>
    <d v="2026-04-20T00:00:00"/>
    <x v="10"/>
    <s v="Inward Payment"/>
    <s v="FT26110DLGTP"/>
    <x v="99"/>
    <s v="GEMMA BAKER UTILIT"/>
    <n v="65"/>
    <n v="65"/>
    <n v="59212.91"/>
  </r>
  <r>
    <d v="2026-04-20T00:00:00"/>
    <x v="10"/>
    <s v="Inward Payment"/>
    <s v="FT26110SLNG9"/>
    <x v="100"/>
    <s v="CHRISTOPHER MILLIN"/>
    <n v="50"/>
    <n v="50"/>
    <n v="59147.91"/>
  </r>
  <r>
    <d v="2026-04-20T00:00:00"/>
    <x v="10"/>
    <s v="Inward Payment"/>
    <s v="FT261103ZHT4"/>
    <x v="103"/>
    <s v="SIMON KELLY WEEKLY"/>
    <n v="95"/>
    <n v="95"/>
    <n v="59097.91"/>
  </r>
  <r>
    <d v="2026-04-20T00:00:00"/>
    <x v="10"/>
    <s v="Inward Payment"/>
    <s v="FT26110PV9LW"/>
    <x v="63"/>
    <n v="38252"/>
    <n v="65"/>
    <n v="65"/>
    <n v="59002.91"/>
  </r>
  <r>
    <d v="2026-04-20T00:00:00"/>
    <x v="10"/>
    <s v="Inward Payment"/>
    <s v="FT26110V2XH7"/>
    <x v="101"/>
    <s v="KATIE PARKER RENT"/>
    <n v="6.08"/>
    <n v="6.08"/>
    <n v="58937.91"/>
  </r>
  <r>
    <d v="2026-04-20T00:00:00"/>
    <x v="10"/>
    <s v="Inward Payment"/>
    <s v="FT2611083B5D"/>
    <x v="204"/>
    <s v="Jade Foster-RentU"/>
    <n v="580"/>
    <n v="580"/>
    <n v="58931.83"/>
  </r>
  <r>
    <d v="2026-04-20T00:00:00"/>
    <x v="10"/>
    <s v="Inward Payment"/>
    <s v="FT26110BRVK2"/>
    <x v="98"/>
    <s v="DAVID MORRIS UTILI"/>
    <n v="50"/>
    <n v="50"/>
    <n v="58351.83"/>
  </r>
  <r>
    <d v="2026-04-20T00:00:00"/>
    <x v="10"/>
    <s v="Inward Payment"/>
    <s v="FT26110HFVNV"/>
    <x v="41"/>
    <s v="Jashuben Patel Ren"/>
    <n v="200"/>
    <n v="200"/>
    <n v="58301.83"/>
  </r>
  <r>
    <d v="2026-04-20T00:00:00"/>
    <x v="10"/>
    <s v="Inward Payment"/>
    <s v="FT26110PWNZF"/>
    <x v="103"/>
    <s v="SIMON KELLY UTILIT"/>
    <n v="50"/>
    <n v="50"/>
    <n v="58101.83"/>
  </r>
  <r>
    <d v="2026-04-20T00:00:00"/>
    <x v="10"/>
    <s v="Inward Payment"/>
    <s v="FT26110RGXF1"/>
    <x v="197"/>
    <s v="ADAM PEILE UTILITI"/>
    <n v="200"/>
    <n v="200"/>
    <n v="58051.83"/>
  </r>
  <r>
    <d v="2026-04-20T00:00:00"/>
    <x v="10"/>
    <s v="Inward Payment"/>
    <s v="FT26110NG1GC"/>
    <x v="116"/>
    <s v="RYAN LAWLEY"/>
    <n v="95"/>
    <n v="95"/>
    <n v="57851.83"/>
  </r>
  <r>
    <d v="2026-04-20T00:00:00"/>
    <x v="10"/>
    <s v="Inward Payment"/>
    <s v="FT26110FZQDK"/>
    <x v="16"/>
    <s v="J COOPER SC"/>
    <n v="50"/>
    <n v="50"/>
    <n v="57756.83"/>
  </r>
  <r>
    <d v="2026-04-20T00:00:00"/>
    <x v="10"/>
    <s v="Inward Payment"/>
    <s v="FT26110SGFRW"/>
    <x v="16"/>
    <s v="JAMES COOPER RENT"/>
    <n v="95"/>
    <n v="95"/>
    <n v="57706.83"/>
  </r>
  <r>
    <d v="2026-04-20T00:00:00"/>
    <x v="10"/>
    <s v="Inward Payment"/>
    <s v="FT26110BNQ5M"/>
    <x v="205"/>
    <s v="R WILKINS"/>
    <n v="200"/>
    <n v="200"/>
    <n v="57611.83"/>
  </r>
  <r>
    <d v="2026-04-20T00:00:00"/>
    <x v="10"/>
    <s v="Inward Payment"/>
    <s v="FT26110F1P1R"/>
    <x v="74"/>
    <s v="JOHN UPCOTT"/>
    <n v="145"/>
    <n v="145"/>
    <n v="57411.83"/>
  </r>
  <r>
    <d v="2026-04-20T00:00:00"/>
    <x v="10"/>
    <s v="Inward Payment"/>
    <s v="FT26110Y5TJ5"/>
    <x v="116"/>
    <s v="RYAN LAWLEY"/>
    <n v="50"/>
    <n v="50"/>
    <n v="57266.83"/>
  </r>
  <r>
    <d v="2026-04-20T00:00:00"/>
    <x v="10"/>
    <s v="Inward Payment"/>
    <s v="FT26110F9FZ3"/>
    <x v="89"/>
    <s v="ZACHARY J HUGHES"/>
    <n v="50"/>
    <n v="50"/>
    <n v="57216.83"/>
  </r>
  <r>
    <d v="2026-04-20T00:00:00"/>
    <x v="10"/>
    <s v="Inward Payment"/>
    <s v="FT26110F8G02"/>
    <x v="206"/>
    <s v="faith osayi enabul"/>
    <n v="216.67"/>
    <n v="216.67"/>
    <n v="57166.83"/>
  </r>
  <r>
    <d v="2026-04-20T00:00:00"/>
    <x v="10"/>
    <s v="Inward Payment"/>
    <s v="FT26110YYM4M"/>
    <x v="104"/>
    <s v="AMY ELWELL"/>
    <n v="50"/>
    <n v="50"/>
    <n v="56950.16"/>
  </r>
  <r>
    <d v="2026-04-20T00:00:00"/>
    <x v="10"/>
    <s v="Inward Payment"/>
    <s v="FT26110H4W69"/>
    <x v="23"/>
    <s v="SERVICE CHARGE PW"/>
    <n v="50"/>
    <n v="50"/>
    <n v="56900.16"/>
  </r>
  <r>
    <d v="2026-04-20T00:00:00"/>
    <x v="10"/>
    <s v="Inward Payment"/>
    <s v="FT26110JGNJX"/>
    <x v="37"/>
    <s v="DANIEL MEHMI"/>
    <n v="95"/>
    <n v="95"/>
    <n v="56850.16"/>
  </r>
  <r>
    <d v="2026-04-20T00:00:00"/>
    <x v="10"/>
    <s v="Inward Payment"/>
    <s v="FT26110BTLW9"/>
    <x v="111"/>
    <s v="LOUISE ROBERTS"/>
    <n v="50"/>
    <n v="50"/>
    <n v="56755.16"/>
  </r>
  <r>
    <d v="2026-04-20T00:00:00"/>
    <x v="10"/>
    <s v="Inward Payment"/>
    <s v="FT2611047H24"/>
    <x v="207"/>
    <s v="BDWYER RENT"/>
    <n v="380"/>
    <n v="380"/>
    <n v="56705.16"/>
  </r>
  <r>
    <d v="2026-04-20T00:00:00"/>
    <x v="10"/>
    <s v="Inward Payment"/>
    <s v="FT261107HL0W"/>
    <x v="114"/>
    <s v="DAVID SEABRIGHT"/>
    <n v="120"/>
    <n v="120"/>
    <n v="56325.16"/>
  </r>
  <r>
    <d v="2026-04-20T00:00:00"/>
    <x v="10"/>
    <s v="Inward Payment"/>
    <s v="FT261100PV7C"/>
    <x v="110"/>
    <s v="DAVID WILCOX"/>
    <n v="580"/>
    <n v="580"/>
    <n v="56205.16"/>
  </r>
  <r>
    <d v="2026-04-20T00:00:00"/>
    <x v="10"/>
    <s v="Inward Payment"/>
    <s v="FT26110Q5NZG"/>
    <x v="108"/>
    <s v="LAUREN SMITH"/>
    <n v="150"/>
    <n v="150"/>
    <n v="55625.16"/>
  </r>
  <r>
    <d v="2026-04-20T00:00:00"/>
    <x v="10"/>
    <s v="Inward Payment"/>
    <s v="FT26110ZC1JD"/>
    <x v="107"/>
    <s v="MRS M WOLVERSON"/>
    <n v="6.08"/>
    <n v="6.08"/>
    <n v="55475.16"/>
  </r>
  <r>
    <d v="2026-04-20T00:00:00"/>
    <x v="10"/>
    <s v="Inward Payment"/>
    <s v="FT26110DKWK2"/>
    <x v="105"/>
    <s v="DAVID PILLINGER"/>
    <n v="65"/>
    <n v="65"/>
    <n v="55469.08"/>
  </r>
  <r>
    <d v="2026-04-20T00:00:00"/>
    <x v="10"/>
    <s v="Inward Payment"/>
    <s v="FT261101PW0X"/>
    <x v="105"/>
    <s v="DPILLINGER TRANSP"/>
    <n v="11.96"/>
    <n v="11.96"/>
    <n v="55404.08"/>
  </r>
  <r>
    <d v="2026-04-20T00:00:00"/>
    <x v="10"/>
    <s v="Inward Payment"/>
    <s v="FT26110V3KS5"/>
    <x v="208"/>
    <s v="LAURA CRESSWELL"/>
    <n v="380"/>
    <n v="380"/>
    <n v="55392.12"/>
  </r>
  <r>
    <d v="2026-04-20T00:00:00"/>
    <x v="10"/>
    <s v="Inward Payment"/>
    <s v="FT26110VKKKP"/>
    <x v="207"/>
    <s v="BRETT DWYER"/>
    <n v="200"/>
    <n v="200"/>
    <n v="55012.12"/>
  </r>
  <r>
    <d v="2026-04-20T00:00:00"/>
    <x v="10"/>
    <s v="Inward Payment"/>
    <s v="FT26110PTHL6"/>
    <x v="112"/>
    <s v="GARY EDWARDS"/>
    <n v="50"/>
    <n v="50"/>
    <n v="54812.12"/>
  </r>
  <r>
    <d v="2026-04-20T00:00:00"/>
    <x v="10"/>
    <s v="Inward Payment"/>
    <s v="FT26110H9V5T"/>
    <x v="106"/>
    <s v="ANTHONY FRANCE"/>
    <n v="50"/>
    <n v="50"/>
    <n v="54762.12"/>
  </r>
  <r>
    <d v="2026-04-20T00:00:00"/>
    <x v="10"/>
    <s v="Inward Payment"/>
    <s v="FT26110G2J9G"/>
    <x v="113"/>
    <s v="WESTLEY YATES"/>
    <n v="50"/>
    <n v="50"/>
    <n v="54712.12"/>
  </r>
  <r>
    <d v="2026-04-20T00:00:00"/>
    <x v="10"/>
    <s v="Inward Payment"/>
    <s v="FT26110NW140"/>
    <x v="209"/>
    <s v="GARYEDWA"/>
    <n v="380"/>
    <n v="380"/>
    <n v="54662.12"/>
  </r>
  <r>
    <d v="2026-04-20T00:00:00"/>
    <x v="10"/>
    <s v="Inward Payment"/>
    <s v="FT261100KCPT"/>
    <x v="110"/>
    <s v="LOUISE ROBERTS"/>
    <n v="95"/>
    <n v="95"/>
    <n v="54282.12"/>
  </r>
  <r>
    <d v="2026-04-20T00:00:00"/>
    <x v="10"/>
    <s v="Inward Payment"/>
    <s v="FT26110ZQ44P"/>
    <x v="117"/>
    <s v="NO REF"/>
    <n v="50"/>
    <n v="50"/>
    <n v="54187.12"/>
  </r>
  <r>
    <d v="2026-04-20T00:00:00"/>
    <x v="10"/>
    <s v="Inward Payment"/>
    <s v="FT261105WHLH"/>
    <x v="208"/>
    <s v="L CRESSWELL"/>
    <n v="200"/>
    <n v="200"/>
    <n v="54137.12"/>
  </r>
  <r>
    <d v="2026-04-20T00:00:00"/>
    <x v="10"/>
    <s v="Inward Payment"/>
    <s v="FT26110KX34W"/>
    <x v="114"/>
    <s v="DAVID SEABRIGHT"/>
    <n v="260"/>
    <n v="260"/>
    <n v="53937.12"/>
  </r>
  <r>
    <d v="2026-04-20T00:00:00"/>
    <x v="10"/>
    <s v="Inward Payment"/>
    <s v="FT26110PRB79"/>
    <x v="109"/>
    <s v="A FRANCE - RENT"/>
    <n v="95"/>
    <n v="95"/>
    <n v="53677.12"/>
  </r>
  <r>
    <d v="2026-04-20T00:00:00"/>
    <x v="10"/>
    <s v="Inward Payment"/>
    <s v="FT26110N5GX3"/>
    <x v="115"/>
    <s v="FOOD SHOPPING"/>
    <n v="50"/>
    <n v="50"/>
    <n v="53582.12"/>
  </r>
  <r>
    <d v="2026-04-20T00:00:00"/>
    <x v="10"/>
    <s v="Inward Payment"/>
    <s v="FT26110PP6CM"/>
    <x v="210"/>
    <s v="MR A WALLACE"/>
    <n v="580"/>
    <n v="580"/>
    <n v="53532.12"/>
  </r>
  <r>
    <d v="2026-04-20T00:00:00"/>
    <x v="10"/>
    <s v="Inward Payment"/>
    <s v="FT26110HYN86"/>
    <x v="118"/>
    <s v="JAMES EASTWOOD"/>
    <n v="50"/>
    <n v="50"/>
    <n v="52952.12"/>
  </r>
  <r>
    <d v="2026-04-20T00:00:00"/>
    <x v="10"/>
    <s v="Inward Payment"/>
    <s v="FT26110VR323"/>
    <x v="119"/>
    <s v="select Utility"/>
    <n v="50"/>
    <n v="50"/>
    <n v="52902.12"/>
  </r>
  <r>
    <d v="2026-04-20T00:00:00"/>
    <x v="10"/>
    <s v="Inward Payment"/>
    <s v="FT26110CLLMB"/>
    <x v="211"/>
    <s v="D MORRISSEY-LIMB"/>
    <n v="190"/>
    <n v="190"/>
    <n v="52852.12"/>
  </r>
  <r>
    <d v="2026-04-20T00:00:00"/>
    <x v="10"/>
    <s v="Inward Payment"/>
    <s v="FT26110TDYD6"/>
    <x v="120"/>
    <s v="SHEYLLA"/>
    <n v="120"/>
    <n v="120"/>
    <n v="52662.12"/>
  </r>
  <r>
    <d v="2026-04-17T00:00:00"/>
    <x v="11"/>
    <s v="Inward Payment"/>
    <s v="FT2610716ZB4"/>
    <x v="212"/>
    <n v="44395"/>
    <n v="706.53"/>
    <n v="706.53"/>
    <n v="52542.12"/>
  </r>
  <r>
    <d v="2026-04-17T00:00:00"/>
    <x v="12"/>
    <s v="Account to Account Transfer"/>
    <s v="FT261070S2G7"/>
    <x v="4"/>
    <s v="CC NC/JW"/>
    <n v="-1449.85"/>
    <s v=""/>
    <n v="51835.59"/>
  </r>
  <r>
    <d v="2026-04-17T00:00:00"/>
    <x v="12"/>
    <s v="Outward Faster Payment"/>
    <s v="FT26107RV168"/>
    <x v="213"/>
    <s v="SLS001"/>
    <n v="-1950.62"/>
    <s v=""/>
    <n v="53285.44"/>
  </r>
  <r>
    <d v="2026-04-17T00:00:00"/>
    <x v="12"/>
    <s v="Outward Faster Payment"/>
    <s v="FT26107S2BMK"/>
    <x v="1"/>
    <s v="SDLT Carbon 46047"/>
    <n v="-1992"/>
    <s v=""/>
    <n v="55236.06"/>
  </r>
  <r>
    <d v="2026-04-17T00:00:00"/>
    <x v="12"/>
    <s v="Outward Faster Payment"/>
    <s v="FT26107W57YC"/>
    <x v="214"/>
    <s v="Select Lifestyles"/>
    <n v="-825.6"/>
    <s v=""/>
    <n v="57228.06"/>
  </r>
  <r>
    <d v="2026-04-17T00:00:00"/>
    <x v="12"/>
    <s v="Outward Faster Payment"/>
    <s v="FT2610766SY2"/>
    <x v="1"/>
    <s v="SDLT Carbon 46047"/>
    <n v="-45"/>
    <s v=""/>
    <n v="58053.66"/>
  </r>
  <r>
    <d v="2026-04-17T00:00:00"/>
    <x v="12"/>
    <s v="Outward Faster Payment"/>
    <s v="FT261070SD2F"/>
    <x v="215"/>
    <s v="Select Lifestyles"/>
    <n v="-806.17"/>
    <s v=""/>
    <n v="58098.66"/>
  </r>
  <r>
    <d v="2026-04-17T00:00:00"/>
    <x v="12"/>
    <s v="Inward Payment"/>
    <s v="FT26107ZZS8Z"/>
    <x v="216"/>
    <s v="BEN PARTON 44398"/>
    <n v="706.53"/>
    <n v="706.53"/>
    <n v="58904.83"/>
  </r>
  <r>
    <d v="2026-04-17T00:00:00"/>
    <x v="12"/>
    <s v="Inward Payment"/>
    <s v="FT261077T1RG"/>
    <x v="28"/>
    <s v="FDMS 510799083"/>
    <n v="1020"/>
    <n v="1020"/>
    <n v="58198.3"/>
  </r>
  <r>
    <d v="2026-04-17T00:00:00"/>
    <x v="12"/>
    <s v="Inward Payment"/>
    <s v="FT26107M5W77"/>
    <x v="143"/>
    <s v="WEEKLY RENT PAUL B"/>
    <n v="95"/>
    <n v="95"/>
    <n v="57178.3"/>
  </r>
  <r>
    <d v="2026-04-17T00:00:00"/>
    <x v="12"/>
    <s v="Inward Payment"/>
    <s v="FT261079Q4LR"/>
    <x v="143"/>
    <s v="PAUL BATSON WKLY U"/>
    <n v="50"/>
    <n v="50"/>
    <n v="57083.3"/>
  </r>
  <r>
    <d v="2026-04-17T00:00:00"/>
    <x v="12"/>
    <s v="Inward Payment"/>
    <s v="FT2610784WLL"/>
    <x v="7"/>
    <s v="AMY G3"/>
    <n v="520"/>
    <n v="520"/>
    <n v="57033.3"/>
  </r>
  <r>
    <d v="2026-04-17T00:00:00"/>
    <x v="12"/>
    <s v="Card Transaction"/>
    <s v="00001580192-20260416-1520598"/>
    <x v="217"/>
    <s v="GBR 20260415 OS MAPS SHOP SOUTHAMPTON"/>
    <n v="-27.98"/>
    <s v=""/>
    <n v="56513.3"/>
  </r>
  <r>
    <d v="2026-04-17T00:00:00"/>
    <x v="12"/>
    <s v="Card Transaction"/>
    <s v="00001580192-20260416-1520588"/>
    <x v="218"/>
    <s v="GBR 20260415 ACCEPT CARDS LTD ELLAND"/>
    <n v="-12"/>
    <s v=""/>
    <n v="56541.28"/>
  </r>
  <r>
    <d v="2026-04-17T00:00:00"/>
    <x v="12"/>
    <s v="Direct Debit"/>
    <s v="DDC20260416201352"/>
    <x v="133"/>
    <s v="BIZLEND LTD GBP AC BIZLEND4444"/>
    <n v="-5625"/>
    <s v=""/>
    <n v="56553.28"/>
  </r>
  <r>
    <d v="2026-04-17T00:00:00"/>
    <x v="12"/>
    <s v="BACS Payment Received"/>
    <s v="BACS20260416125990"/>
    <x v="219"/>
    <s v="MBROUGH COUNCIL-541004-94586454 972304-MBROUGH COUNCIL-&amp;--&amp;-2604158-369 312709 099 BACS CR SELECT LIFESTYLES"/>
    <n v="6115.4"/>
    <n v="6115.4"/>
    <n v="62178.28"/>
  </r>
  <r>
    <d v="2026-04-17T00:00:00"/>
    <x v="12"/>
    <s v="BACS Payment Received"/>
    <s v="BACS20260416118904"/>
    <x v="220"/>
    <s v="N COPSON-607080-10025863 278961-N COPSON-&amp;--&amp;-000000003721409930 099 BACS CR NATHANIEL COPSON"/>
    <n v="411.67"/>
    <n v="411.67"/>
    <n v="56062.88"/>
  </r>
  <r>
    <d v="2026-04-17T00:00:00"/>
    <x v="12"/>
    <s v="BACS Payment Received"/>
    <s v="BACS20260416122095"/>
    <x v="221"/>
    <s v="LMALFORD-607080-10025863 278961-LMALFORD-&amp;--&amp;-000000003721661018 099 BACS CR LEE ALFORD"/>
    <n v="411.67"/>
    <n v="411.67"/>
    <n v="55651.21"/>
  </r>
  <r>
    <d v="2026-04-17T00:00:00"/>
    <x v="12"/>
    <s v="BACS Payment Received"/>
    <s v="BACS20260416118911"/>
    <x v="222"/>
    <s v="JTINDALL-607080-10025863 278961-JTINDALL-&amp;--&amp;-000000003721411695 099 BACS CR JAMIE TINDALL"/>
    <n v="495"/>
    <n v="495"/>
    <n v="55239.54"/>
  </r>
  <r>
    <d v="2026-04-17T00:00:00"/>
    <x v="12"/>
    <s v="BACS Payment Received"/>
    <s v="BACS20260416121041"/>
    <x v="223"/>
    <s v="MKAY-607080-10025863 278961-MKAY-&amp;--&amp;-000000003721742741 099 BACS CR MARSHA KAY"/>
    <n v="495"/>
    <n v="495"/>
    <n v="54744.54"/>
  </r>
  <r>
    <d v="2026-04-17T00:00:00"/>
    <x v="12"/>
    <s v="BACS Payment Received"/>
    <s v="BACS20260416101139"/>
    <x v="59"/>
    <s v="WALSALL METROPOLIT-206877-58552541 401256-WALSALL METROPOLIT-&amp;--&amp;-N SMITH SC 099 BACS CR SELECT LIFESTYLES"/>
    <n v="50"/>
    <n v="50"/>
    <n v="54249.54"/>
  </r>
  <r>
    <d v="2026-04-17T00:00:00"/>
    <x v="12"/>
    <s v="BACS Payment Received"/>
    <s v="BACS20260416101140"/>
    <x v="59"/>
    <s v="WALSALL METROPOLIT-206877-58552541 401256-WALSALL METROPOLIT-&amp;--&amp;-NM SMITH RENT 099 BACS CR SELECT LIFESTYLES"/>
    <n v="95"/>
    <n v="95"/>
    <n v="54199.54"/>
  </r>
  <r>
    <d v="2026-04-17T00:00:00"/>
    <x v="12"/>
    <s v="BACS Payment Received"/>
    <s v="BACS20260416101141"/>
    <x v="59"/>
    <s v="WALSALL METROPOLIT-206877-58552541 401256-WALSALL METROPOLIT-&amp;--&amp;-S        R 099 BACS CR SELECT LIFESTYLES"/>
    <n v="95"/>
    <n v="95"/>
    <n v="54104.54"/>
  </r>
  <r>
    <d v="2026-04-17T00:00:00"/>
    <x v="12"/>
    <s v="BACS Payment Received"/>
    <s v="BACS20260416101144"/>
    <x v="59"/>
    <s v="WALSALL METROPOLIT-206877-58552541 401256-WALSALL METROPOLIT-&amp;--&amp;-S HOLMES UTILITY 099 BACS CR SELECT LIFESTYLES"/>
    <n v="95"/>
    <n v="95"/>
    <n v="54009.54"/>
  </r>
  <r>
    <d v="2026-04-17T00:00:00"/>
    <x v="12"/>
    <s v="BACS Payment Received"/>
    <s v="BACS20260416101145"/>
    <x v="59"/>
    <s v="WALSALL METROPOLIT-206877-58552541 401256-WALSALL METROPOLIT-&amp;--&amp;-S B     W     R 099 BACS CR SELECT LIFESTYLES"/>
    <n v="95"/>
    <n v="95"/>
    <n v="53914.54"/>
  </r>
  <r>
    <d v="2026-04-17T00:00:00"/>
    <x v="12"/>
    <s v="BACS Payment Received"/>
    <s v="BACS20260416101142"/>
    <x v="59"/>
    <s v="WALSALL METROPOLIT-206877-58552541 401256-WALSALL METROPOLIT-&amp;--&amp;-RORY WESLEY UTIL 099 BACS CR SELECT LIFESTYLE"/>
    <n v="580"/>
    <n v="580"/>
    <n v="53819.54"/>
  </r>
  <r>
    <d v="2026-04-17T00:00:00"/>
    <x v="12"/>
    <s v="BACS Payment Received"/>
    <s v="BACS20260416116877"/>
    <x v="224"/>
    <s v="FOENABULELE-607080-10025863 278961-FOENABULELE-&amp;--&amp;-000000003721506674 099 BACS CR FAITH OSAYI-ENABUL"/>
    <n v="411.67"/>
    <n v="411.67"/>
    <n v="53239.54"/>
  </r>
  <r>
    <d v="2026-04-17T00:00:00"/>
    <x v="12"/>
    <s v="BACS Payment Received"/>
    <s v="BACS20260416117559"/>
    <x v="225"/>
    <s v="YDHILLION-607080-10025863 278961-YDHILLION-&amp;--&amp;-000000003722047120 099 BACS CR YADVINDRA DHILLON"/>
    <n v="411.67"/>
    <n v="411.67"/>
    <n v="52827.87"/>
  </r>
  <r>
    <d v="2026-04-17T00:00:00"/>
    <x v="12"/>
    <s v="BACS Payment Received"/>
    <s v="BACS20260416117079"/>
    <x v="226"/>
    <s v="HBOWATER-607080-10025863 278961-HBOWATER-&amp;--&amp;-000000003721478122 099 BACS CR HAYLEIGH BOWATER"/>
    <n v="495"/>
    <n v="495"/>
    <n v="52416.2"/>
  </r>
  <r>
    <d v="2026-04-17T00:00:00"/>
    <x v="12"/>
    <s v="Inward Payment"/>
    <s v="FT2610704XWL"/>
    <x v="146"/>
    <s v="D WOODHALL"/>
    <n v="45"/>
    <n v="45"/>
    <n v="51921.2"/>
  </r>
  <r>
    <d v="2026-04-17T00:00:00"/>
    <x v="12"/>
    <s v="Inward Payment"/>
    <s v="FT26107XMRBZ"/>
    <x v="227"/>
    <s v="ULIATY"/>
    <n v="216.67"/>
    <n v="216.67"/>
    <n v="51876.2"/>
  </r>
  <r>
    <d v="2026-04-17T00:00:00"/>
    <x v="12"/>
    <s v="Inward Payment"/>
    <s v="FT261078H9F1"/>
    <x v="107"/>
    <s v="ANGELA WOLVERSON"/>
    <n v="65"/>
    <n v="65"/>
    <n v="51659.53"/>
  </r>
  <r>
    <d v="2026-04-17T00:00:00"/>
    <x v="12"/>
    <s v="Inward Payment"/>
    <s v="FT261073RSDJ"/>
    <x v="228"/>
    <s v="J NATTA"/>
    <n v="195"/>
    <n v="195"/>
    <n v="51594.53"/>
  </r>
  <r>
    <d v="2026-04-17T00:00:00"/>
    <x v="12"/>
    <s v="Inward Payment"/>
    <s v="FT2610743551"/>
    <x v="227"/>
    <s v="ULIATY"/>
    <n v="411.65"/>
    <n v="411.65"/>
    <n v="51399.53"/>
  </r>
  <r>
    <d v="2026-04-17T00:00:00"/>
    <x v="12"/>
    <s v="Inward Payment"/>
    <s v="FT26107HV9BZ"/>
    <x v="147"/>
    <s v="BRANLUCASSERVICE"/>
    <n v="50"/>
    <n v="50"/>
    <n v="50987.88"/>
  </r>
  <r>
    <d v="2026-04-17T00:00:00"/>
    <x v="12"/>
    <s v="Inward Payment"/>
    <s v="FT26107QLLFN"/>
    <x v="229"/>
    <s v="N COPSON"/>
    <n v="642.12"/>
    <n v="642.12"/>
    <n v="50937.88"/>
  </r>
  <r>
    <d v="2026-04-17T00:00:00"/>
    <x v="12"/>
    <s v="Inward Payment"/>
    <s v="FT261078551S"/>
    <x v="148"/>
    <s v="R DAWSON RENT"/>
    <n v="50"/>
    <n v="50"/>
    <n v="50295.76"/>
  </r>
  <r>
    <d v="2026-04-16T00:00:00"/>
    <x v="13"/>
    <s v="Outward Faster Payment"/>
    <s v="FT261064JWGX"/>
    <x v="230"/>
    <s v="Id"/>
    <n v="-9000"/>
    <s v=""/>
    <n v="50245.76"/>
  </r>
  <r>
    <d v="2026-04-16T00:00:00"/>
    <x v="13"/>
    <s v="Account to Account Transfer"/>
    <s v="FT26106T1H0F"/>
    <x v="45"/>
    <s v="Transfer"/>
    <n v="-135733.12"/>
    <s v=""/>
    <n v="59245.76"/>
  </r>
  <r>
    <d v="2026-04-16T00:00:00"/>
    <x v="13"/>
    <s v="Inward Payment"/>
    <s v="FT2610682CY3"/>
    <x v="28"/>
    <s v="FDMS 510799083"/>
    <n v="524.4"/>
    <n v="524.4"/>
    <n v="194978.88"/>
  </r>
  <r>
    <d v="2026-04-16T00:00:00"/>
    <x v="13"/>
    <s v="Account to Account Transfer"/>
    <s v="FT261069T2GB"/>
    <x v="4"/>
    <s v="CC MG/CJ"/>
    <n v="-400"/>
    <s v=""/>
    <n v="194454.48"/>
  </r>
  <r>
    <d v="2026-04-16T00:00:00"/>
    <x v="13"/>
    <s v="Inward Payment"/>
    <s v="FT261066KWVV"/>
    <x v="7"/>
    <s v="LIFESTYLES"/>
    <n v="65"/>
    <n v="65"/>
    <n v="194854.48"/>
  </r>
  <r>
    <d v="2026-04-16T00:00:00"/>
    <x v="13"/>
    <s v="Card Transaction"/>
    <s v="00001580192-20260415-1521049"/>
    <x v="231"/>
    <s v="GBR 20260414 SANDWICH-HOUSE.CO.UK WEDNESBURY"/>
    <n v="-41.43"/>
    <s v=""/>
    <n v="194789.48"/>
  </r>
  <r>
    <d v="2026-04-16T00:00:00"/>
    <x v="13"/>
    <s v="Outward Faster Payment"/>
    <s v="FT26105VLN0H"/>
    <x v="232"/>
    <n v="5711"/>
    <n v="-30.45"/>
    <s v=""/>
    <n v="194830.91"/>
  </r>
  <r>
    <d v="2026-04-16T00:00:00"/>
    <x v="13"/>
    <s v="Direct Debit"/>
    <s v="DDC20260415217247"/>
    <x v="233"/>
    <s v="ALPHABET GB 0PRT468410"/>
    <n v="-245.54"/>
    <s v=""/>
    <n v="194861.36"/>
  </r>
  <r>
    <d v="2026-04-16T00:00:00"/>
    <x v="13"/>
    <s v="Direct Debit"/>
    <s v="DDC20260415229256"/>
    <x v="56"/>
    <s v="BRITISH GAS BUSINE 602950335100222000"/>
    <n v="-1722.77"/>
    <s v=""/>
    <n v="195106.9"/>
  </r>
  <r>
    <d v="2026-04-16T00:00:00"/>
    <x v="13"/>
    <s v="Direct Debit"/>
    <s v="DDC20260415229344"/>
    <x v="56"/>
    <s v="BRITISH GAS BUSINE 600887064301123000"/>
    <n v="-543.86"/>
    <s v=""/>
    <n v="196829.67"/>
  </r>
  <r>
    <d v="2026-04-16T00:00:00"/>
    <x v="13"/>
    <s v="Direct Debit"/>
    <s v="DDC20260415229616"/>
    <x v="234"/>
    <s v="WATER PLUS 0983022495"/>
    <n v="-15.51"/>
    <s v=""/>
    <n v="197373.53"/>
  </r>
  <r>
    <d v="2026-04-16T00:00:00"/>
    <x v="13"/>
    <s v="Direct Debit"/>
    <s v="DDC20260415200125"/>
    <x v="235"/>
    <s v="FDMS 510799083 SVCCHG"/>
    <n v="-82.3"/>
    <s v=""/>
    <n v="197389.04"/>
  </r>
  <r>
    <d v="2026-04-16T00:00:00"/>
    <x v="13"/>
    <s v="Direct Debit"/>
    <s v="DDC20260415239563"/>
    <x v="236"/>
    <s v="SAGE SOFTWARE LTD 4TJ8JKF"/>
    <n v="-834.6"/>
    <s v=""/>
    <n v="197471.34"/>
  </r>
  <r>
    <d v="2026-04-16T00:00:00"/>
    <x v="13"/>
    <s v="Inward Payment"/>
    <s v="FT26106T7600"/>
    <x v="16"/>
    <s v="JOSIAHLEE"/>
    <n v="50"/>
    <n v="50"/>
    <n v="198305.94"/>
  </r>
  <r>
    <d v="2026-04-16T00:00:00"/>
    <x v="13"/>
    <s v="Inward Payment"/>
    <s v="FT26106HHP5D"/>
    <x v="15"/>
    <s v="COLLEEN JOHNSON"/>
    <n v="300"/>
    <n v="300"/>
    <n v="198255.94"/>
  </r>
  <r>
    <d v="2026-04-16T00:00:00"/>
    <x v="13"/>
    <s v="BACS Payment Received"/>
    <s v="BACS20260415109180"/>
    <x v="237"/>
    <s v="DWOODHALL-607080-10025863 278961-DWOODHALL-&amp;--&amp;-000000003719073251 099 BACS CR DONOVAN WOODHALL"/>
    <n v="411.67"/>
    <n v="411.67"/>
    <n v="197955.94"/>
  </r>
  <r>
    <d v="2026-04-16T00:00:00"/>
    <x v="13"/>
    <s v="BACS Payment Received"/>
    <s v="BACS20260415109210"/>
    <x v="238"/>
    <s v="JNATTA-607080-10025863 278961-JNATTA-&amp;--&amp;-000000003719111290 099 BACS CR JORDAN NATTA"/>
    <n v="411.67"/>
    <n v="411.67"/>
    <n v="197544.27"/>
  </r>
  <r>
    <d v="2026-04-16T00:00:00"/>
    <x v="13"/>
    <s v="BACS Payment Received"/>
    <s v="BACS20260415109216"/>
    <x v="239"/>
    <s v="RSHAMREZ-607080-10025863 278961-RSHAMREZ-&amp;--&amp;-000000003719114383 099 BACS CR REEHAN SHAMREZ"/>
    <n v="411.67"/>
    <n v="411.67"/>
    <n v="197132.6"/>
  </r>
  <r>
    <d v="2026-04-16T00:00:00"/>
    <x v="13"/>
    <s v="BACS Payment Received"/>
    <s v="BACS20260415109612"/>
    <x v="240"/>
    <s v="TCHEEMA-607080-10025863 278961-TCHEEMA-&amp;--&amp;-000000003719083751 099 BACS CR TARENBIR CHEEMA"/>
    <n v="411.67"/>
    <n v="411.67"/>
    <n v="196720.93"/>
  </r>
  <r>
    <d v="2026-04-16T00:00:00"/>
    <x v="13"/>
    <s v="BACS Payment Received"/>
    <s v="BACS20260415109614"/>
    <x v="241"/>
    <s v="CJOHNSON-607080-10025863 278961-CJOHNSON-&amp;--&amp;-000000003719079075 099 BACS CR COLLEEN JOHNSON"/>
    <n v="411.67"/>
    <n v="411.67"/>
    <n v="196309.26"/>
  </r>
  <r>
    <d v="2026-04-16T00:00:00"/>
    <x v="13"/>
    <s v="BACS Payment Received"/>
    <s v="BACS20260415109642"/>
    <x v="242"/>
    <s v="AELWELL-607080-10025863 278961-AELWELL-&amp;--&amp;-000000003719086139 099 BACS CR AMIE ELWELL"/>
    <n v="411.67"/>
    <n v="411.67"/>
    <n v="195897.59"/>
  </r>
  <r>
    <d v="2026-04-16T00:00:00"/>
    <x v="13"/>
    <s v="BACS Payment Received"/>
    <s v="BACS20260415112193"/>
    <x v="21"/>
    <s v="WOLVERHAMPTON CC-560069-44470320 972860-WOLVERHAMPTON CC-&amp;--&amp;-0 099 BACS CR SELECT LIFESTYLES"/>
    <n v="141270.76"/>
    <n v="141270.76"/>
    <n v="195485.92"/>
  </r>
  <r>
    <d v="2026-04-16T00:00:00"/>
    <x v="13"/>
    <s v="BACS Payment Received"/>
    <s v="BACS20260415104521"/>
    <x v="243"/>
    <s v="LBH PAYMENTS BACS-602210-72430192 736987-LBH PAYMENTS BACS-&amp;--&amp;- 099 BACS CR SELECT LIFESTYLES"/>
    <n v="5203.8"/>
    <n v="5203.8"/>
    <n v="54215.16"/>
  </r>
  <r>
    <d v="2026-04-16T00:00:00"/>
    <x v="13"/>
    <s v="BACS Payment Received"/>
    <s v="BACS20260415102014"/>
    <x v="244"/>
    <s v="KIRKLEES COUNCIL-204312-63046958 626099-KIRKLEES COUNCIL-&amp;--&amp;-1000 2004108393 K 099 BACS CR SELECT LIFESTYLES"/>
    <n v="6221.4"/>
    <n v="6221.4"/>
    <n v="49011.36"/>
  </r>
  <r>
    <d v="2026-04-16T00:00:00"/>
    <x v="13"/>
    <s v="BACS Payment Received"/>
    <s v="BACS20260415100341"/>
    <x v="245"/>
    <s v="HARINGEY COUNCIL-209847-03066010 992357-HARINGEY COUNCIL-&amp;--&amp;-1000 1405316056 K 099 BACS CR SELECT LIFESTYLES"/>
    <n v="18645.12"/>
    <n v="18645.12"/>
    <n v="42789.96"/>
  </r>
  <r>
    <d v="2026-04-16T00:00:00"/>
    <x v="13"/>
    <s v="Inward Payment"/>
    <s v="FT26106LM9R4"/>
    <x v="22"/>
    <s v="SERVICE CHARGES"/>
    <n v="71.08"/>
    <n v="71.08"/>
    <n v="24144.84"/>
  </r>
  <r>
    <d v="2026-04-16T00:00:00"/>
    <x v="13"/>
    <s v="Inward Payment"/>
    <s v="FT261064P79L"/>
    <x v="23"/>
    <s v="RENT"/>
    <n v="95"/>
    <n v="95"/>
    <n v="24073.76"/>
  </r>
  <r>
    <d v="2026-04-15T00:00:00"/>
    <x v="14"/>
    <s v="Inward Payment"/>
    <s v="FT2610578JX9"/>
    <x v="246"/>
    <s v="tesco"/>
    <n v="6.75"/>
    <n v="6.75"/>
    <n v="23978.76"/>
  </r>
  <r>
    <d v="2026-04-15T00:00:00"/>
    <x v="14"/>
    <s v="Inward Payment"/>
    <s v="FT26105TV4YJ"/>
    <x v="247"/>
    <s v="5 DOVERIDGE PLACE"/>
    <n v="411.67"/>
    <n v="411.67"/>
    <n v="23972.01"/>
  </r>
  <r>
    <d v="2026-04-15T00:00:00"/>
    <x v="14"/>
    <s v="Inward Payment"/>
    <s v="FT261056NW9K"/>
    <x v="69"/>
    <s v="HGP Rent payments"/>
    <n v="2678.8"/>
    <n v="2678.8"/>
    <n v="23560.34"/>
  </r>
  <r>
    <d v="2026-04-15T00:00:00"/>
    <x v="14"/>
    <s v="Inward Payment"/>
    <s v="FT261058HWCM"/>
    <x v="248"/>
    <s v="JOSEPHTU"/>
    <n v="299.39"/>
    <n v="299.39"/>
    <n v="20881.54"/>
  </r>
  <r>
    <d v="2026-04-15T00:00:00"/>
    <x v="14"/>
    <s v="Card Transaction"/>
    <s v="00001580192-20260414-1521096"/>
    <x v="249"/>
    <s v="GBR 20260413 MACE LTD BIRMINGHAM"/>
    <n v="-759"/>
    <s v=""/>
    <n v="20582.15"/>
  </r>
  <r>
    <d v="2026-04-15T00:00:00"/>
    <x v="14"/>
    <s v="Card Transaction"/>
    <s v="00001580192-20260414-1521106"/>
    <x v="250"/>
    <s v="GBR 20260413 Tesla West Drayton"/>
    <n v="-9.99"/>
    <s v=""/>
    <n v="21341.15"/>
  </r>
  <r>
    <d v="2026-04-15T00:00:00"/>
    <x v="14"/>
    <s v="Card Transaction"/>
    <s v="00001580192-20260414-1521126"/>
    <x v="251"/>
    <s v="GBR 20260413 UBER    TRIP HELP.UBER.COM"/>
    <n v="-9.82"/>
    <s v=""/>
    <n v="21351.14"/>
  </r>
  <r>
    <d v="2026-04-15T00:00:00"/>
    <x v="14"/>
    <s v="Card Transaction"/>
    <s v="00001580192-20260414-1521116"/>
    <x v="251"/>
    <s v="GBR 20260413 UBER    TRIP HELP.UBER.COM"/>
    <n v="-6.93"/>
    <s v=""/>
    <n v="21360.96"/>
  </r>
  <r>
    <d v="2026-04-15T00:00:00"/>
    <x v="14"/>
    <s v="Direct Debit"/>
    <s v="DDC20260414283264"/>
    <x v="252"/>
    <s v="CAREBEANS TE7Y9BS"/>
    <n v="-1300.2"/>
    <s v=""/>
    <n v="21367.89"/>
  </r>
  <r>
    <d v="2026-04-15T00:00:00"/>
    <x v="14"/>
    <s v="Direct Debit"/>
    <s v="DDC20260414287233"/>
    <x v="253"/>
    <s v="JURNI LIMITED 009477-KN71XMO"/>
    <n v="-67.2"/>
    <s v=""/>
    <n v="22668.09"/>
  </r>
  <r>
    <d v="2026-04-15T00:00:00"/>
    <x v="14"/>
    <s v="Direct Debit"/>
    <s v="DDC202604142105765"/>
    <x v="11"/>
    <s v="MULTIFLEET VEHICLE 0210438-004"/>
    <n v="-13426.83"/>
    <s v=""/>
    <n v="22735.29"/>
  </r>
  <r>
    <d v="2026-04-15T00:00:00"/>
    <x v="14"/>
    <s v="Direct Debit"/>
    <s v="DDC202604142101433"/>
    <x v="136"/>
    <s v="EVERFLOW LIMITED B273547A"/>
    <n v="-371.99"/>
    <s v=""/>
    <n v="36162.12"/>
  </r>
  <r>
    <d v="2026-04-15T00:00:00"/>
    <x v="14"/>
    <s v="Direct Debit"/>
    <s v="DDC20260414262089"/>
    <x v="13"/>
    <s v="OYSTER COMMUNIC 000000000000003804"/>
    <n v="-120.65"/>
    <s v=""/>
    <n v="36534.11"/>
  </r>
  <r>
    <d v="2026-04-15T00:00:00"/>
    <x v="14"/>
    <s v="Direct Debit"/>
    <s v="DDC20260414227901"/>
    <x v="254"/>
    <s v="PREMIUM CREDIT LTD 04AEOO3473/012/109"/>
    <n v="-10248.21"/>
    <s v=""/>
    <n v="36654.76"/>
  </r>
  <r>
    <d v="2026-04-15T00:00:00"/>
    <x v="14"/>
    <s v="Direct Debit"/>
    <s v="DDC20260414225612"/>
    <x v="157"/>
    <s v="BNP PARIBAS LEASIN A1E50327  V5927973"/>
    <n v="-1278.97"/>
    <s v=""/>
    <n v="46902.97"/>
  </r>
  <r>
    <d v="2026-04-15T00:00:00"/>
    <x v="14"/>
    <s v="Direct Debit"/>
    <s v="DDC20260414213290"/>
    <x v="255"/>
    <s v="SOLIHULL METROPOLI 37440291"/>
    <n v="-312.72"/>
    <s v=""/>
    <n v="48181.94"/>
  </r>
  <r>
    <d v="2026-04-15T00:00:00"/>
    <x v="14"/>
    <s v="Direct Debit"/>
    <s v="DDC20260414232611"/>
    <x v="256"/>
    <s v="SHIRE SECURITIES SEL02004"/>
    <n v="-3311.99"/>
    <s v=""/>
    <n v="48494.66"/>
  </r>
  <r>
    <d v="2026-04-15T00:00:00"/>
    <x v="14"/>
    <s v="Direct Debit"/>
    <s v="DDC20260414232610"/>
    <x v="256"/>
    <s v="SHIRE SECURITIES SEL02003"/>
    <n v="-1169.24"/>
    <s v=""/>
    <n v="51806.65"/>
  </r>
  <r>
    <d v="2026-04-15T00:00:00"/>
    <x v="14"/>
    <s v="Direct Debit"/>
    <s v="DDC20260414268704"/>
    <x v="257"/>
    <s v="SANDWELL MBCNNDR 54777465"/>
    <n v="-5919"/>
    <s v=""/>
    <n v="52975.89"/>
  </r>
  <r>
    <d v="2026-04-15T00:00:00"/>
    <x v="14"/>
    <s v="Direct Debit"/>
    <s v="DDC20260414268705"/>
    <x v="257"/>
    <s v="SANDWELL MBCNNDR 54816166"/>
    <n v="-778.0599999999999"/>
    <s v=""/>
    <n v="58894.89"/>
  </r>
  <r>
    <d v="2026-04-15T00:00:00"/>
    <x v="14"/>
    <s v="Direct Debit"/>
    <s v="DDC20260414268706"/>
    <x v="257"/>
    <s v="SANDWELL MBCNNDR 54861781"/>
    <n v="-324.23"/>
    <s v=""/>
    <n v="59672.95"/>
  </r>
  <r>
    <d v="2026-04-15T00:00:00"/>
    <x v="14"/>
    <s v="Direct Debit"/>
    <s v="DDC20260414268845"/>
    <x v="258"/>
    <s v="WOLVERHAMPTON C C 612349007442"/>
    <n v="-236.23"/>
    <s v=""/>
    <n v="59997.18"/>
  </r>
  <r>
    <d v="2026-04-15T00:00:00"/>
    <x v="14"/>
    <s v="Direct Debit"/>
    <s v="DDC20260414268677"/>
    <x v="53"/>
    <s v="SANDWELL MBCCTAX 81124769"/>
    <n v="-187.46"/>
    <s v=""/>
    <n v="60233.41"/>
  </r>
  <r>
    <d v="2026-04-15T00:00:00"/>
    <x v="14"/>
    <s v="Direct Debit"/>
    <s v="DDC20260414268656"/>
    <x v="53"/>
    <s v="SANDWELL MBCCTAX 82148484"/>
    <n v="-172.24"/>
    <s v=""/>
    <n v="60420.87"/>
  </r>
  <r>
    <d v="2026-04-15T00:00:00"/>
    <x v="14"/>
    <s v="Direct Debit"/>
    <s v="DDC20260414268673"/>
    <x v="53"/>
    <s v="SANDWELL MBCCTAX 80378854"/>
    <n v="-146.31"/>
    <s v=""/>
    <n v="60593.11"/>
  </r>
  <r>
    <d v="2026-04-15T00:00:00"/>
    <x v="14"/>
    <s v="Direct Debit"/>
    <s v="DDC20260414268674"/>
    <x v="53"/>
    <s v="SANDWELL MBCCTAX 80393669"/>
    <n v="-121.31"/>
    <s v=""/>
    <n v="60739.42"/>
  </r>
  <r>
    <d v="2026-04-15T00:00:00"/>
    <x v="14"/>
    <s v="Direct Debit"/>
    <s v="DDC20260414268675"/>
    <x v="53"/>
    <s v="SANDWELL MBCCTAX 80510520"/>
    <n v="-114.22"/>
    <s v=""/>
    <n v="60860.73"/>
  </r>
  <r>
    <d v="2026-04-15T00:00:00"/>
    <x v="14"/>
    <s v="Direct Debit"/>
    <s v="DDC20260414268672"/>
    <x v="53"/>
    <s v="SANDWELL MBCCTAX 79545426"/>
    <n v="-110.27"/>
    <s v=""/>
    <n v="60974.95"/>
  </r>
  <r>
    <d v="2026-04-15T00:00:00"/>
    <x v="14"/>
    <s v="Direct Debit"/>
    <s v="DDC20260414268676"/>
    <x v="53"/>
    <s v="SANDWELL MBCCTAX 80616089"/>
    <n v="-44.61"/>
    <s v=""/>
    <n v="61085.22"/>
  </r>
  <r>
    <d v="2026-04-15T00:00:00"/>
    <x v="14"/>
    <s v="Direct Debit"/>
    <s v="DDC20260414240605"/>
    <x v="259"/>
    <s v="ARVAL UK LTD S07002"/>
    <n v="-1021.25"/>
    <s v=""/>
    <n v="61129.83"/>
  </r>
  <r>
    <d v="2026-04-15T00:00:00"/>
    <x v="14"/>
    <s v="Direct Debit"/>
    <s v="DDC20260414243152"/>
    <x v="260"/>
    <s v="QUILTER LIFE PENS AC2699874000302980"/>
    <n v="-50"/>
    <s v=""/>
    <n v="62151.08"/>
  </r>
  <r>
    <d v="2026-04-15T00:00:00"/>
    <x v="14"/>
    <s v="Inward Payment"/>
    <s v="FT26105G6JFP"/>
    <x v="36"/>
    <s v="MARKEY GRAY- PERSO"/>
    <n v="200"/>
    <n v="200"/>
    <n v="62201.08"/>
  </r>
  <r>
    <d v="2026-04-15T00:00:00"/>
    <x v="14"/>
    <s v="BACS Payment Received"/>
    <s v="BACS20260414118460"/>
    <x v="261"/>
    <s v="AGREEN-607080-10025863 278961-AGREEN-&amp;--&amp;-000000003717729976 099 BACS CR ARTHUR GREEN"/>
    <n v="411.67"/>
    <n v="411.67"/>
    <n v="62001.08"/>
  </r>
  <r>
    <d v="2026-04-15T00:00:00"/>
    <x v="14"/>
    <s v="BACS Payment Received"/>
    <s v="BACS20260414118718"/>
    <x v="262"/>
    <s v="BSMITH-607080-10025863 278961-BSMITH-&amp;--&amp;-000000003717720462 099 BACS CR BRANDON SMITH"/>
    <n v="411.67"/>
    <n v="411.67"/>
    <n v="61589.41"/>
  </r>
  <r>
    <d v="2026-04-15T00:00:00"/>
    <x v="14"/>
    <s v="BACS Payment Received"/>
    <s v="BACS20260414118703"/>
    <x v="263"/>
    <s v="STOLLEY-607080-10025863 278961-STOLLEY-&amp;--&amp;-000000003717700381 099 BACS CR SCOTT TOLLEY"/>
    <n v="495"/>
    <n v="495"/>
    <n v="61177.74"/>
  </r>
  <r>
    <d v="2026-04-15T00:00:00"/>
    <x v="14"/>
    <s v="BACS Payment Received"/>
    <s v="BACS20260414120511"/>
    <x v="264"/>
    <s v="PEOPLEPLUS GROUP L-600001-48991295 775043-PEOPLEPLUS GROUP L-&amp;--&amp;-44339 099 BACS CR SELECT LIFESTYLES"/>
    <n v="2870"/>
    <n v="2870"/>
    <n v="60682.74"/>
  </r>
  <r>
    <d v="2026-04-15T00:00:00"/>
    <x v="14"/>
    <s v="BACS Payment Received"/>
    <s v="BACS20260414128084"/>
    <x v="265"/>
    <s v="ILB-403526-11830651 162631-ILB-&amp;--&amp;-SCOTT TOLLEY 099 BACS CR SELECT LIFESTYLES"/>
    <n v="520"/>
    <n v="520"/>
    <n v="57812.74"/>
  </r>
  <r>
    <d v="2026-04-15T00:00:00"/>
    <x v="14"/>
    <s v="Inward Payment"/>
    <s v="FT26105SKD2X"/>
    <x v="37"/>
    <s v="DANIEL MEHMI"/>
    <n v="69.86"/>
    <n v="69.86"/>
    <n v="57292.74"/>
  </r>
  <r>
    <d v="2026-04-15T00:00:00"/>
    <x v="14"/>
    <s v="BACS Payment Received"/>
    <s v="BACS20260414110944"/>
    <x v="17"/>
    <s v="NHS BLACK COUNTRY-607080-10015272 284781-NHS BLACK COUNTRY-&amp;--&amp;-535764 099 BACS CR SELECT LIFESTYLES"/>
    <n v="5928.26"/>
    <n v="5928.26"/>
    <n v="57222.88"/>
  </r>
  <r>
    <d v="2026-04-15T00:00:00"/>
    <x v="14"/>
    <s v="Inward Payment"/>
    <s v="FT26105LP1VM"/>
    <x v="266"/>
    <s v="BSUTILITIES"/>
    <n v="216.67"/>
    <n v="216.67"/>
    <n v="51294.62"/>
  </r>
  <r>
    <d v="2026-04-15T00:00:00"/>
    <x v="14"/>
    <s v="Inward Payment"/>
    <s v="FT26105C7K6S"/>
    <x v="39"/>
    <s v="LAURA NEAL"/>
    <n v="45"/>
    <n v="45"/>
    <n v="51077.95"/>
  </r>
  <r>
    <d v="2026-04-14T00:00:00"/>
    <x v="15"/>
    <s v="Account to Account Transfer"/>
    <s v="FT261048GYM6"/>
    <x v="45"/>
    <s v="Transfer"/>
    <n v="-130978.62"/>
    <s v=""/>
    <n v="51032.95"/>
  </r>
  <r>
    <d v="2026-04-14T00:00:00"/>
    <x v="15"/>
    <s v="Account to Account Transfer"/>
    <s v="FT2610415BF2"/>
    <x v="4"/>
    <s v="CC BS/BB/DS"/>
    <n v="-420"/>
    <s v=""/>
    <n v="182011.57"/>
  </r>
  <r>
    <d v="2026-04-14T00:00:00"/>
    <x v="15"/>
    <s v="Card Transaction"/>
    <s v="00001580192-20260413-1528185"/>
    <x v="267"/>
    <s v="DEU 20260412 Porsche Smart Mobility Stuttgart"/>
    <n v="-22.93"/>
    <s v=""/>
    <n v="182431.57"/>
  </r>
  <r>
    <d v="2026-04-14T00:00:00"/>
    <x v="15"/>
    <s v="Card Transaction"/>
    <s v="00001580192-20260413-1528205"/>
    <x v="172"/>
    <s v="GBR 20260412 Tesla Inc. West Drayton"/>
    <n v="-16.16"/>
    <s v=""/>
    <n v="182454.5"/>
  </r>
  <r>
    <d v="2026-04-14T00:00:00"/>
    <x v="15"/>
    <s v="Card Transaction"/>
    <s v="00001580192-20260413-1528215"/>
    <x v="251"/>
    <s v="GBR 20260412 UBER    TRIP HELP.UBER.COM"/>
    <n v="-13.96"/>
    <s v=""/>
    <n v="182470.66"/>
  </r>
  <r>
    <d v="2026-04-14T00:00:00"/>
    <x v="15"/>
    <s v="Card Transaction"/>
    <s v="00001580192-20260413-1528175"/>
    <x v="172"/>
    <s v="GBR 20260410 Tesla Inc. West Drayton"/>
    <n v="-11.06"/>
    <s v=""/>
    <n v="182484.62"/>
  </r>
  <r>
    <d v="2026-04-14T00:00:00"/>
    <x v="15"/>
    <s v="Card Transaction"/>
    <s v="00001580192-20260413-1528195"/>
    <x v="172"/>
    <s v="GBR 20260412 Tesla Inc. West Drayton"/>
    <n v="-7.96"/>
    <s v=""/>
    <n v="182495.68"/>
  </r>
  <r>
    <d v="2026-04-14T00:00:00"/>
    <x v="15"/>
    <s v="Card Transaction"/>
    <s v="00001580192-20260413-1528225"/>
    <x v="251"/>
    <s v="GBR 20260412 UBER    TRIP HELP.UBER.COM"/>
    <n v="-6.09"/>
    <s v=""/>
    <n v="182503.64"/>
  </r>
  <r>
    <d v="2026-04-14T00:00:00"/>
    <x v="15"/>
    <s v="Card Transaction"/>
    <s v="00001580192-20260413-1528235"/>
    <x v="251"/>
    <s v="GBR 20260412 UBER    TRIP HELP.UBER.COM"/>
    <n v="-5.87"/>
    <s v=""/>
    <n v="182509.73"/>
  </r>
  <r>
    <d v="2026-04-14T00:00:00"/>
    <x v="15"/>
    <s v="Inward Payment"/>
    <s v="FT2610401ZNM"/>
    <x v="48"/>
    <s v="502869 B NOBLE"/>
    <n v="140"/>
    <n v="140"/>
    <n v="182515.6"/>
  </r>
  <r>
    <d v="2026-04-14T00:00:00"/>
    <x v="15"/>
    <s v="Inward Payment"/>
    <s v="FT26104FH1NJ"/>
    <x v="49"/>
    <s v="ERROLGRANT"/>
    <n v="65"/>
    <n v="65"/>
    <n v="182375.6"/>
  </r>
  <r>
    <d v="2026-04-14T00:00:00"/>
    <x v="15"/>
    <s v="Inward Payment"/>
    <s v="FT26104DKT6P"/>
    <x v="268"/>
    <s v="CAR"/>
    <n v="206.74"/>
    <n v="206.74"/>
    <n v="182310.6"/>
  </r>
  <r>
    <d v="2026-04-14T00:00:00"/>
    <x v="15"/>
    <s v="Inward Payment"/>
    <s v="FT261047DX1P"/>
    <x v="50"/>
    <s v="C LAVANDER"/>
    <n v="102.51"/>
    <n v="102.51"/>
    <n v="182103.86"/>
  </r>
  <r>
    <d v="2026-04-14T00:00:00"/>
    <x v="15"/>
    <s v="Direct Debit"/>
    <s v="DDC20260413223780"/>
    <x v="56"/>
    <s v="BRITISH GAS BUSINE 604044352140824000"/>
    <n v="-47.19"/>
    <s v=""/>
    <n v="182001.35"/>
  </r>
  <r>
    <d v="2026-04-14T00:00:00"/>
    <x v="15"/>
    <s v="Direct Debit"/>
    <s v="DDC20260413230034"/>
    <x v="269"/>
    <s v="POZITIVE ENERGY M2FTEMX-PE-359491"/>
    <n v="-63.2"/>
    <s v=""/>
    <n v="182048.54"/>
  </r>
  <r>
    <d v="2026-04-14T00:00:00"/>
    <x v="15"/>
    <s v="Direct Debit"/>
    <s v="DDC20260413239668"/>
    <x v="270"/>
    <s v="FRANCOTYP POSTALIA T053359"/>
    <n v="-50"/>
    <s v=""/>
    <n v="182111.74"/>
  </r>
  <r>
    <d v="2026-04-14T00:00:00"/>
    <x v="15"/>
    <s v="Inward Payment"/>
    <s v="FT26104N8JR6"/>
    <x v="63"/>
    <s v="JOHN PACE RENT"/>
    <n v="120"/>
    <n v="120"/>
    <n v="182161.74"/>
  </r>
  <r>
    <d v="2026-04-14T00:00:00"/>
    <x v="15"/>
    <s v="Inward Payment"/>
    <s v="FT26104N8281"/>
    <x v="60"/>
    <s v="L HAWKINS-Utilit/S"/>
    <n v="65"/>
    <n v="65"/>
    <n v="182041.74"/>
  </r>
  <r>
    <d v="2026-04-14T00:00:00"/>
    <x v="15"/>
    <s v="Inward Payment"/>
    <s v="FT26104T6PHC"/>
    <x v="60"/>
    <s v="L HAWKINS-RENT"/>
    <n v="120"/>
    <n v="120"/>
    <n v="181976.74"/>
  </r>
  <r>
    <d v="2026-04-14T00:00:00"/>
    <x v="15"/>
    <s v="Inward Payment"/>
    <s v="FT26104QL6M8"/>
    <x v="62"/>
    <s v="LEIGH AMES RENT"/>
    <n v="120"/>
    <n v="120"/>
    <n v="181856.74"/>
  </r>
  <r>
    <d v="2026-04-14T00:00:00"/>
    <x v="15"/>
    <s v="Inward Payment"/>
    <s v="FT26104PY9SR"/>
    <x v="61"/>
    <s v="ANTHONY MEACHIN UT"/>
    <n v="50"/>
    <n v="50"/>
    <n v="181736.74"/>
  </r>
  <r>
    <d v="2026-04-14T00:00:00"/>
    <x v="15"/>
    <s v="BACS Payment Received"/>
    <s v="BACS20260413100433"/>
    <x v="59"/>
    <s v="WALSALL METROPOLIT-206877-58552541 401256-WALSALL METROPOLIT-&amp;--&amp;-S B 099 BACS CR SELECT LIFESTYSLES"/>
    <n v="50"/>
    <n v="50"/>
    <n v="181686.74"/>
  </r>
  <r>
    <d v="2026-04-14T00:00:00"/>
    <x v="15"/>
    <s v="BACS Payment Received"/>
    <s v="BACS20260413100434"/>
    <x v="59"/>
    <s v="WALSALL METROPOLIT-206877-58552541 401256-WALSALL METROPOLIT-&amp;--&amp;-H 099 BACS CR SELECT LIFESTYLES"/>
    <n v="50"/>
    <n v="50"/>
    <n v="181636.74"/>
  </r>
  <r>
    <d v="2026-04-14T00:00:00"/>
    <x v="15"/>
    <s v="BACS Payment Received"/>
    <s v="BACS20260413100435"/>
    <x v="59"/>
    <s v="WALSALL METROPOLIT-206877-58552541 401256-WALSALL METROPOLIT-&amp;--&amp;-A H 099 BACS CR SELECT LIFESTYLES"/>
    <n v="50"/>
    <n v="50"/>
    <n v="181586.74"/>
  </r>
  <r>
    <d v="2026-04-14T00:00:00"/>
    <x v="15"/>
    <s v="BACS Payment Received"/>
    <s v="BACS20260413112934"/>
    <x v="271"/>
    <s v="3716804629-607080-10025790 886536-3716804629-&amp;--&amp;-000000003716804629 099 BACS CR 39565854"/>
    <n v="100.03"/>
    <n v="100.03"/>
    <n v="181536.74"/>
  </r>
  <r>
    <d v="2026-04-14T00:00:00"/>
    <x v="15"/>
    <s v="BACS Payment Received"/>
    <s v="BACS20260413114041"/>
    <x v="272"/>
    <s v="JLEE-607080-10025863 278961-JLEE-&amp;--&amp;-000000003716105906 099 BACS CR JOSIAH LEE"/>
    <n v="411.67"/>
    <n v="411.67"/>
    <n v="181436.71"/>
  </r>
  <r>
    <d v="2026-04-14T00:00:00"/>
    <x v="15"/>
    <s v="BACS Payment Received"/>
    <s v="BACS20260413114067"/>
    <x v="273"/>
    <s v="0000070236-607080-10025863 278961-0000070236-&amp;--&amp;-000000003716073003 099 BACS CR BOBBY SPEARS"/>
    <n v="411.67"/>
    <n v="411.67"/>
    <n v="181025.04"/>
  </r>
  <r>
    <d v="2026-04-14T00:00:00"/>
    <x v="15"/>
    <s v="BACS Payment Received"/>
    <s v="BACS20260413116376"/>
    <x v="274"/>
    <s v="MCRIMMONS-607080-10025863 278961-MCRIMMONS-&amp;--&amp;-000000003716125739 099 BACS CR MARTIN CRIMMONS"/>
    <n v="495"/>
    <n v="495"/>
    <n v="180613.37"/>
  </r>
  <r>
    <d v="2026-04-14T00:00:00"/>
    <x v="15"/>
    <s v="BACS Payment Received"/>
    <s v="BACS20260413117541"/>
    <x v="138"/>
    <s v="SANDWELL MBC-601539-69624135 971830-SANDWELL MBC-&amp;--&amp;-132665 099 BACS CR SELECT LIFESTYLES"/>
    <n v="131304.4"/>
    <n v="131304.4"/>
    <n v="180118.37"/>
  </r>
  <r>
    <d v="2026-04-14T00:00:00"/>
    <x v="15"/>
    <s v="Inward Payment"/>
    <s v="FT261046DYPL"/>
    <x v="275"/>
    <s v="LUKEHICKMAN"/>
    <n v="216.67"/>
    <n v="216.67"/>
    <n v="48813.97"/>
  </r>
  <r>
    <d v="2026-04-14T00:00:00"/>
    <x v="15"/>
    <s v="Inward Payment"/>
    <s v="FT26104G2CYB"/>
    <x v="65"/>
    <s v="DS WEEKLY SPEND"/>
    <n v="120"/>
    <n v="120"/>
    <n v="48597.3"/>
  </r>
  <r>
    <d v="2026-04-14T00:00:00"/>
    <x v="15"/>
    <s v="Inward Payment"/>
    <s v="FT26104SK3R1"/>
    <x v="66"/>
    <s v="TREVOR KEANE"/>
    <n v="50"/>
    <n v="50"/>
    <n v="48477.3"/>
  </r>
  <r>
    <d v="2026-04-14T00:00:00"/>
    <x v="15"/>
    <s v="Inward Payment"/>
    <s v="FT26104GN7Q5"/>
    <x v="69"/>
    <s v="S L SERVICE CHARGE"/>
    <n v="50"/>
    <n v="50"/>
    <n v="48427.3"/>
  </r>
  <r>
    <d v="2026-04-13T00:00:00"/>
    <x v="16"/>
    <s v="Inward Payment"/>
    <s v="FT26103F1J0H"/>
    <x v="276"/>
    <s v="BOBBY SPEARS"/>
    <n v="300"/>
    <n v="300"/>
    <n v="48377.3"/>
  </r>
  <r>
    <d v="2026-04-13T00:00:00"/>
    <x v="16"/>
    <s v="Account to Account Transfer"/>
    <s v="FT261038MBPN"/>
    <x v="277"/>
    <s v="2 Walton Cres Rent"/>
    <n v="-3500"/>
    <s v=""/>
    <n v="48077.3"/>
  </r>
  <r>
    <d v="2026-04-13T00:00:00"/>
    <x v="16"/>
    <s v="Inward Payment"/>
    <s v="FT261034SB3N"/>
    <x v="278"/>
    <n v="44388"/>
    <n v="200"/>
    <n v="200"/>
    <n v="51577.3"/>
  </r>
  <r>
    <d v="2026-04-13T00:00:00"/>
    <x v="16"/>
    <s v="Inward Payment"/>
    <s v="FT261034FXD6"/>
    <x v="28"/>
    <s v="FDMS 510799083"/>
    <n v="2925.44"/>
    <n v="2925.44"/>
    <n v="51377.3"/>
  </r>
  <r>
    <d v="2026-04-13T00:00:00"/>
    <x v="16"/>
    <s v="Outward Faster Payment"/>
    <s v="FT261034T6WM"/>
    <x v="279"/>
    <s v="SELE01"/>
    <n v="-1836.92"/>
    <s v=""/>
    <n v="48451.86"/>
  </r>
  <r>
    <d v="2026-04-13T00:00:00"/>
    <x v="16"/>
    <s v="Outward Faster Payment"/>
    <s v="FT26103TB1MT"/>
    <x v="280"/>
    <n v="28"/>
    <n v="-40707.91"/>
    <s v=""/>
    <n v="50288.78"/>
  </r>
  <r>
    <d v="2026-04-13T00:00:00"/>
    <x v="16"/>
    <s v="Account to Account Transfer"/>
    <s v="FT261038L320"/>
    <x v="45"/>
    <s v="Transfer"/>
    <n v="-96045.66"/>
    <s v=""/>
    <n v="90996.69"/>
  </r>
  <r>
    <d v="2026-04-13T00:00:00"/>
    <x v="16"/>
    <s v="Account to Account Transfer"/>
    <s v="FT261033TQT7"/>
    <x v="4"/>
    <s v="CC D Davies to pay Martial Arts Inv"/>
    <n v="759"/>
    <n v="759"/>
    <n v="187042.35"/>
  </r>
  <r>
    <d v="2026-04-13T00:00:00"/>
    <x v="16"/>
    <s v="Outward Faster Payment"/>
    <s v="FT26103PRB7W"/>
    <x v="42"/>
    <s v="Select Lifestyles"/>
    <n v="-145.52"/>
    <s v=""/>
    <n v="186283.35"/>
  </r>
  <r>
    <d v="2026-04-13T00:00:00"/>
    <x v="16"/>
    <s v="Inward Payment"/>
    <s v="FT261032SZ0Q"/>
    <x v="281"/>
    <s v="FLAT 3 CB"/>
    <n v="125"/>
    <n v="125"/>
    <n v="186428.87"/>
  </r>
  <r>
    <d v="2026-04-13T00:00:00"/>
    <x v="16"/>
    <s v="Account to Account Transfer"/>
    <s v="FT26103G23NV"/>
    <x v="4"/>
    <s v="CC KW/TP/LS/JB/PC/LG"/>
    <n v="-550"/>
    <s v=""/>
    <n v="186303.87"/>
  </r>
  <r>
    <d v="2026-04-13T00:00:00"/>
    <x v="16"/>
    <s v="Outward Faster Payment"/>
    <s v="FT261033CVNR"/>
    <x v="282"/>
    <s v="A 9C5561DB"/>
    <n v="-1477.92"/>
    <s v=""/>
    <n v="186853.87"/>
  </r>
  <r>
    <d v="2026-04-13T00:00:00"/>
    <x v="16"/>
    <s v="Card Transaction"/>
    <s v="00001580192-20260410-1521070"/>
    <x v="283"/>
    <s v="GBR 20260409 BRITISH GAS LEEDS"/>
    <n v="-99"/>
    <s v=""/>
    <n v="188331.79"/>
  </r>
  <r>
    <d v="2026-04-13T00:00:00"/>
    <x v="16"/>
    <s v="Card Transaction"/>
    <s v="00001580192-20260410-1521060"/>
    <x v="172"/>
    <s v="GBR 20260409 Tesla Inc. West Drayton"/>
    <n v="-8.720000000000001"/>
    <s v=""/>
    <n v="188430.79"/>
  </r>
  <r>
    <d v="2026-04-13T00:00:00"/>
    <x v="16"/>
    <s v="Card Transaction"/>
    <s v="00001580192-20260410-1521050"/>
    <x v="172"/>
    <s v="GBR 20260409 Tesla Inc. West Drayton"/>
    <n v="-5.04"/>
    <s v=""/>
    <n v="188439.51"/>
  </r>
  <r>
    <d v="2026-04-13T00:00:00"/>
    <x v="16"/>
    <s v="Standing Order"/>
    <s v="FT2610313MTX"/>
    <x v="284"/>
    <s v="Stafford Road Rent"/>
    <n v="-1400"/>
    <s v=""/>
    <n v="188444.55"/>
  </r>
  <r>
    <d v="2026-04-13T00:00:00"/>
    <x v="16"/>
    <s v="Standing Order"/>
    <s v="FT26103G5RP1"/>
    <x v="285"/>
    <s v="Ref: t0000914"/>
    <n v="-2600"/>
    <s v=""/>
    <n v="189844.55"/>
  </r>
  <r>
    <d v="2026-04-13T00:00:00"/>
    <x v="16"/>
    <s v="Standing Order"/>
    <s v="FT26103HLQHT"/>
    <x v="286"/>
    <s v="32 Moor Lane Rent"/>
    <n v="-1550"/>
    <s v=""/>
    <n v="192444.55"/>
  </r>
  <r>
    <d v="2026-04-13T00:00:00"/>
    <x v="16"/>
    <s v="Inward Payment"/>
    <s v="FT261033GN3V"/>
    <x v="90"/>
    <s v="PAUL CAMPBELL HBSF"/>
    <n v="50"/>
    <n v="50"/>
    <n v="193994.55"/>
  </r>
  <r>
    <d v="2026-04-13T00:00:00"/>
    <x v="16"/>
    <s v="Inward Payment"/>
    <s v="FT2610307CT3"/>
    <x v="90"/>
    <s v="PAUL CAMPBELL"/>
    <n v="50"/>
    <n v="50"/>
    <n v="193944.55"/>
  </r>
  <r>
    <d v="2026-04-13T00:00:00"/>
    <x v="16"/>
    <s v="Inward Payment"/>
    <s v="FT26103C576H"/>
    <x v="287"/>
    <s v="ANDREW TAYLOR"/>
    <n v="650"/>
    <n v="650"/>
    <n v="193894.55"/>
  </r>
  <r>
    <d v="2026-04-13T00:00:00"/>
    <x v="16"/>
    <s v="Cheque Issued"/>
    <s v="CHQSICSS0000036320260411"/>
    <x v="288"/>
    <m/>
    <n v="-100"/>
    <s v=""/>
    <n v="193244.55"/>
  </r>
  <r>
    <d v="2026-04-13T00:00:00"/>
    <x v="16"/>
    <s v="Inward Payment"/>
    <s v="FT26103DR0SM"/>
    <x v="95"/>
    <s v="TOBY PALETHORPE"/>
    <n v="100"/>
    <n v="100"/>
    <n v="193344.55"/>
  </r>
  <r>
    <d v="2026-04-13T00:00:00"/>
    <x v="16"/>
    <s v="Direct Debit"/>
    <s v="DDC20260410246938"/>
    <x v="234"/>
    <s v="WATER PLUS 0595008826"/>
    <n v="-412.82"/>
    <s v=""/>
    <n v="193244.55"/>
  </r>
  <r>
    <d v="2026-04-13T00:00:00"/>
    <x v="16"/>
    <s v="Direct Debit"/>
    <s v="DDC20260410246939"/>
    <x v="234"/>
    <s v="WATER PLUS 0798009927"/>
    <n v="-353.81"/>
    <s v=""/>
    <n v="193657.37"/>
  </r>
  <r>
    <d v="2026-04-13T00:00:00"/>
    <x v="16"/>
    <s v="Direct Debit"/>
    <s v="DDC20260410263454"/>
    <x v="87"/>
    <s v="FUNDING CIRCLE HWWZM3Q"/>
    <n v="-6995.96"/>
    <s v=""/>
    <n v="194011.18"/>
  </r>
  <r>
    <d v="2026-04-13T00:00:00"/>
    <x v="16"/>
    <s v="Direct Debit"/>
    <s v="DDC20260410261910"/>
    <x v="289"/>
    <s v="GOCARDLESS CAMASCOPE-YMP7MZMV"/>
    <n v="-1772.66"/>
    <s v=""/>
    <n v="201007.14"/>
  </r>
  <r>
    <d v="2026-04-13T00:00:00"/>
    <x v="16"/>
    <s v="Direct Debit"/>
    <s v="DDC20260410254398"/>
    <x v="86"/>
    <s v="SKY DIGITAL 00621171698080"/>
    <n v="-164.5"/>
    <s v=""/>
    <n v="202779.8"/>
  </r>
  <r>
    <d v="2026-04-13T00:00:00"/>
    <x v="16"/>
    <s v="BACS Payment Received"/>
    <s v="BACS20260410145564"/>
    <x v="91"/>
    <s v="WOLVERHAMPTON C C-560069-44470320 973636-WOLVERHAMPTON C C-&amp;--&amp;-3563 099 BACS CR SELECT  LIFESTYLES"/>
    <n v="6.04"/>
    <n v="6.04"/>
    <n v="202944.3"/>
  </r>
  <r>
    <d v="2026-04-13T00:00:00"/>
    <x v="16"/>
    <s v="BACS Payment Received"/>
    <s v="BACS20260410145565"/>
    <x v="91"/>
    <s v="WOLVERHAMPTON C C-560069-44470320 973636-WOLVERHAMPTON C C-&amp;--&amp;-3591 099 BACS CR SELECT  LIFESTYLES"/>
    <n v="6.04"/>
    <n v="6.04"/>
    <n v="202938.26"/>
  </r>
  <r>
    <d v="2026-04-13T00:00:00"/>
    <x v="16"/>
    <s v="BACS Payment Received"/>
    <s v="BACS20260410145576"/>
    <x v="21"/>
    <s v="WOLVERHAMPTON CC-560069-44470320 972860-WOLVERHAMPTON CC-&amp;--&amp;-0 099 BACS CR SELECT LIFESTYLES"/>
    <n v="961.08"/>
    <n v="961.08"/>
    <n v="202932.22"/>
  </r>
  <r>
    <d v="2026-04-13T00:00:00"/>
    <x v="16"/>
    <s v="BACS Payment Received"/>
    <s v="BACS20260410100718"/>
    <x v="59"/>
    <s v="WALSALL METROPOLIT-206877-58552541 401256-WALSALL METROPOLIT-&amp;--&amp;-LRG WEEKLY FOOD 099 BACS CR SELECT LIFESTYLES"/>
    <n v="50"/>
    <n v="50"/>
    <n v="201971.14"/>
  </r>
  <r>
    <d v="2026-04-13T00:00:00"/>
    <x v="16"/>
    <s v="BACS Payment Received"/>
    <s v="BACS20260410100727"/>
    <x v="59"/>
    <s v="WALSALL METROPOLIT-206877-58552541 401256-WALSALL METROPOLIT-&amp;--&amp;-S HOLMES UTILITY 099 BACS CR SELECT LIFESTYLES"/>
    <n v="50"/>
    <n v="50"/>
    <n v="201921.14"/>
  </r>
  <r>
    <d v="2026-04-13T00:00:00"/>
    <x v="16"/>
    <s v="BACS Payment Received"/>
    <s v="BACS20260410100728"/>
    <x v="59"/>
    <s v="WALSALL METROPOLIT-206877-58552541 401256-WALSALL METROPOLIT-&amp;--&amp;-S P      S 099 BACS CR SELECT LIFESTYLES"/>
    <n v="50"/>
    <n v="50"/>
    <n v="201871.14"/>
  </r>
  <r>
    <d v="2026-04-13T00:00:00"/>
    <x v="16"/>
    <s v="BACS Payment Received"/>
    <s v="BACS20260410100721"/>
    <x v="59"/>
    <s v="WALSALL METROPOLIT-206877-58552541 401256-WALSALL METROPOLIT-&amp;--&amp;-LEO RONALD GUY 099 BACS CR SELECT LIFESTYLES"/>
    <n v="65"/>
    <n v="65"/>
    <n v="201821.14"/>
  </r>
  <r>
    <d v="2026-04-13T00:00:00"/>
    <x v="16"/>
    <s v="BACS Payment Received"/>
    <s v="BACS20260410100724"/>
    <x v="59"/>
    <s v="WALSALL METROPOLIT-206877-58552541 401256-WALSALL METROPOLIT-&amp;--&amp;-L R GUY RENT 099 BACS CR SELECT LIFESTYLES"/>
    <n v="120"/>
    <n v="120"/>
    <n v="201756.14"/>
  </r>
  <r>
    <d v="2026-04-13T00:00:00"/>
    <x v="16"/>
    <s v="BACS Payment Received"/>
    <s v="BACS20260410100726"/>
    <x v="59"/>
    <s v="WALSALL METROPOLIT-206877-58552541 401256-WALSALL METROPOLIT-&amp;--&amp;-RBATE HB TOP UP 099 BACS CR SELECT LIFESTYLES"/>
    <n v="120"/>
    <n v="120"/>
    <n v="201636.14"/>
  </r>
  <r>
    <d v="2026-04-13T00:00:00"/>
    <x v="16"/>
    <s v="BACS Payment Received"/>
    <s v="BACS20260410100730"/>
    <x v="59"/>
    <s v="WALSALL METROPOLIT-206877-58552541 401256-WALSALL METROPOLIT-&amp;--&amp;-TIA BRYON 099 BACS CR LIFESTYLES"/>
    <n v="120"/>
    <n v="120"/>
    <n v="201516.14"/>
  </r>
  <r>
    <d v="2026-04-13T00:00:00"/>
    <x v="16"/>
    <s v="BACS Payment Received"/>
    <s v="BACS20260410100719"/>
    <x v="59"/>
    <s v="WALSALL METROPOLIT-206877-58552541 401256-WALSALL METROPOLIT-&amp;--&amp;-PROGERS RENT/UTIL 099 BACS CR SELECT LIFESTYLES"/>
    <n v="145"/>
    <n v="145"/>
    <n v="201396.14"/>
  </r>
  <r>
    <d v="2026-04-13T00:00:00"/>
    <x v="16"/>
    <s v="BACS Payment Received"/>
    <s v="BACS20260410100725"/>
    <x v="59"/>
    <s v="WALSALL METROPOLIT-206877-58552541 401256-WALSALL METROPOLIT-&amp;--&amp;-KWILEMAN RENT 099 BACS CR SELECT LIFESTYLES"/>
    <n v="145"/>
    <n v="145"/>
    <n v="201251.14"/>
  </r>
  <r>
    <d v="2026-04-13T00:00:00"/>
    <x v="16"/>
    <s v="BACS Payment Received"/>
    <s v="BACS20260410100720"/>
    <x v="59"/>
    <s v="WALSALL METROPOLIT-206877-58552541 401256-WALSALL METROPOLIT-&amp;--&amp;-DSWAIN RENT &amp; SC 099 BACS CR SELECT LIFESTYLES"/>
    <n v="185"/>
    <n v="185"/>
    <n v="201106.14"/>
  </r>
  <r>
    <d v="2026-04-13T00:00:00"/>
    <x v="16"/>
    <s v="BACS Payment Received"/>
    <s v="BACS20260410141125"/>
    <x v="290"/>
    <s v="CALLUM BRADNICK-607080-10025863 278961-CALLUM BRADNICK-&amp;--&amp;-000000003713432439 099 BACS CR CALLUM BRADNICK"/>
    <n v="411.67"/>
    <n v="411.67"/>
    <n v="200921.14"/>
  </r>
  <r>
    <d v="2026-04-13T00:00:00"/>
    <x v="16"/>
    <s v="BACS Payment Received"/>
    <s v="BACS20260410141324"/>
    <x v="291"/>
    <s v="N PATEL-607080-10025863 278961-N PATEL-&amp;--&amp;-000000003713501302 099 BACS CR NICKY PATEL"/>
    <n v="411.67"/>
    <n v="411.67"/>
    <n v="200509.47"/>
  </r>
  <r>
    <d v="2026-04-13T00:00:00"/>
    <x v="16"/>
    <s v="BACS Payment Received"/>
    <s v="BACS20260410142155"/>
    <x v="292"/>
    <s v="ASCULLION-607080-10025863 278961-ASCULLION-&amp;--&amp;-000000003713511276 099 BACS CR ANDREW SCULLION"/>
    <n v="411.67"/>
    <n v="411.67"/>
    <n v="200097.8"/>
  </r>
  <r>
    <d v="2026-04-13T00:00:00"/>
    <x v="16"/>
    <s v="BACS Payment Received"/>
    <s v="BACS20260410121557"/>
    <x v="293"/>
    <s v="BIRMINGHAM   SOLIH-607080-10033610 188209-BIRMINGHAM   SOLIH-&amp;--&amp;-BIRMINGHAM COLLAB 099 BACS CR SELECT LIFESTYLES"/>
    <n v="2091.66"/>
    <n v="2091.66"/>
    <n v="199686.13"/>
  </r>
  <r>
    <d v="2026-04-13T00:00:00"/>
    <x v="16"/>
    <s v="Inward Payment"/>
    <s v="FT26103ZBYT6"/>
    <x v="97"/>
    <s v="ADAM ASTLEY"/>
    <n v="50"/>
    <n v="50"/>
    <n v="197594.47"/>
  </r>
  <r>
    <d v="2026-04-13T00:00:00"/>
    <x v="16"/>
    <s v="Inward Payment"/>
    <s v="FT26103J32S2"/>
    <x v="16"/>
    <s v="JAMES COOPER RENT"/>
    <n v="95"/>
    <n v="95"/>
    <n v="197544.47"/>
  </r>
  <r>
    <d v="2026-04-13T00:00:00"/>
    <x v="16"/>
    <s v="Inward Payment"/>
    <s v="FT26103LYWP1"/>
    <x v="16"/>
    <s v="J COOPER SC"/>
    <n v="50"/>
    <n v="50"/>
    <n v="197449.47"/>
  </r>
  <r>
    <d v="2026-04-13T00:00:00"/>
    <x v="16"/>
    <s v="Inward Payment"/>
    <s v="FT261030FD1Z"/>
    <x v="101"/>
    <s v="KATIE PARKER RENT"/>
    <n v="6.08"/>
    <n v="6.08"/>
    <n v="197399.47"/>
  </r>
  <r>
    <d v="2026-04-13T00:00:00"/>
    <x v="16"/>
    <s v="Inward Payment"/>
    <s v="FT261039BH0L"/>
    <x v="36"/>
    <s v="MARKEY GRAY-RENT"/>
    <n v="120"/>
    <n v="120"/>
    <n v="197393.39"/>
  </r>
  <r>
    <d v="2026-04-13T00:00:00"/>
    <x v="16"/>
    <s v="Inward Payment"/>
    <s v="FT26103KQW9L"/>
    <x v="278"/>
    <s v="BRANDONB RENT UT"/>
    <n v="580"/>
    <n v="580"/>
    <n v="197273.39"/>
  </r>
  <r>
    <d v="2026-04-13T00:00:00"/>
    <x v="16"/>
    <s v="Inward Payment"/>
    <s v="FT261039L2CF"/>
    <x v="101"/>
    <s v="KATIE PARKER UTILI"/>
    <n v="65"/>
    <n v="65"/>
    <n v="196693.39"/>
  </r>
  <r>
    <d v="2026-04-13T00:00:00"/>
    <x v="16"/>
    <s v="Inward Payment"/>
    <s v="FT26103HQKYZ"/>
    <x v="62"/>
    <s v="LEIGH AMES UTILITI"/>
    <n v="65"/>
    <n v="65"/>
    <n v="196628.39"/>
  </r>
  <r>
    <d v="2026-04-13T00:00:00"/>
    <x v="16"/>
    <s v="Inward Payment"/>
    <s v="FT26103R62ZC"/>
    <x v="103"/>
    <s v="SIMON KELLY UTILIT"/>
    <n v="50"/>
    <n v="50"/>
    <n v="196563.39"/>
  </r>
  <r>
    <d v="2026-04-13T00:00:00"/>
    <x v="16"/>
    <s v="Inward Payment"/>
    <s v="FT26103W8LCT"/>
    <x v="99"/>
    <s v="GEMMA BAKER UTILIT"/>
    <n v="65"/>
    <n v="65"/>
    <n v="196513.39"/>
  </r>
  <r>
    <d v="2026-04-13T00:00:00"/>
    <x v="16"/>
    <s v="Inward Payment"/>
    <s v="FT26103CPTW0"/>
    <x v="98"/>
    <s v="DAVID MORRIS RENT"/>
    <n v="95"/>
    <n v="95"/>
    <n v="196448.39"/>
  </r>
  <r>
    <d v="2026-04-13T00:00:00"/>
    <x v="16"/>
    <s v="Inward Payment"/>
    <s v="FT261036QPQ7"/>
    <x v="98"/>
    <s v="DAVID MORRIS UTILI"/>
    <n v="50"/>
    <n v="50"/>
    <n v="196353.39"/>
  </r>
  <r>
    <d v="2026-04-13T00:00:00"/>
    <x v="16"/>
    <s v="Inward Payment"/>
    <s v="FT2610304QKJ"/>
    <x v="61"/>
    <s v="ANTHONY MEACHIN RE"/>
    <n v="95"/>
    <n v="95"/>
    <n v="196303.39"/>
  </r>
  <r>
    <d v="2026-04-13T00:00:00"/>
    <x v="16"/>
    <s v="Inward Payment"/>
    <s v="FT26103N5PD0"/>
    <x v="100"/>
    <s v="CHRISTOPHER MILLIN"/>
    <n v="50"/>
    <n v="50"/>
    <n v="196208.39"/>
  </r>
  <r>
    <d v="2026-04-13T00:00:00"/>
    <x v="16"/>
    <s v="Inward Payment"/>
    <s v="FT26103PGG46"/>
    <x v="63"/>
    <n v="38252"/>
    <n v="65"/>
    <n v="65"/>
    <n v="196158.39"/>
  </r>
  <r>
    <d v="2026-04-13T00:00:00"/>
    <x v="16"/>
    <s v="Inward Payment"/>
    <s v="FT26103W6335"/>
    <x v="101"/>
    <s v="KATIE PARKER VEHIC"/>
    <n v="11.96"/>
    <n v="11.96"/>
    <n v="196093.39"/>
  </r>
  <r>
    <d v="2026-04-13T00:00:00"/>
    <x v="16"/>
    <s v="Inward Payment"/>
    <s v="FT26103P924D"/>
    <x v="36"/>
    <s v="MARKER GRAY-UTILIT"/>
    <n v="65"/>
    <n v="65"/>
    <n v="196081.43"/>
  </r>
  <r>
    <d v="2026-04-13T00:00:00"/>
    <x v="16"/>
    <s v="Inward Payment"/>
    <s v="FT26103PT5C7"/>
    <x v="103"/>
    <s v="SIMON KELLY WEEKLY"/>
    <n v="95"/>
    <n v="95"/>
    <n v="196016.43"/>
  </r>
  <r>
    <d v="2026-04-13T00:00:00"/>
    <x v="16"/>
    <s v="Inward Payment"/>
    <s v="FT26103N2T2W"/>
    <x v="74"/>
    <s v="JOHN UPCOTT"/>
    <n v="145"/>
    <n v="145"/>
    <n v="195921.43"/>
  </r>
  <r>
    <d v="2026-04-13T00:00:00"/>
    <x v="16"/>
    <s v="Inward Payment"/>
    <s v="FT261036DX1H"/>
    <x v="68"/>
    <s v="PETER HARRIS"/>
    <n v="380"/>
    <n v="380"/>
    <n v="195776.43"/>
  </r>
  <r>
    <d v="2026-04-13T00:00:00"/>
    <x v="16"/>
    <s v="Inward Payment"/>
    <s v="FT26103MT795"/>
    <x v="89"/>
    <s v="ZACHARY J HUGHES"/>
    <n v="50"/>
    <n v="50"/>
    <n v="195396.43"/>
  </r>
  <r>
    <d v="2026-04-13T00:00:00"/>
    <x v="16"/>
    <s v="Inward Payment"/>
    <s v="FT26103CPXKF"/>
    <x v="23"/>
    <s v="SERVICE CHARGE PW"/>
    <n v="50"/>
    <n v="50"/>
    <n v="195346.43"/>
  </r>
  <r>
    <d v="2026-04-13T00:00:00"/>
    <x v="16"/>
    <s v="Inward Payment"/>
    <s v="FT26103WX3D0"/>
    <x v="294"/>
    <s v="ROXY SCULLION"/>
    <n v="216.67"/>
    <n v="216.67"/>
    <n v="195296.43"/>
  </r>
  <r>
    <d v="2026-04-13T00:00:00"/>
    <x v="16"/>
    <s v="Inward Payment"/>
    <s v="FT26103Z5T3P"/>
    <x v="37"/>
    <s v="DANIEL MEHMI"/>
    <n v="95"/>
    <n v="95"/>
    <n v="195079.76"/>
  </r>
  <r>
    <d v="2026-04-13T00:00:00"/>
    <x v="16"/>
    <s v="Inward Payment"/>
    <s v="FT261036Y1C1"/>
    <x v="104"/>
    <s v="AMY ELWELL"/>
    <n v="50"/>
    <n v="50"/>
    <n v="194984.76"/>
  </r>
  <r>
    <d v="2026-04-13T00:00:00"/>
    <x v="16"/>
    <s v="Inward Payment"/>
    <s v="FT26103R748F"/>
    <x v="107"/>
    <s v="MRS M WOLVERSON"/>
    <n v="6.08"/>
    <n v="6.08"/>
    <n v="194934.76"/>
  </r>
  <r>
    <d v="2026-04-13T00:00:00"/>
    <x v="16"/>
    <s v="Inward Payment"/>
    <s v="FT2610383D1N"/>
    <x v="105"/>
    <s v="DAVID PILLINGER"/>
    <n v="65"/>
    <n v="65"/>
    <n v="194928.68"/>
  </r>
  <r>
    <d v="2026-04-13T00:00:00"/>
    <x v="16"/>
    <s v="Inward Payment"/>
    <s v="FT26103R4Z6T"/>
    <x v="105"/>
    <s v="DPILLINGER TRANSP"/>
    <n v="11.96"/>
    <n v="11.96"/>
    <n v="194863.68"/>
  </r>
  <r>
    <d v="2026-04-13T00:00:00"/>
    <x v="16"/>
    <s v="Inward Payment"/>
    <s v="FT26103171YL"/>
    <x v="113"/>
    <s v="WESTLEY YATES"/>
    <n v="50"/>
    <n v="50"/>
    <n v="194851.72"/>
  </r>
  <r>
    <d v="2026-04-13T00:00:00"/>
    <x v="16"/>
    <s v="Inward Payment"/>
    <s v="FT26103WV0NF"/>
    <x v="110"/>
    <s v="LOUISE ROBERTS"/>
    <n v="95"/>
    <n v="95"/>
    <n v="194801.72"/>
  </r>
  <r>
    <d v="2026-04-13T00:00:00"/>
    <x v="16"/>
    <s v="Inward Payment"/>
    <s v="FT2610389GJK"/>
    <x v="112"/>
    <s v="GARY EDWARDS"/>
    <n v="50"/>
    <n v="50"/>
    <n v="194706.72"/>
  </r>
  <r>
    <d v="2026-04-13T00:00:00"/>
    <x v="16"/>
    <s v="Inward Payment"/>
    <s v="FT26103PNFHN"/>
    <x v="111"/>
    <s v="LOUISE ROBERTS"/>
    <n v="50"/>
    <n v="50"/>
    <n v="194656.72"/>
  </r>
  <r>
    <d v="2026-04-13T00:00:00"/>
    <x v="16"/>
    <s v="Inward Payment"/>
    <s v="FT26103N2QL9"/>
    <x v="109"/>
    <s v="A FRANCE RENT"/>
    <n v="95"/>
    <n v="95"/>
    <n v="194606.72"/>
  </r>
  <r>
    <d v="2026-04-13T00:00:00"/>
    <x v="16"/>
    <s v="Inward Payment"/>
    <s v="FT26103QX4L2"/>
    <x v="106"/>
    <s v="ANTHONY FRANCE"/>
    <n v="50"/>
    <n v="50"/>
    <n v="194511.72"/>
  </r>
  <r>
    <d v="2026-04-13T00:00:00"/>
    <x v="16"/>
    <s v="Inward Payment"/>
    <s v="FT26103VDNF0"/>
    <x v="114"/>
    <s v="DAVID SEABRIGHT"/>
    <n v="120"/>
    <n v="120"/>
    <n v="194461.72"/>
  </r>
  <r>
    <d v="2026-04-13T00:00:00"/>
    <x v="16"/>
    <s v="Inward Payment"/>
    <s v="FT26103RYN9R"/>
    <x v="108"/>
    <s v="LAUREN SMITH"/>
    <n v="150"/>
    <n v="150"/>
    <n v="194341.72"/>
  </r>
  <r>
    <d v="2026-04-13T00:00:00"/>
    <x v="16"/>
    <s v="Inward Payment"/>
    <s v="FT26103CBF36"/>
    <x v="117"/>
    <s v="NO REF"/>
    <n v="50"/>
    <n v="50"/>
    <n v="194191.72"/>
  </r>
  <r>
    <d v="2026-04-13T00:00:00"/>
    <x v="16"/>
    <s v="Inward Payment"/>
    <s v="FT26103XKHDV"/>
    <x v="115"/>
    <s v="FOOD SHOPPING"/>
    <n v="50"/>
    <n v="50"/>
    <n v="194141.72"/>
  </r>
  <r>
    <d v="2026-04-13T00:00:00"/>
    <x v="16"/>
    <s v="Inward Payment"/>
    <s v="FT26103GLY4R"/>
    <x v="118"/>
    <s v="JAMES EASTWOOD"/>
    <n v="50"/>
    <n v="50"/>
    <n v="194091.72"/>
  </r>
  <r>
    <d v="2026-04-13T00:00:00"/>
    <x v="16"/>
    <s v="Inward Payment"/>
    <s v="FT26103V20C9"/>
    <x v="116"/>
    <s v="RYAN LAWLEY"/>
    <n v="50"/>
    <n v="50"/>
    <n v="194041.72"/>
  </r>
  <r>
    <d v="2026-04-13T00:00:00"/>
    <x v="16"/>
    <s v="Inward Payment"/>
    <s v="FT26103T8GZK"/>
    <x v="119"/>
    <s v="select Utility"/>
    <n v="50"/>
    <n v="50"/>
    <n v="193991.72"/>
  </r>
  <r>
    <d v="2026-04-13T00:00:00"/>
    <x v="16"/>
    <s v="Inward Payment"/>
    <s v="FT26103ZH187"/>
    <x v="116"/>
    <s v="RYAN LAWLEY"/>
    <n v="95"/>
    <n v="95"/>
    <n v="193941.72"/>
  </r>
  <r>
    <d v="2026-04-10T00:00:00"/>
    <x v="16"/>
    <s v="Inward Payment"/>
    <s v="FT261001GL5P"/>
    <x v="120"/>
    <s v="SHEYLLA"/>
    <n v="120"/>
    <n v="120"/>
    <n v="193846.72"/>
  </r>
  <r>
    <d v="2026-04-10T00:00:00"/>
    <x v="17"/>
    <s v="Inward Payment"/>
    <s v="FT26100LQX1J"/>
    <x v="121"/>
    <s v="KIERON WILSON CASH"/>
    <n v="200"/>
    <n v="200"/>
    <n v="193726.72"/>
  </r>
  <r>
    <d v="2026-04-10T00:00:00"/>
    <x v="18"/>
    <s v="Inward Payment"/>
    <s v="FT261000DBLB"/>
    <x v="147"/>
    <s v="3rdaprUTILITYMISS"/>
    <n v="50"/>
    <n v="50"/>
    <n v="193526.72"/>
  </r>
  <r>
    <d v="2026-04-10T00:00:00"/>
    <x v="19"/>
    <s v="Outward Faster Payment"/>
    <s v="FT26100SB5BR"/>
    <x v="295"/>
    <s v="Tesco payment"/>
    <n v="-126.34"/>
    <s v=""/>
    <n v="193476.72"/>
  </r>
  <r>
    <d v="2026-04-10T00:00:00"/>
    <x v="19"/>
    <s v="Inward Payment"/>
    <s v="FT26100P35X8"/>
    <x v="40"/>
    <s v="C SKELDON"/>
    <n v="216.67"/>
    <n v="216.67"/>
    <n v="193603.06"/>
  </r>
  <r>
    <d v="2026-04-10T00:00:00"/>
    <x v="19"/>
    <s v="Account to Account Transfer"/>
    <s v="FT26100Q3WGS"/>
    <x v="4"/>
    <s v="cc B Houlden"/>
    <n v="-83"/>
    <s v=""/>
    <n v="193386.39"/>
  </r>
  <r>
    <d v="2026-04-10T00:00:00"/>
    <x v="19"/>
    <s v="Inward Payment"/>
    <s v="FT26100QMX03"/>
    <x v="296"/>
    <s v="britneys pip"/>
    <n v="300"/>
    <n v="300"/>
    <n v="193469.39"/>
  </r>
  <r>
    <d v="2026-04-10T00:00:00"/>
    <x v="19"/>
    <s v="Inward Payment"/>
    <s v="FT26100G6ZMZ"/>
    <x v="143"/>
    <s v="PAUL BATSON WKLY U"/>
    <n v="50"/>
    <n v="50"/>
    <n v="193169.39"/>
  </r>
  <r>
    <d v="2026-04-10T00:00:00"/>
    <x v="19"/>
    <s v="Inward Payment"/>
    <s v="FT261007NS22"/>
    <x v="143"/>
    <s v="WEEKLY RENT PAUL B"/>
    <n v="95"/>
    <n v="95"/>
    <n v="193119.39"/>
  </r>
  <r>
    <d v="2026-04-10T00:00:00"/>
    <x v="19"/>
    <s v="Card Transaction"/>
    <s v="00001580192-20260409-1520292"/>
    <x v="297"/>
    <s v="GBR 20260408 INST CHRTRD ACCTS ENGL MILTON KEYNES"/>
    <n v="-510"/>
    <s v=""/>
    <n v="193024.39"/>
  </r>
  <r>
    <d v="2026-04-10T00:00:00"/>
    <x v="19"/>
    <s v="Outward Faster Payment"/>
    <s v="FT260998KMKD"/>
    <x v="298"/>
    <s v="Inv 28951"/>
    <n v="-3095.75"/>
    <s v=""/>
    <n v="193534.39"/>
  </r>
  <r>
    <d v="2026-04-10T00:00:00"/>
    <x v="19"/>
    <s v="Outward Faster Payment"/>
    <s v="FT2609918M0B"/>
    <x v="299"/>
    <s v="SELEC00002"/>
    <n v="-1515.83"/>
    <s v=""/>
    <n v="196630.14"/>
  </r>
  <r>
    <d v="2026-04-10T00:00:00"/>
    <x v="19"/>
    <s v="Outward Faster Payment"/>
    <s v="FT260992NRVD"/>
    <x v="300"/>
    <s v="RLEY"/>
    <n v="-388.55"/>
    <s v=""/>
    <n v="198145.97"/>
  </r>
  <r>
    <d v="2026-04-10T00:00:00"/>
    <x v="19"/>
    <s v="Outward Faster Payment"/>
    <s v="FT2609954TMZ"/>
    <x v="301"/>
    <s v="612347849527 OAKLE"/>
    <n v="-328.82"/>
    <s v=""/>
    <n v="198534.52"/>
  </r>
  <r>
    <d v="2026-04-10T00:00:00"/>
    <x v="19"/>
    <s v="Outward Faster Payment"/>
    <s v="FT26099PBWWN"/>
    <x v="302"/>
    <s v="PA688827D GALLAGHE"/>
    <n v="-304.05"/>
    <s v=""/>
    <n v="198863.34"/>
  </r>
  <r>
    <d v="2026-04-10T00:00:00"/>
    <x v="19"/>
    <s v="Outward Faster Payment"/>
    <s v="FT26099FK069"/>
    <x v="302"/>
    <s v="DGE"/>
    <n v="-279.42"/>
    <s v=""/>
    <n v="199167.39"/>
  </r>
  <r>
    <d v="2026-04-10T00:00:00"/>
    <x v="19"/>
    <s v="Outward Faster Payment"/>
    <s v="FT2609905S74"/>
    <x v="302"/>
    <s v="AMMOND"/>
    <n v="-276.98"/>
    <s v=""/>
    <n v="199446.81"/>
  </r>
  <r>
    <d v="2026-04-10T00:00:00"/>
    <x v="19"/>
    <s v="Outward Faster Payment"/>
    <s v="FT260991YM9W"/>
    <x v="302"/>
    <s v="ESLER"/>
    <n v="-263.79"/>
    <s v=""/>
    <n v="199723.79"/>
  </r>
  <r>
    <d v="2026-04-10T00:00:00"/>
    <x v="19"/>
    <s v="Outward Faster Payment"/>
    <s v="FT26099FFPPC"/>
    <x v="300"/>
    <s v="ARP"/>
    <n v="-250.84"/>
    <s v=""/>
    <n v="199987.58"/>
  </r>
  <r>
    <d v="2026-04-10T00:00:00"/>
    <x v="19"/>
    <s v="Outward Faster Payment"/>
    <s v="FT26099Z7PRZ"/>
    <x v="302"/>
    <s v="STWOOD"/>
    <n v="-170.56"/>
    <s v=""/>
    <n v="200238.42"/>
  </r>
  <r>
    <d v="2026-04-10T00:00:00"/>
    <x v="19"/>
    <s v="Outward Faster Payment"/>
    <s v="FT26099XZY3M"/>
    <x v="300"/>
    <s v="501006923284 SAMUE"/>
    <n v="-156.18"/>
    <s v=""/>
    <n v="200408.98"/>
  </r>
  <r>
    <d v="2026-04-10T00:00:00"/>
    <x v="19"/>
    <s v="Outward Faster Payment"/>
    <s v="FT260999FZLV"/>
    <x v="302"/>
    <s v="HE"/>
    <n v="-137.11"/>
    <s v=""/>
    <n v="200565.16"/>
  </r>
  <r>
    <d v="2026-04-10T00:00:00"/>
    <x v="19"/>
    <s v="Outward Faster Payment"/>
    <s v="FT26099JZZ05"/>
    <x v="303"/>
    <s v="75344488 PHILLIPS"/>
    <n v="-100"/>
    <s v=""/>
    <n v="200702.27"/>
  </r>
  <r>
    <d v="2026-04-10T00:00:00"/>
    <x v="19"/>
    <s v="Outward Faster Payment"/>
    <s v="FT26099GBSXK"/>
    <x v="302"/>
    <s v="RGUSON"/>
    <n v="-80.01000000000001"/>
    <s v=""/>
    <n v="200802.27"/>
  </r>
  <r>
    <d v="2026-04-10T00:00:00"/>
    <x v="19"/>
    <s v="Outward Faster Payment"/>
    <s v="FT26099Z01VW"/>
    <x v="304"/>
    <s v="5041802812 GADDU"/>
    <n v="-68.18000000000001"/>
    <s v=""/>
    <n v="200882.28"/>
  </r>
  <r>
    <d v="2026-04-10T00:00:00"/>
    <x v="19"/>
    <s v="Outward Faster Payment"/>
    <s v="FT26099FPMYD"/>
    <x v="302"/>
    <s v="YYAR"/>
    <n v="-65"/>
    <s v=""/>
    <n v="200950.46"/>
  </r>
  <r>
    <d v="2026-04-10T00:00:00"/>
    <x v="19"/>
    <s v="Outward Faster Payment"/>
    <s v="FT26099FSX85"/>
    <x v="302"/>
    <s v="ORGE"/>
    <n v="-60"/>
    <s v=""/>
    <n v="201015.46"/>
  </r>
  <r>
    <d v="2026-04-10T00:00:00"/>
    <x v="19"/>
    <s v="Outward Faster Payment"/>
    <s v="FT260993YFRF"/>
    <x v="301"/>
    <s v="612346141652 MAHGA"/>
    <n v="-52.56"/>
    <s v=""/>
    <n v="201075.46"/>
  </r>
  <r>
    <d v="2026-04-10T00:00:00"/>
    <x v="19"/>
    <s v="Outward Faster Payment"/>
    <s v="FT260990NP1N"/>
    <x v="302"/>
    <s v="DCLIFF"/>
    <n v="-50"/>
    <s v=""/>
    <n v="201128.02"/>
  </r>
  <r>
    <d v="2026-04-10T00:00:00"/>
    <x v="19"/>
    <s v="Outward Faster Payment"/>
    <s v="FT26099CLN9R"/>
    <x v="301"/>
    <s v="612345475484 PRICE"/>
    <n v="-1.28"/>
    <s v=""/>
    <n v="201178.02"/>
  </r>
  <r>
    <d v="2026-04-10T00:00:00"/>
    <x v="19"/>
    <s v="Direct Debit"/>
    <s v="DDC20260409234422"/>
    <x v="305"/>
    <s v="MBFIN  S0BN25KWH01 S0BN25KWH014299997"/>
    <n v="-533.5"/>
    <s v=""/>
    <n v="201179.3"/>
  </r>
  <r>
    <d v="2026-04-10T00:00:00"/>
    <x v="19"/>
    <s v="Direct Debit"/>
    <s v="DDC20260409245504"/>
    <x v="185"/>
    <s v="VIRGIN MEDIA PYMTS 070079803001"/>
    <n v="-83.34"/>
    <s v=""/>
    <n v="201712.8"/>
  </r>
  <r>
    <d v="2026-04-10T00:00:00"/>
    <x v="19"/>
    <s v="Direct Debit"/>
    <s v="DDC20260409271682"/>
    <x v="11"/>
    <s v="MULTIFLEET VEHICLE 0210438-004"/>
    <n v="-24"/>
    <s v=""/>
    <n v="201796.14"/>
  </r>
  <r>
    <d v="2026-04-10T00:00:00"/>
    <x v="19"/>
    <s v="Direct Debit"/>
    <s v="DDC20260409201440"/>
    <x v="133"/>
    <s v="BIZLEND LTD GBP AC BIZLEND4444"/>
    <n v="-5625"/>
    <s v=""/>
    <n v="201820.14"/>
  </r>
  <r>
    <d v="2026-04-10T00:00:00"/>
    <x v="19"/>
    <s v="Direct Debit"/>
    <s v="DDC20260409237351"/>
    <x v="56"/>
    <s v="BRITISH GAS BUSINE 600867263301123000"/>
    <n v="-254"/>
    <s v=""/>
    <n v="207445.14"/>
  </r>
  <r>
    <d v="2026-04-10T00:00:00"/>
    <x v="19"/>
    <s v="Inward Payment"/>
    <s v="FT261003H7HC"/>
    <x v="306"/>
    <s v="LEVI GARDNER"/>
    <n v="216.67"/>
    <n v="216.67"/>
    <n v="207699.14"/>
  </r>
  <r>
    <d v="2026-04-10T00:00:00"/>
    <x v="19"/>
    <s v="Inward Payment"/>
    <s v="FT261005YBWK"/>
    <x v="146"/>
    <s v="D WOODHALL"/>
    <n v="45"/>
    <n v="45"/>
    <n v="207482.47"/>
  </r>
  <r>
    <d v="2026-04-10T00:00:00"/>
    <x v="19"/>
    <s v="BACS Payment Received"/>
    <s v="BACS20260409127260"/>
    <x v="307"/>
    <s v="TPALETHORPE-607080-10025863 278961-TPALETHORPE-&amp;--&amp;-000000003708902197 099 BACS CR TOBY PALETHORPE"/>
    <n v="495"/>
    <n v="495"/>
    <n v="207437.47"/>
  </r>
  <r>
    <d v="2026-04-10T00:00:00"/>
    <x v="19"/>
    <s v="BACS Payment Received"/>
    <s v="BACS20260409127296"/>
    <x v="308"/>
    <s v="CLAVENDER-607080-10025863 278961-CLAVENDER-&amp;--&amp;-000000003708957746 099 BACS CR CHRISTIAN LAVENDER"/>
    <n v="495"/>
    <n v="495"/>
    <n v="206942.47"/>
  </r>
  <r>
    <d v="2026-04-10T00:00:00"/>
    <x v="19"/>
    <s v="BACS Payment Received"/>
    <s v="BACS20260409127325"/>
    <x v="309"/>
    <s v="107C-607080-10025863 278961-107C-&amp;--&amp;-000000003708964126 099 BACS CR KRYSTIAN MAZUR"/>
    <n v="495"/>
    <n v="495"/>
    <n v="206447.47"/>
  </r>
  <r>
    <d v="2026-04-10T00:00:00"/>
    <x v="19"/>
    <s v="BACS Payment Received"/>
    <s v="BACS20260409127331"/>
    <x v="310"/>
    <s v="RYAN OAKES-607080-10025863 278961-RYAN OAKES-&amp;--&amp;-000000003708964085 099 BACS CR RYAN OAKES"/>
    <n v="495"/>
    <n v="495"/>
    <n v="205952.47"/>
  </r>
  <r>
    <d v="2026-04-10T00:00:00"/>
    <x v="19"/>
    <s v="BACS Payment Received"/>
    <s v="BACS20260409101443"/>
    <x v="59"/>
    <s v="WALSALL METROPOLIT-206877-58552541 401256-WALSALL METROPOLIT-&amp;--&amp;-N SMITH SC 099 BACS CR SELECT LIFESTYLES"/>
    <n v="50"/>
    <n v="50"/>
    <n v="205457.47"/>
  </r>
  <r>
    <d v="2026-04-10T00:00:00"/>
    <x v="19"/>
    <s v="BACS Payment Received"/>
    <s v="BACS20260409101442"/>
    <x v="59"/>
    <s v="WALSALL METROPOLIT-206877-58552541 401256-WALSALL METROPOLIT-&amp;--&amp;-S        R 099 BACS CR SELECT LIFESTYLES"/>
    <n v="95"/>
    <n v="95"/>
    <n v="205407.47"/>
  </r>
  <r>
    <d v="2026-04-10T00:00:00"/>
    <x v="19"/>
    <s v="BACS Payment Received"/>
    <s v="BACS20260409101445"/>
    <x v="59"/>
    <s v="WALSALL METROPOLIT-206877-58552541 401256-WALSALL METROPOLIT-&amp;--&amp;-S B     W     R 099 BACS CR SELECT LIFESTYLES"/>
    <n v="95"/>
    <n v="95"/>
    <n v="205312.47"/>
  </r>
  <r>
    <d v="2026-04-10T00:00:00"/>
    <x v="19"/>
    <s v="BACS Payment Received"/>
    <s v="BACS20260409101446"/>
    <x v="59"/>
    <s v="WALSALL METROPOLIT-206877-58552541 401256-WALSALL METROPOLIT-&amp;--&amp;-S HOLMES UTILITY 099 BACS CR SELECT LIFESTYLES"/>
    <n v="95"/>
    <n v="95"/>
    <n v="205217.47"/>
  </r>
  <r>
    <d v="2026-04-10T00:00:00"/>
    <x v="19"/>
    <s v="BACS Payment Received"/>
    <s v="BACS20260409101447"/>
    <x v="59"/>
    <s v="WALSALL METROPOLIT-206877-58552541 401256-WALSALL METROPOLIT-&amp;--&amp;-NM SMITH RENT 099 BACS CR SELECT LIFESTYLES"/>
    <n v="95"/>
    <n v="95"/>
    <n v="205122.47"/>
  </r>
  <r>
    <d v="2026-04-10T00:00:00"/>
    <x v="19"/>
    <s v="BACS Payment Received"/>
    <s v="BACS20260409130629"/>
    <x v="311"/>
    <s v="CHLOE SKELDON-607080-10025863 278961-CHLOE SKELDON-&amp;--&amp;-000000003709811628 099 BACS CR CHLOE SKELDON"/>
    <n v="411.67"/>
    <n v="411.67"/>
    <n v="205027.47"/>
  </r>
  <r>
    <d v="2026-04-10T00:00:00"/>
    <x v="19"/>
    <s v="BACS Payment Received"/>
    <s v="BACS20260409130687"/>
    <x v="312"/>
    <s v="LGARDNER-607080-10025863 278961-LGARDNER-&amp;--&amp;-000000003709391794 099 BACS CR LEVI GARDNER"/>
    <n v="411.67"/>
    <n v="411.67"/>
    <n v="204615.8"/>
  </r>
  <r>
    <d v="2026-04-10T00:00:00"/>
    <x v="19"/>
    <s v="BACS Payment Received"/>
    <s v="BACS20260409133913"/>
    <x v="264"/>
    <s v="PEOPLEPLUS GROUP L-600001-48991295 775043-PEOPLEPLUS GROUP L-&amp;--&amp;-44340 099 BACS CR SELECT LIFESTYLES"/>
    <n v="904"/>
    <n v="904"/>
    <n v="204204.13"/>
  </r>
  <r>
    <d v="2026-04-10T00:00:00"/>
    <x v="19"/>
    <s v="BACS Payment Received"/>
    <s v="BACS20260409133910"/>
    <x v="264"/>
    <s v="PEOPLEPLUS GROUP L-600001-48991295 775043-PEOPLEPLUS GROUP L-&amp;--&amp;-44353 099 BACS CR SELECTLIFESTYLESLT"/>
    <n v="1088"/>
    <n v="1088"/>
    <n v="203300.13"/>
  </r>
  <r>
    <d v="2026-04-10T00:00:00"/>
    <x v="19"/>
    <s v="BACS Payment Received"/>
    <s v="BACS20260409133916"/>
    <x v="264"/>
    <s v="PEOPLEPLUS GROUP L-600001-48991295 775043-PEOPLEPLUS GROUP L-&amp;--&amp;-44338 099 BACS CR SELECT LIFESTYLES"/>
    <n v="1800"/>
    <n v="1800"/>
    <n v="202212.13"/>
  </r>
  <r>
    <d v="2026-04-10T00:00:00"/>
    <x v="19"/>
    <s v="BACS Payment Received"/>
    <s v="BACS20260409133918"/>
    <x v="264"/>
    <s v="PEOPLEPLUS GROUP L-600001-48991295 775043-PEOPLEPLUS GROUP L-&amp;--&amp;-44343 099 BACS CR SELECT LIFESTYLES"/>
    <n v="3220"/>
    <n v="3220"/>
    <n v="200412.13"/>
  </r>
  <r>
    <d v="2026-04-10T00:00:00"/>
    <x v="19"/>
    <s v="BACS Payment Received"/>
    <s v="BACS20260409133914"/>
    <x v="264"/>
    <s v="PEOPLEPLUS GROUP L-600001-48991295 775043-PEOPLEPLUS GROUP L-&amp;--&amp;-44342 099 BACS CR SELECT LIFESTYLES"/>
    <n v="3374"/>
    <n v="3374"/>
    <n v="197192.13"/>
  </r>
  <r>
    <d v="2026-04-10T00:00:00"/>
    <x v="19"/>
    <s v="BACS Payment Received"/>
    <s v="BACS20260409133915"/>
    <x v="264"/>
    <s v="PEOPLEPLUS GROUP L-600001-48991295 775043-PEOPLEPLUS GROUP L-&amp;--&amp;-44341 099 BACS CR SELECT LIFESTYLES"/>
    <n v="3665.2"/>
    <n v="3665.2"/>
    <n v="193818.13"/>
  </r>
  <r>
    <d v="2026-04-10T00:00:00"/>
    <x v="19"/>
    <s v="BACS Payment Received"/>
    <s v="BACS20260409133984"/>
    <x v="21"/>
    <s v="WOLVERHAMPTON CC-560069-44470320 972860-WOLVERHAMPTON CC-&amp;--&amp;-0 099 BACS CR SELECT LIFESTYLES"/>
    <n v="141719.32"/>
    <n v="141719.32"/>
    <n v="190152.93"/>
  </r>
  <r>
    <d v="2026-04-10T00:00:00"/>
    <x v="19"/>
    <s v="Inward Payment"/>
    <s v="FT26100KJL37"/>
    <x v="107"/>
    <s v="ANGELA WOLVERSON"/>
    <n v="65"/>
    <n v="65"/>
    <n v="48433.61"/>
  </r>
  <r>
    <d v="2026-04-10T00:00:00"/>
    <x v="19"/>
    <s v="Inward Payment"/>
    <s v="FT26100Y9VBD"/>
    <x v="147"/>
    <s v="BRANLUCASSERVICE"/>
    <n v="50"/>
    <n v="50"/>
    <n v="48368.61"/>
  </r>
  <r>
    <d v="2026-04-10T00:00:00"/>
    <x v="19"/>
    <s v="Inward Payment"/>
    <s v="FT26100PMLKC"/>
    <x v="148"/>
    <s v="R DAWSON RENT"/>
    <n v="50"/>
    <n v="50"/>
    <n v="48318.61"/>
  </r>
  <r>
    <d v="2026-04-10T00:00:00"/>
    <x v="19"/>
    <s v="Inward Payment"/>
    <s v="FT261007QM3Q"/>
    <x v="313"/>
    <s v="Service Charge"/>
    <n v="260"/>
    <n v="260"/>
    <n v="48268.61"/>
  </r>
  <r>
    <d v="2026-04-09T00:00:00"/>
    <x v="20"/>
    <s v="Inward Payment"/>
    <s v="FT260995KK3J"/>
    <x v="314"/>
    <s v="Jamie ward"/>
    <n v="210"/>
    <n v="210"/>
    <n v="48008.61"/>
  </r>
  <r>
    <d v="2026-04-09T00:00:00"/>
    <x v="20"/>
    <s v="Inward Payment"/>
    <s v="FT260999KJHV"/>
    <x v="7"/>
    <s v="LIFESTYLES"/>
    <n v="65"/>
    <n v="65"/>
    <n v="47798.61"/>
  </r>
  <r>
    <d v="2026-04-09T00:00:00"/>
    <x v="20"/>
    <s v="Direct Debit"/>
    <s v="DDC20260408219290"/>
    <x v="157"/>
    <s v="BNP PARIBAS LEASIN A1E87101  V5903040"/>
    <n v="-49.92"/>
    <s v=""/>
    <n v="47733.61"/>
  </r>
  <r>
    <d v="2026-04-09T00:00:00"/>
    <x v="20"/>
    <s v="Direct Debit"/>
    <s v="DDC20260408240448"/>
    <x v="234"/>
    <s v="WATER PLUS 0964007617"/>
    <n v="-5.55"/>
    <s v=""/>
    <n v="47783.53"/>
  </r>
  <r>
    <d v="2026-04-09T00:00:00"/>
    <x v="20"/>
    <s v="Direct Debit"/>
    <s v="DDC20260408259955"/>
    <x v="270"/>
    <s v="FRANCOTYP POSTALIA T053359"/>
    <n v="-50"/>
    <s v=""/>
    <n v="47789.08"/>
  </r>
  <r>
    <d v="2026-04-09T00:00:00"/>
    <x v="20"/>
    <s v="Direct Debit"/>
    <s v="DDC20260408211069"/>
    <x v="32"/>
    <s v="ENGIE POWER 10340158004"/>
    <n v="-14271.68"/>
    <s v=""/>
    <n v="47839.08"/>
  </r>
  <r>
    <d v="2026-04-09T00:00:00"/>
    <x v="20"/>
    <s v="Inward Payment"/>
    <s v="FT26099L89DR"/>
    <x v="16"/>
    <s v="JOSIAHLEE"/>
    <n v="50"/>
    <n v="50"/>
    <n v="62110.76"/>
  </r>
  <r>
    <d v="2026-04-09T00:00:00"/>
    <x v="20"/>
    <s v="BACS Payment Received"/>
    <s v="BACS20260408116265"/>
    <x v="315"/>
    <s v="LBROWN-607080-10025863 278961-LBROWN-&amp;--&amp;-000000003706733412 099 BACS CR LORETTA BROWN"/>
    <n v="411.67"/>
    <n v="411.67"/>
    <n v="62060.76"/>
  </r>
  <r>
    <d v="2026-04-09T00:00:00"/>
    <x v="20"/>
    <s v="BACS Payment Received"/>
    <s v="BACS20260408117799"/>
    <x v="316"/>
    <s v="BLUCAS-607080-10025863 278961-BLUCAS-&amp;--&amp;-000000003706707034 099 BACS CR BRANDON LUCAS"/>
    <n v="411.67"/>
    <n v="411.67"/>
    <n v="61649.09"/>
  </r>
  <r>
    <d v="2026-04-09T00:00:00"/>
    <x v="20"/>
    <s v="BACS Payment Received"/>
    <s v="BACS20260408116194"/>
    <x v="317"/>
    <s v="KRUDD-607080-10025863 278961-KRUDD-&amp;--&amp;-000000003706719523 099 BACS CR KAYLEIGH RUDD"/>
    <n v="520"/>
    <n v="520"/>
    <n v="61237.42"/>
  </r>
  <r>
    <d v="2026-04-09T00:00:00"/>
    <x v="20"/>
    <s v="BACS Payment Received"/>
    <s v="BACS20260408111593"/>
    <x v="318"/>
    <s v="NHS BIRMINGHAM AND-607080-10017097 284747-NHS BIRMINGHAM AND-&amp;--&amp;-518769 099 BACS CR SELECT LIFESTYLES"/>
    <n v="7814.17"/>
    <n v="7814.17"/>
    <n v="60717.42"/>
  </r>
  <r>
    <d v="2026-04-09T00:00:00"/>
    <x v="20"/>
    <s v="BACS Payment Received"/>
    <s v="BACS20260408101081"/>
    <x v="59"/>
    <s v="WALSALL METROPOLIT-206877-58552541 401256-WALSALL METROPOLIT-&amp;--&amp;-S B 099 BACS CR SELECT LIFESTYSLES"/>
    <n v="50"/>
    <n v="50"/>
    <n v="52903.25"/>
  </r>
  <r>
    <d v="2026-04-09T00:00:00"/>
    <x v="20"/>
    <s v="BACS Payment Received"/>
    <s v="BACS20260408101082"/>
    <x v="59"/>
    <s v="WALSALL METROPOLIT-206877-58552541 401256-WALSALL METROPOLIT-&amp;--&amp;-H 099 BACS CR SELECT LIFESTYLES"/>
    <n v="50"/>
    <n v="50"/>
    <n v="52853.25"/>
  </r>
  <r>
    <d v="2026-04-09T00:00:00"/>
    <x v="20"/>
    <s v="BACS Payment Received"/>
    <s v="BACS20260408101085"/>
    <x v="59"/>
    <s v="WALSALL METROPOLIT-206877-58552541 401256-WALSALL METROPOLIT-&amp;--&amp;-A H 099 BACS CR SELECT LIFESTYLES"/>
    <n v="50"/>
    <n v="50"/>
    <n v="52803.25"/>
  </r>
  <r>
    <d v="2026-04-09T00:00:00"/>
    <x v="20"/>
    <s v="BACS Payment Received"/>
    <s v="BACS20260408101080"/>
    <x v="59"/>
    <s v="WALSALL METROPOLIT-206877-58552541 401256-WALSALL METROPOLIT-&amp;--&amp;-H 099 BACS CR SELECT LIFESTYLES"/>
    <n v="411.67"/>
    <n v="411.67"/>
    <n v="52753.25"/>
  </r>
  <r>
    <d v="2026-04-09T00:00:00"/>
    <x v="20"/>
    <s v="Inward Payment"/>
    <s v="FT26099T3NFZ"/>
    <x v="22"/>
    <s v="SERVICE CHARGES"/>
    <n v="71.08"/>
    <n v="71.08"/>
    <n v="52341.58"/>
  </r>
  <r>
    <d v="2026-04-09T00:00:00"/>
    <x v="20"/>
    <s v="Inward Payment"/>
    <s v="FT260990DQ22"/>
    <x v="319"/>
    <s v="K L ENGLISH"/>
    <n v="195"/>
    <n v="195"/>
    <n v="52270.5"/>
  </r>
  <r>
    <d v="2026-04-09T00:00:00"/>
    <x v="20"/>
    <s v="Inward Payment"/>
    <s v="FT26099QPCM7"/>
    <x v="23"/>
    <s v="RENT"/>
    <n v="95"/>
    <n v="95"/>
    <n v="52075.5"/>
  </r>
  <r>
    <d v="2026-04-08T00:00:00"/>
    <x v="21"/>
    <s v="Inward Payment"/>
    <s v="FT26098C0HNR"/>
    <x v="320"/>
    <s v="OliviaW"/>
    <n v="1377"/>
    <n v="1377"/>
    <n v="51980.5"/>
  </r>
  <r>
    <d v="2026-04-08T00:00:00"/>
    <x v="21"/>
    <s v="Inward Payment"/>
    <s v="FT26098FX1JH"/>
    <x v="28"/>
    <s v="FDMS 510799083"/>
    <n v="853.5"/>
    <n v="853.5"/>
    <n v="50603.5"/>
  </r>
  <r>
    <d v="2026-04-08T00:00:00"/>
    <x v="21"/>
    <s v="Account to Account Transfer"/>
    <s v="FT26098GP6SF"/>
    <x v="4"/>
    <s v="CC MG/LG"/>
    <n v="-250"/>
    <s v=""/>
    <n v="49750"/>
  </r>
  <r>
    <d v="2026-04-08T00:00:00"/>
    <x v="21"/>
    <s v="Account to Account Transfer"/>
    <s v="FT26098LXS4N"/>
    <x v="45"/>
    <s v="Transfer"/>
    <n v="-50546.25"/>
    <s v=""/>
    <n v="50000"/>
  </r>
  <r>
    <d v="2026-04-08T00:00:00"/>
    <x v="21"/>
    <s v="Outward Faster Payment"/>
    <s v="FT26098CGBN0"/>
    <x v="321"/>
    <s v="Select Lifestyles"/>
    <n v="-2458.54"/>
    <s v=""/>
    <n v="100546.25"/>
  </r>
  <r>
    <d v="2026-04-08T00:00:00"/>
    <x v="21"/>
    <s v="Outward Faster Payment"/>
    <s v="FT26098Y4VQZ"/>
    <x v="322"/>
    <s v="SEL4568"/>
    <n v="-3378"/>
    <s v=""/>
    <n v="103004.79"/>
  </r>
  <r>
    <d v="2026-04-08T00:00:00"/>
    <x v="21"/>
    <s v="Outward Faster Payment"/>
    <s v="FT26098XDYTT"/>
    <x v="323"/>
    <s v="Select Lifestyles"/>
    <n v="-8400"/>
    <s v=""/>
    <n v="106382.79"/>
  </r>
  <r>
    <d v="2026-04-08T00:00:00"/>
    <x v="21"/>
    <s v="Outward Faster Payment"/>
    <s v="FT26098P69LV"/>
    <x v="324"/>
    <s v="Select Lifestyles"/>
    <n v="-66"/>
    <s v=""/>
    <n v="114782.79"/>
  </r>
  <r>
    <d v="2026-04-08T00:00:00"/>
    <x v="21"/>
    <s v="Outward Faster Payment"/>
    <s v="FT26098VT1GD"/>
    <x v="325"/>
    <s v="SEL03761"/>
    <n v="-1140"/>
    <s v=""/>
    <n v="114848.79"/>
  </r>
  <r>
    <d v="2026-04-08T00:00:00"/>
    <x v="21"/>
    <s v="Outward Faster Payment"/>
    <s v="FT26098GJZNF"/>
    <x v="326"/>
    <n v="6331640014093600"/>
    <n v="-1088.34"/>
    <s v=""/>
    <n v="115988.79"/>
  </r>
  <r>
    <d v="2026-04-08T00:00:00"/>
    <x v="21"/>
    <s v="Outward Faster Payment"/>
    <s v="FT2609817XGX"/>
    <x v="327"/>
    <s v="DK76SE01"/>
    <n v="-3216.18"/>
    <s v=""/>
    <n v="117077.13"/>
  </r>
  <r>
    <d v="2026-04-08T00:00:00"/>
    <x v="21"/>
    <s v="Outward Faster Payment"/>
    <s v="FT26098PLN97"/>
    <x v="328"/>
    <s v="Select Lifestyles"/>
    <n v="-2041.2"/>
    <s v=""/>
    <n v="120293.31"/>
  </r>
  <r>
    <d v="2026-04-08T00:00:00"/>
    <x v="21"/>
    <s v="Outward Faster Payment"/>
    <s v="FT26098B528H"/>
    <x v="329"/>
    <s v="Select Lifestyles"/>
    <n v="-30000"/>
    <s v=""/>
    <n v="122334.51"/>
  </r>
  <r>
    <d v="2026-04-08T00:00:00"/>
    <x v="21"/>
    <s v="Outward Faster Payment"/>
    <s v="FT26098MWQWM"/>
    <x v="330"/>
    <s v="SELE01"/>
    <n v="-750"/>
    <s v=""/>
    <n v="152334.51"/>
  </r>
  <r>
    <d v="2026-04-08T00:00:00"/>
    <x v="21"/>
    <s v="Outward Faster Payment"/>
    <s v="FT26098QN39M"/>
    <x v="279"/>
    <s v="SELE01"/>
    <n v="-1958.55"/>
    <s v=""/>
    <n v="153084.51"/>
  </r>
  <r>
    <d v="2026-04-08T00:00:00"/>
    <x v="21"/>
    <s v="Outward Faster Payment"/>
    <s v="FT26098MJHRY"/>
    <x v="331"/>
    <s v="Select Lifestyles"/>
    <n v="-10000"/>
    <s v=""/>
    <n v="155043.06"/>
  </r>
  <r>
    <d v="2026-04-08T00:00:00"/>
    <x v="21"/>
    <s v="Outward Faster Payment"/>
    <s v="FT26098RZ29N"/>
    <x v="332"/>
    <s v="Select Lifestyles"/>
    <n v="-3228"/>
    <s v=""/>
    <n v="165043.06"/>
  </r>
  <r>
    <d v="2026-04-08T00:00:00"/>
    <x v="21"/>
    <s v="Outward Faster Payment"/>
    <s v="FT26098B2YPZ"/>
    <x v="130"/>
    <s v="TS22010371"/>
    <n v="-616.59"/>
    <s v=""/>
    <n v="168271.06"/>
  </r>
  <r>
    <d v="2026-04-08T00:00:00"/>
    <x v="21"/>
    <s v="Card Transaction"/>
    <s v="00001580192-20260407-1519594"/>
    <x v="172"/>
    <s v="GBR 20260406 Tesla Inc. West Drayton"/>
    <n v="-14.91"/>
    <s v=""/>
    <n v="168887.65"/>
  </r>
  <r>
    <d v="2026-04-08T00:00:00"/>
    <x v="21"/>
    <s v="Card Transaction"/>
    <s v="00001580192-20260407-1519584"/>
    <x v="250"/>
    <s v="GBR 20260406 Tesla West Drayton"/>
    <n v="-9.99"/>
    <s v=""/>
    <n v="168902.56"/>
  </r>
  <r>
    <d v="2026-04-08T00:00:00"/>
    <x v="21"/>
    <s v="Card Transaction"/>
    <s v="00001580192-20260407-1519574"/>
    <x v="172"/>
    <s v="GBR 20260406 Tesla Inc. West Drayton"/>
    <n v="-7.31"/>
    <s v=""/>
    <n v="168912.55"/>
  </r>
  <r>
    <d v="2026-04-08T00:00:00"/>
    <x v="21"/>
    <s v="Inward Payment"/>
    <s v="FT26098YC60P"/>
    <x v="36"/>
    <s v="MARKEY GRAY- PERSO"/>
    <n v="200"/>
    <n v="200"/>
    <n v="168919.86"/>
  </r>
  <r>
    <d v="2026-04-08T00:00:00"/>
    <x v="21"/>
    <s v="Direct Debit"/>
    <s v="DDC20260407236545"/>
    <x v="333"/>
    <s v="TC LOANS LTD T/A T TCL00139A"/>
    <n v="-31458.85"/>
    <s v=""/>
    <n v="168719.86"/>
  </r>
  <r>
    <d v="2026-04-08T00:00:00"/>
    <x v="21"/>
    <s v="Direct Debit"/>
    <s v="DDC20260407236546"/>
    <x v="333"/>
    <s v="TC LOANS LTD T/A T TCL00139B"/>
    <n v="-28401.04"/>
    <s v=""/>
    <n v="200178.71"/>
  </r>
  <r>
    <d v="2026-04-08T00:00:00"/>
    <x v="21"/>
    <s v="BACS Payment Received"/>
    <s v="BACS20260407100446"/>
    <x v="59"/>
    <s v="WALSALL METROPOLIT-206877-58552541 401256-WALSALL METROPOLIT-&amp;--&amp;-S HOLMES UTILITY 099 BACS CR SELECT LIFESTYLES"/>
    <n v="50"/>
    <n v="50"/>
    <n v="228579.75"/>
  </r>
  <r>
    <d v="2026-04-08T00:00:00"/>
    <x v="21"/>
    <s v="BACS Payment Received"/>
    <s v="BACS20260407100447"/>
    <x v="59"/>
    <s v="WALSALL METROPOLIT-206877-58552541 401256-WALSALL METROPOLIT-&amp;--&amp;-S P      S 099 BACS CR SELECT LIFESTYLES"/>
    <n v="50"/>
    <n v="50"/>
    <n v="228529.75"/>
  </r>
  <r>
    <d v="2026-04-08T00:00:00"/>
    <x v="21"/>
    <s v="BACS Payment Received"/>
    <s v="BACS20260407100448"/>
    <x v="59"/>
    <s v="WALSALL METROPOLIT-206877-58552541 401256-WALSALL METROPOLIT-&amp;--&amp;-LRG WEEKLY FOOD 099 BACS CR SELECT LIFESTYLES"/>
    <n v="50"/>
    <n v="50"/>
    <n v="228479.75"/>
  </r>
  <r>
    <d v="2026-04-08T00:00:00"/>
    <x v="21"/>
    <s v="BACS Payment Received"/>
    <s v="BACS20260407100452"/>
    <x v="59"/>
    <s v="WALSALL METROPOLIT-206877-58552541 401256-WALSALL METROPOLIT-&amp;--&amp;-LEO RONALD GUY 099 BACS CR SELECT LIFESTYLES"/>
    <n v="65"/>
    <n v="65"/>
    <n v="228429.75"/>
  </r>
  <r>
    <d v="2026-04-08T00:00:00"/>
    <x v="21"/>
    <s v="BACS Payment Received"/>
    <s v="BACS20260407100451"/>
    <x v="59"/>
    <s v="WALSALL METROPOLIT-206877-58552541 401256-WALSALL METROPOLIT-&amp;--&amp;-RBATE HB TOP UP 099 BACS CR SELECT LIFESTYLES"/>
    <n v="120"/>
    <n v="120"/>
    <n v="228364.75"/>
  </r>
  <r>
    <d v="2026-04-08T00:00:00"/>
    <x v="21"/>
    <s v="BACS Payment Received"/>
    <s v="BACS20260407100453"/>
    <x v="59"/>
    <s v="WALSALL METROPOLIT-206877-58552541 401256-WALSALL METROPOLIT-&amp;--&amp;-TIA BRYON 099 BACS CR LIFESTYLES"/>
    <n v="120"/>
    <n v="120"/>
    <n v="228244.75"/>
  </r>
  <r>
    <d v="2026-04-08T00:00:00"/>
    <x v="21"/>
    <s v="BACS Payment Received"/>
    <s v="BACS20260407100456"/>
    <x v="59"/>
    <s v="WALSALL METROPOLIT-206877-58552541 401256-WALSALL METROPOLIT-&amp;--&amp;-L R GUY RENT 099 BACS CR SELECT LIFESTYLES"/>
    <n v="120"/>
    <n v="120"/>
    <n v="228124.75"/>
  </r>
  <r>
    <d v="2026-04-08T00:00:00"/>
    <x v="21"/>
    <s v="BACS Payment Received"/>
    <s v="BACS20260407100444"/>
    <x v="59"/>
    <s v="WALSALL METROPOLIT-206877-58552541 401256-WALSALL METROPOLIT-&amp;--&amp;-KWILEMAN RENT 099 BACS CR SELECT LIFESTYLES"/>
    <n v="145"/>
    <n v="145"/>
    <n v="228004.75"/>
  </r>
  <r>
    <d v="2026-04-08T00:00:00"/>
    <x v="21"/>
    <s v="BACS Payment Received"/>
    <s v="BACS20260407100455"/>
    <x v="59"/>
    <s v="WALSALL METROPOLIT-206877-58552541 401256-WALSALL METROPOLIT-&amp;--&amp;-PROGERS RENT/UTIL 099 BACS CR SELECT LIFESTYLES"/>
    <n v="145"/>
    <n v="145"/>
    <n v="227859.75"/>
  </r>
  <r>
    <d v="2026-04-08T00:00:00"/>
    <x v="21"/>
    <s v="BACS Payment Received"/>
    <s v="BACS20260407100454"/>
    <x v="59"/>
    <s v="WALSALL METROPOLIT-206877-58552541 401256-WALSALL METROPOLIT-&amp;--&amp;-DSWAIN RENT &amp; SC 099 BACS CR SELECT LIFESTYLES"/>
    <n v="185"/>
    <n v="185"/>
    <n v="227714.75"/>
  </r>
  <r>
    <d v="2026-04-08T00:00:00"/>
    <x v="21"/>
    <s v="BACS Payment Received"/>
    <s v="BACS20260407109838"/>
    <x v="334"/>
    <s v="SSMITH-607080-10025863 278961-SSMITH-&amp;--&amp;-000000003705939441 099 BACS CR STELLA SMITH"/>
    <n v="411.67"/>
    <n v="411.67"/>
    <n v="227529.75"/>
  </r>
  <r>
    <d v="2026-04-08T00:00:00"/>
    <x v="21"/>
    <s v="BACS Payment Received"/>
    <s v="BACS20260407109748"/>
    <x v="335"/>
    <s v="CLBROWN-607080-10025863 278961-CLBROWN-&amp;--&amp;-000000003705920259 099 BACS CR CHLOE BROWN"/>
    <n v="495"/>
    <n v="495"/>
    <n v="227118.08"/>
  </r>
  <r>
    <d v="2026-04-08T00:00:00"/>
    <x v="21"/>
    <s v="BACS Payment Received"/>
    <s v="BACS20260407109752"/>
    <x v="336"/>
    <s v="S JONES-607080-10025863 278961-S JONES-&amp;--&amp;-000000003705912060 099 BACS CR SARAH JONES"/>
    <n v="495"/>
    <n v="495"/>
    <n v="226623.08"/>
  </r>
  <r>
    <d v="2026-04-08T00:00:00"/>
    <x v="21"/>
    <s v="BACS Payment Received"/>
    <s v="BACS20260407109808"/>
    <x v="337"/>
    <s v="LBAYLISS-607080-10025863 278961-LBAYLISS-&amp;--&amp;-000000003705922861 099 BACS CR LUKE BAYLISS"/>
    <n v="520"/>
    <n v="520"/>
    <n v="226128.08"/>
  </r>
  <r>
    <d v="2026-04-08T00:00:00"/>
    <x v="21"/>
    <s v="BACS Payment Received"/>
    <s v="BACS20260407112520"/>
    <x v="21"/>
    <s v="WOLVERHAMPTON CC-560069-44470320 972860-WOLVERHAMPTON CC-&amp;--&amp;-0 099 BACS CR SELECT LIFESTYLES"/>
    <n v="137871.25"/>
    <n v="137871.25"/>
    <n v="225608.08"/>
  </r>
  <r>
    <d v="2026-04-08T00:00:00"/>
    <x v="21"/>
    <s v="Inward Payment"/>
    <s v="FT26098DZ808"/>
    <x v="37"/>
    <s v="DANIEL MEHMI"/>
    <n v="69.86"/>
    <n v="69.86"/>
    <n v="87736.83"/>
  </r>
  <r>
    <d v="2026-04-08T00:00:00"/>
    <x v="21"/>
    <s v="Inward Payment"/>
    <s v="FT26098MWTWN"/>
    <x v="39"/>
    <s v="LAURA NEAL"/>
    <n v="45"/>
    <n v="45"/>
    <n v="87666.97"/>
  </r>
  <r>
    <d v="2026-04-07T00:00:00"/>
    <x v="22"/>
    <s v="Outward Faster Payment"/>
    <s v="FT26097CR38K"/>
    <x v="3"/>
    <n v="6811"/>
    <n v="-200000"/>
    <s v=""/>
    <n v="87621.97"/>
  </r>
  <r>
    <d v="2026-04-07T00:00:00"/>
    <x v="22"/>
    <s v="Outward Faster Payment"/>
    <s v="FT26097GPP4P"/>
    <x v="3"/>
    <n v="6811"/>
    <n v="-53139.01"/>
    <s v=""/>
    <n v="287621.97"/>
  </r>
  <r>
    <d v="2026-04-07T00:00:00"/>
    <x v="22"/>
    <s v="Inward Payment"/>
    <s v="FT26097HP78T"/>
    <x v="28"/>
    <s v="FDMS 510799083"/>
    <n v="236.67"/>
    <n v="236.67"/>
    <n v="340760.98"/>
  </r>
  <r>
    <d v="2026-04-07T00:00:00"/>
    <x v="22"/>
    <s v="Inward Payment"/>
    <s v="FT26097W6MPJ"/>
    <x v="338"/>
    <s v="Utility payment"/>
    <n v="112.5"/>
    <n v="112.5"/>
    <n v="340524.31"/>
  </r>
  <r>
    <d v="2026-04-07T00:00:00"/>
    <x v="22"/>
    <s v="Account to Account Transfer"/>
    <s v="FT26097Q2SRF"/>
    <x v="4"/>
    <s v="CC CJ/AJ/LS/JB/TP/KW/DS/PC/BS"/>
    <n v="-1445"/>
    <s v=""/>
    <n v="340411.81"/>
  </r>
  <r>
    <d v="2026-04-07T00:00:00"/>
    <x v="22"/>
    <s v="Outward Faster Payment"/>
    <s v="FT260975224F"/>
    <x v="339"/>
    <s v="Select Lifestyles"/>
    <n v="-17"/>
    <s v=""/>
    <n v="341856.81"/>
  </r>
  <r>
    <d v="2026-04-07T00:00:00"/>
    <x v="22"/>
    <s v="Inward Payment"/>
    <s v="FT260978BFY9"/>
    <x v="121"/>
    <s v="KIERON WILSON CASH"/>
    <n v="200"/>
    <n v="200"/>
    <n v="341873.81"/>
  </r>
  <r>
    <d v="2026-04-07T00:00:00"/>
    <x v="22"/>
    <s v="Inward Payment"/>
    <s v="FT26097FY9M4"/>
    <x v="340"/>
    <s v="WESTLEY YATES"/>
    <n v="47.5"/>
    <n v="47.5"/>
    <n v="341673.81"/>
  </r>
  <r>
    <d v="2026-04-07T00:00:00"/>
    <x v="22"/>
    <s v="Card Transaction"/>
    <s v="00001580192-20260403-1521338"/>
    <x v="341"/>
    <s v="GBR 20260402 INTERFLORA BRITISH UNI SLEAFORD"/>
    <n v="-72"/>
    <s v=""/>
    <n v="341626.31"/>
  </r>
  <r>
    <d v="2026-04-07T00:00:00"/>
    <x v="22"/>
    <s v="Inward Payment"/>
    <s v="FT26097XP6P7"/>
    <x v="60"/>
    <s v="L HAWKINS-RENT"/>
    <n v="120"/>
    <n v="120"/>
    <n v="341698.31"/>
  </r>
  <r>
    <d v="2026-04-07T00:00:00"/>
    <x v="22"/>
    <s v="Inward Payment"/>
    <s v="FT2609708RNF"/>
    <x v="60"/>
    <s v="L HAWKINS-Utilit/S"/>
    <n v="65"/>
    <n v="65"/>
    <n v="341578.31"/>
  </r>
  <r>
    <d v="2026-04-07T00:00:00"/>
    <x v="22"/>
    <s v="Inward Payment"/>
    <s v="FT260974T5D5"/>
    <x v="61"/>
    <s v="ANTHONY MEACHIN UT"/>
    <n v="50"/>
    <n v="50"/>
    <n v="341513.31"/>
  </r>
  <r>
    <d v="2026-04-07T00:00:00"/>
    <x v="22"/>
    <s v="Inward Payment"/>
    <s v="FT260976CTD1"/>
    <x v="62"/>
    <s v="LEIGH AMES RENT"/>
    <n v="120"/>
    <n v="120"/>
    <n v="341463.31"/>
  </r>
  <r>
    <d v="2026-04-07T00:00:00"/>
    <x v="22"/>
    <s v="Inward Payment"/>
    <s v="FT2609761HYW"/>
    <x v="63"/>
    <s v="JOHN PACE RENT"/>
    <n v="120"/>
    <n v="120"/>
    <n v="341343.31"/>
  </r>
  <r>
    <d v="2026-04-07T00:00:00"/>
    <x v="22"/>
    <s v="Card Transaction"/>
    <s v="00001580192-20260402-1521304"/>
    <x v="342"/>
    <s v="DEU 20260401 Porsche Charging GB Stuttgart"/>
    <n v="-39.62"/>
    <s v=""/>
    <n v="341223.31"/>
  </r>
  <r>
    <d v="2026-04-07T00:00:00"/>
    <x v="22"/>
    <s v="Card Transaction"/>
    <s v="00001580192-20260402-1521314"/>
    <x v="172"/>
    <s v="GBR 20260401 Tesla Inc. West Drayton"/>
    <n v="-24.56"/>
    <s v=""/>
    <n v="341262.93"/>
  </r>
  <r>
    <d v="2026-04-07T00:00:00"/>
    <x v="22"/>
    <s v="Card Transaction"/>
    <s v="00001580192-20260406-1526063"/>
    <x v="172"/>
    <s v="GBR 20260405 Tesla Inc. West Drayton"/>
    <n v="-11.37"/>
    <s v=""/>
    <n v="341287.49"/>
  </r>
  <r>
    <d v="2026-04-07T00:00:00"/>
    <x v="22"/>
    <s v="Card Transaction"/>
    <s v="00001580192-20260406-1526053"/>
    <x v="172"/>
    <s v="GBR 20260404 Tesla Inc. West Drayton"/>
    <n v="-10.48"/>
    <s v=""/>
    <n v="341298.86"/>
  </r>
  <r>
    <d v="2026-04-07T00:00:00"/>
    <x v="22"/>
    <s v="Standing Order"/>
    <s v="FT26097G2L8M"/>
    <x v="343"/>
    <s v="309A Stafford Rent"/>
    <n v="-1400"/>
    <s v=""/>
    <n v="341309.34"/>
  </r>
  <r>
    <d v="2026-04-07T00:00:00"/>
    <x v="22"/>
    <s v="Standing Order"/>
    <s v="FT2609768Q7X"/>
    <x v="298"/>
    <s v="59 Walsall Rd Rent"/>
    <n v="-3000"/>
    <s v=""/>
    <n v="342709.34"/>
  </r>
  <r>
    <d v="2026-04-07T00:00:00"/>
    <x v="22"/>
    <s v="Standing Order"/>
    <s v="FT26097FHNQ7"/>
    <x v="344"/>
    <s v="Horsehills Rent"/>
    <n v="-2000"/>
    <s v=""/>
    <n v="345709.34"/>
  </r>
  <r>
    <d v="2026-04-07T00:00:00"/>
    <x v="22"/>
    <s v="Inward Payment"/>
    <s v="FT26097GMQPP"/>
    <x v="95"/>
    <s v="TOBY PALETHORPE"/>
    <n v="100"/>
    <n v="100"/>
    <n v="347709.34"/>
  </r>
  <r>
    <d v="2026-04-07T00:00:00"/>
    <x v="22"/>
    <s v="Inward Payment"/>
    <s v="FT26097NRWMZ"/>
    <x v="345"/>
    <s v="NO REF"/>
    <n v="216.67"/>
    <n v="216.67"/>
    <n v="347609.34"/>
  </r>
  <r>
    <d v="2026-04-07T00:00:00"/>
    <x v="22"/>
    <s v="Inward Payment"/>
    <s v="FT26097GBXJX"/>
    <x v="97"/>
    <s v="ADAM ASTLEY"/>
    <n v="50"/>
    <n v="50"/>
    <n v="347392.67"/>
  </r>
  <r>
    <d v="2026-04-07T00:00:00"/>
    <x v="22"/>
    <s v="Inward Payment"/>
    <s v="FT260974K5D1"/>
    <x v="143"/>
    <s v="PAUL BATSON WKLY U"/>
    <n v="50"/>
    <n v="50"/>
    <n v="347342.67"/>
  </r>
  <r>
    <d v="2026-04-07T00:00:00"/>
    <x v="22"/>
    <s v="Direct Debit"/>
    <s v="DDC202604022121835"/>
    <x v="289"/>
    <s v="GOCARDLESS MCLFINANCE-4XW5P9V"/>
    <n v="-16035.37"/>
    <s v=""/>
    <n v="347292.67"/>
  </r>
  <r>
    <d v="2026-04-07T00:00:00"/>
    <x v="22"/>
    <s v="Direct Debit"/>
    <s v="DDC202604022122294"/>
    <x v="289"/>
    <s v="GOCARDLESS FLEXIMIZE-RM8XW85Z"/>
    <n v="-10439.33"/>
    <s v=""/>
    <n v="363328.04"/>
  </r>
  <r>
    <d v="2026-04-07T00:00:00"/>
    <x v="22"/>
    <s v="Direct Debit"/>
    <s v="DDC202604022103845"/>
    <x v="185"/>
    <s v="VIRGIN MEDIA PYMTS 054188105001"/>
    <n v="-42.49"/>
    <s v=""/>
    <n v="373767.37"/>
  </r>
  <r>
    <d v="2026-04-07T00:00:00"/>
    <x v="22"/>
    <s v="Direct Debit"/>
    <s v="DDC20260402222394"/>
    <x v="346"/>
    <s v="DVLA-BX63XJU 000000000078280214"/>
    <n v="-345"/>
    <s v=""/>
    <n v="373809.86"/>
  </r>
  <r>
    <d v="2026-04-07T00:00:00"/>
    <x v="22"/>
    <s v="Direct Debit"/>
    <s v="DDC20260402216598"/>
    <x v="347"/>
    <s v="TOYOTA FIN SERV 000034326863/25"/>
    <n v="-1223.81"/>
    <s v=""/>
    <n v="374154.86"/>
  </r>
  <r>
    <d v="2026-04-07T00:00:00"/>
    <x v="22"/>
    <s v="Inward Payment"/>
    <s v="FT26097V7CFL"/>
    <x v="50"/>
    <s v="C LAVANDER"/>
    <n v="102.51"/>
    <n v="102.51"/>
    <n v="375378.67"/>
  </r>
  <r>
    <d v="2026-04-07T00:00:00"/>
    <x v="22"/>
    <s v="Direct Debit"/>
    <s v="DDC202604022125389"/>
    <x v="348"/>
    <s v="ALLSTAR AS60101704"/>
    <n v="-5609.26"/>
    <s v=""/>
    <n v="375276.16"/>
  </r>
  <r>
    <d v="2026-04-07T00:00:00"/>
    <x v="22"/>
    <s v="Inward Payment"/>
    <s v="FT260978YY7W"/>
    <x v="90"/>
    <s v="PAUL CAMPBELL"/>
    <n v="50"/>
    <n v="50"/>
    <n v="380885.42"/>
  </r>
  <r>
    <d v="2026-04-07T00:00:00"/>
    <x v="22"/>
    <s v="Inward Payment"/>
    <s v="FT260979X6X4"/>
    <x v="90"/>
    <s v="PAUL CAMPBELL HBSF"/>
    <n v="50"/>
    <n v="50"/>
    <n v="380835.42"/>
  </r>
  <r>
    <d v="2026-04-07T00:00:00"/>
    <x v="22"/>
    <s v="Direct Debit"/>
    <s v="DDC20260402298022"/>
    <x v="349"/>
    <s v="CARE QUALITY COMMI 5335598"/>
    <n v="-958"/>
    <s v=""/>
    <n v="380785.42"/>
  </r>
  <r>
    <d v="2026-04-07T00:00:00"/>
    <x v="22"/>
    <s v="Direct Debit"/>
    <s v="DDC20260402296663"/>
    <x v="283"/>
    <s v="BRITISH GAS B94759"/>
    <n v="-190.26"/>
    <s v=""/>
    <n v="381743.42"/>
  </r>
  <r>
    <d v="2026-04-07T00:00:00"/>
    <x v="22"/>
    <s v="Direct Debit"/>
    <s v="DDC20260402296665"/>
    <x v="283"/>
    <s v="BRITISH GAS B94766"/>
    <n v="-74.05"/>
    <s v=""/>
    <n v="381933.68"/>
  </r>
  <r>
    <d v="2026-04-07T00:00:00"/>
    <x v="22"/>
    <s v="Direct Debit"/>
    <s v="DDC20260402296664"/>
    <x v="283"/>
    <s v="BRITISH GAS B94763"/>
    <n v="-6.13"/>
    <s v=""/>
    <n v="382007.73"/>
  </r>
  <r>
    <d v="2026-04-07T00:00:00"/>
    <x v="22"/>
    <s v="Direct Debit"/>
    <s v="DDC20260402210807"/>
    <x v="183"/>
    <s v="PEAC UK LTD AALF242601"/>
    <n v="-39.32"/>
    <s v=""/>
    <n v="382013.86"/>
  </r>
  <r>
    <d v="2026-04-07T00:00:00"/>
    <x v="22"/>
    <s v="Direct Debit"/>
    <s v="DDC20260402291444"/>
    <x v="56"/>
    <s v="BRITISH GAS BUSINE 602736585111220000"/>
    <n v="-391"/>
    <s v=""/>
    <n v="382053.18"/>
  </r>
  <r>
    <d v="2026-04-07T00:00:00"/>
    <x v="22"/>
    <s v="Inward Payment"/>
    <s v="FT26097F48SD"/>
    <x v="143"/>
    <s v="WEEKLY RENT PAUL B"/>
    <n v="95"/>
    <n v="95"/>
    <n v="382444.18"/>
  </r>
  <r>
    <d v="2026-04-07T00:00:00"/>
    <x v="22"/>
    <s v="Inward Payment"/>
    <s v="FT26097GKQGR"/>
    <x v="36"/>
    <s v="MARKEY GRAY-RENT"/>
    <n v="120"/>
    <n v="120"/>
    <n v="382349.18"/>
  </r>
  <r>
    <d v="2026-04-07T00:00:00"/>
    <x v="22"/>
    <s v="Inward Payment"/>
    <s v="FT2609727ZBP"/>
    <x v="74"/>
    <s v="JOHN UPCOTT"/>
    <n v="145"/>
    <n v="145"/>
    <n v="382229.18"/>
  </r>
  <r>
    <d v="2026-04-07T00:00:00"/>
    <x v="22"/>
    <s v="Inward Payment"/>
    <s v="FT26097J0YLR"/>
    <x v="101"/>
    <s v="KATIE PARKER RENT"/>
    <n v="6.08"/>
    <n v="6.08"/>
    <n v="382084.18"/>
  </r>
  <r>
    <d v="2026-04-07T00:00:00"/>
    <x v="22"/>
    <s v="BACS Payment Received"/>
    <s v="BACS20260402100560"/>
    <x v="59"/>
    <s v="WALSALL METROPOLIT-206877-58552541 401256-WALSALL METROPOLIT-&amp;--&amp;-N SMITH SC 099 BACS CR SELECT LIFESTYLES"/>
    <n v="50"/>
    <n v="50"/>
    <n v="382078.1"/>
  </r>
  <r>
    <d v="2026-04-07T00:00:00"/>
    <x v="22"/>
    <s v="BACS Payment Received"/>
    <s v="BACS20260402100558"/>
    <x v="59"/>
    <s v="WALSALL METROPOLIT-206877-58552541 401256-WALSALL METROPOLIT-&amp;--&amp;-S        R 099 BACS CR SELECT LIFESTYLES"/>
    <n v="95"/>
    <n v="95"/>
    <n v="382028.1"/>
  </r>
  <r>
    <d v="2026-04-07T00:00:00"/>
    <x v="22"/>
    <s v="BACS Payment Received"/>
    <s v="BACS20260402100559"/>
    <x v="59"/>
    <s v="WALSALL METROPOLIT-206877-58552541 401256-WALSALL METROPOLIT-&amp;--&amp;-NM SMITH RENT 099 BACS CR SELECT LIFESTYLES"/>
    <n v="95"/>
    <n v="95"/>
    <n v="381933.1"/>
  </r>
  <r>
    <d v="2026-04-07T00:00:00"/>
    <x v="22"/>
    <s v="BACS Payment Received"/>
    <s v="BACS20260402100562"/>
    <x v="59"/>
    <s v="WALSALL METROPOLIT-206877-58552541 401256-WALSALL METROPOLIT-&amp;--&amp;-S B     W     R 099 BACS CR SELECT LIFESTYLES"/>
    <n v="95"/>
    <n v="95"/>
    <n v="381838.1"/>
  </r>
  <r>
    <d v="2026-04-07T00:00:00"/>
    <x v="22"/>
    <s v="BACS Payment Received"/>
    <s v="BACS20260402100564"/>
    <x v="59"/>
    <s v="WALSALL METROPOLIT-206877-58552541 401256-WALSALL METROPOLIT-&amp;--&amp;-S HOLMES UTILITY 099 BACS CR SELECT LIFESTYLES"/>
    <n v="95"/>
    <n v="95"/>
    <n v="381743.1"/>
  </r>
  <r>
    <d v="2026-04-07T00:00:00"/>
    <x v="22"/>
    <s v="BACS Payment Received"/>
    <s v="BACS20260402106074"/>
    <x v="137"/>
    <s v="B-HAM CITY COUNCIL-200790-70489166 972201-B-HAM CITY COUNCIL-&amp;--&amp;-2030571 099 BACS CR SELECT LIFESTYLES"/>
    <n v="9591.879999999999"/>
    <n v="9591.879999999999"/>
    <n v="381648.1"/>
  </r>
  <r>
    <d v="2026-04-07T00:00:00"/>
    <x v="22"/>
    <s v="BACS Payment Received"/>
    <s v="BACS20260402100990"/>
    <x v="350"/>
    <s v="WALSALL MBC BARC-209073-10731692 858504-WALSALL MBC BARC-&amp;--&amp;-865281 099 BACS CR SELECT LIFESTYLES"/>
    <n v="342647.42"/>
    <n v="342647.42"/>
    <n v="372056.22"/>
  </r>
  <r>
    <d v="2026-04-07T00:00:00"/>
    <x v="22"/>
    <s v="Inward Payment"/>
    <s v="FT260976ZX8S"/>
    <x v="48"/>
    <s v="502869 B NOBLE"/>
    <n v="140"/>
    <n v="140"/>
    <n v="29408.8"/>
  </r>
  <r>
    <d v="2026-04-07T00:00:00"/>
    <x v="22"/>
    <s v="Inward Payment"/>
    <s v="FT26097XRF9Z"/>
    <x v="98"/>
    <s v="DAVID MORRIS UTILI"/>
    <n v="50"/>
    <n v="50"/>
    <n v="29268.8"/>
  </r>
  <r>
    <d v="2026-04-07T00:00:00"/>
    <x v="22"/>
    <s v="Inward Payment"/>
    <s v="FT26097GRJ18"/>
    <x v="36"/>
    <s v="MARKER GRAY-UTILIT"/>
    <n v="65"/>
    <n v="65"/>
    <n v="29218.8"/>
  </r>
  <r>
    <d v="2026-04-07T00:00:00"/>
    <x v="22"/>
    <s v="Inward Payment"/>
    <s v="FT260977TKJC"/>
    <x v="103"/>
    <s v="SIMON KELLY UTILIT"/>
    <n v="50"/>
    <n v="50"/>
    <n v="29153.8"/>
  </r>
  <r>
    <d v="2026-04-07T00:00:00"/>
    <x v="22"/>
    <s v="Inward Payment"/>
    <s v="FT260970RW33"/>
    <x v="100"/>
    <s v="CHRISTOPHER MILLIN"/>
    <n v="50"/>
    <n v="50"/>
    <n v="29103.8"/>
  </r>
  <r>
    <d v="2026-04-07T00:00:00"/>
    <x v="22"/>
    <s v="Inward Payment"/>
    <s v="FT2609754ZBK"/>
    <x v="61"/>
    <s v="ANTHONY MEACHIN RE"/>
    <n v="95"/>
    <n v="95"/>
    <n v="29053.8"/>
  </r>
  <r>
    <d v="2026-04-07T00:00:00"/>
    <x v="22"/>
    <s v="Inward Payment"/>
    <s v="FT26097QDX8S"/>
    <x v="99"/>
    <s v="GEMMA BAKER UTILIT"/>
    <n v="65"/>
    <n v="65"/>
    <n v="28958.8"/>
  </r>
  <r>
    <d v="2026-04-07T00:00:00"/>
    <x v="22"/>
    <s v="Inward Payment"/>
    <s v="FT26097C21CX"/>
    <x v="62"/>
    <s v="LEIGH AMES UTILITI"/>
    <n v="65"/>
    <n v="65"/>
    <n v="28893.8"/>
  </r>
  <r>
    <d v="2026-04-07T00:00:00"/>
    <x v="22"/>
    <s v="Inward Payment"/>
    <s v="FT260971FXRB"/>
    <x v="101"/>
    <s v="KATIE PARKER UTILI"/>
    <n v="65"/>
    <n v="65"/>
    <n v="28828.8"/>
  </r>
  <r>
    <d v="2026-04-07T00:00:00"/>
    <x v="22"/>
    <s v="Inward Payment"/>
    <s v="FT26097CYD4X"/>
    <x v="98"/>
    <s v="DAVID MORRIS RENT"/>
    <n v="95"/>
    <n v="95"/>
    <n v="28763.8"/>
  </r>
  <r>
    <d v="2026-04-07T00:00:00"/>
    <x v="22"/>
    <s v="Inward Payment"/>
    <s v="FT26097WYTTG"/>
    <x v="101"/>
    <s v="KATIE PARKER VEHIC"/>
    <n v="11.96"/>
    <n v="11.96"/>
    <n v="28668.8"/>
  </r>
  <r>
    <d v="2026-04-07T00:00:00"/>
    <x v="22"/>
    <s v="Inward Payment"/>
    <s v="FT26097N6YP7"/>
    <x v="63"/>
    <n v="38252"/>
    <n v="65"/>
    <n v="65"/>
    <n v="28656.84"/>
  </r>
  <r>
    <d v="2026-04-07T00:00:00"/>
    <x v="22"/>
    <s v="Inward Payment"/>
    <s v="FT26097XVHKX"/>
    <x v="205"/>
    <s v="R WILKINS RENT"/>
    <n v="380"/>
    <n v="380"/>
    <n v="28591.84"/>
  </r>
  <r>
    <d v="2026-04-07T00:00:00"/>
    <x v="22"/>
    <s v="Inward Payment"/>
    <s v="FT260977VRC5"/>
    <x v="69"/>
    <s v="S L SERVICE CHARGE"/>
    <n v="50"/>
    <n v="50"/>
    <n v="28211.84"/>
  </r>
  <r>
    <d v="2026-04-07T00:00:00"/>
    <x v="22"/>
    <s v="Inward Payment"/>
    <s v="FT260977DLVH"/>
    <x v="180"/>
    <s v="SARAH JONES"/>
    <n v="25"/>
    <n v="25"/>
    <n v="28161.84"/>
  </r>
  <r>
    <d v="2026-04-07T00:00:00"/>
    <x v="22"/>
    <s v="Inward Payment"/>
    <s v="FT2609712GWY"/>
    <x v="103"/>
    <s v="SIMON KELLY WEEKLY"/>
    <n v="95"/>
    <n v="95"/>
    <n v="28136.84"/>
  </r>
  <r>
    <d v="2026-04-07T00:00:00"/>
    <x v="22"/>
    <s v="Inward Payment"/>
    <s v="FT26097QH1FM"/>
    <x v="16"/>
    <s v="JAMES COOPER RENT"/>
    <n v="95"/>
    <n v="95"/>
    <n v="28041.84"/>
  </r>
  <r>
    <d v="2026-04-07T00:00:00"/>
    <x v="22"/>
    <s v="Inward Payment"/>
    <s v="FT26097DC8T2"/>
    <x v="16"/>
    <s v="J COOPER SC"/>
    <n v="50"/>
    <n v="50"/>
    <n v="27946.84"/>
  </r>
  <r>
    <d v="2026-04-07T00:00:00"/>
    <x v="22"/>
    <s v="Inward Payment"/>
    <s v="FT260971FQKG"/>
    <x v="49"/>
    <s v="ERROLGRANT"/>
    <n v="65"/>
    <n v="65"/>
    <n v="27896.84"/>
  </r>
  <r>
    <d v="2026-04-07T00:00:00"/>
    <x v="22"/>
    <s v="Inward Payment"/>
    <s v="FT26097648LV"/>
    <x v="89"/>
    <s v="ZACHARY J HUGHES"/>
    <n v="50"/>
    <n v="50"/>
    <n v="27831.84"/>
  </r>
  <r>
    <d v="2026-04-07T00:00:00"/>
    <x v="22"/>
    <s v="Inward Payment"/>
    <s v="FT2609798KKR"/>
    <x v="23"/>
    <s v="SERVICE CHARGE PW"/>
    <n v="50"/>
    <n v="50"/>
    <n v="27781.84"/>
  </r>
  <r>
    <d v="2026-04-07T00:00:00"/>
    <x v="22"/>
    <s v="Inward Payment"/>
    <s v="FT26097TNFWG"/>
    <x v="104"/>
    <s v="AMY ELWELL"/>
    <n v="50"/>
    <n v="50"/>
    <n v="27731.84"/>
  </r>
  <r>
    <d v="2026-04-07T00:00:00"/>
    <x v="22"/>
    <s v="Inward Payment"/>
    <s v="FT26097WRHMK"/>
    <x v="37"/>
    <s v="DANIEL MEHMI"/>
    <n v="95"/>
    <n v="95"/>
    <n v="27681.84"/>
  </r>
  <r>
    <d v="2026-04-07T00:00:00"/>
    <x v="22"/>
    <s v="Inward Payment"/>
    <s v="FT2609752B10"/>
    <x v="146"/>
    <s v="D WOODHALL"/>
    <n v="45"/>
    <n v="45"/>
    <n v="27586.84"/>
  </r>
  <r>
    <d v="2026-04-07T00:00:00"/>
    <x v="22"/>
    <s v="Inward Payment"/>
    <s v="FT26097XR3S3"/>
    <x v="115"/>
    <s v="JORDAN BERRINGTON"/>
    <n v="200"/>
    <n v="200"/>
    <n v="27541.84"/>
  </r>
  <r>
    <d v="2026-04-07T00:00:00"/>
    <x v="22"/>
    <s v="Inward Payment"/>
    <s v="FT2609725YJR"/>
    <x v="351"/>
    <s v="20814HAYLEIGHBOWAT"/>
    <n v="359.85"/>
    <n v="359.85"/>
    <n v="27341.84"/>
  </r>
  <r>
    <d v="2026-04-07T00:00:00"/>
    <x v="22"/>
    <s v="Inward Payment"/>
    <s v="FT26097YZK3V"/>
    <x v="352"/>
    <s v="JAGJIT S VEGHAL"/>
    <n v="216.67"/>
    <n v="216.67"/>
    <n v="26981.99"/>
  </r>
  <r>
    <d v="2026-04-07T00:00:00"/>
    <x v="22"/>
    <s v="Inward Payment"/>
    <s v="FT26097BBWJP"/>
    <x v="115"/>
    <s v="FOOD SHOPPING"/>
    <n v="50"/>
    <n v="50"/>
    <n v="26765.32"/>
  </r>
  <r>
    <d v="2026-04-07T00:00:00"/>
    <x v="22"/>
    <s v="Inward Payment"/>
    <s v="FT26097T53NH"/>
    <x v="105"/>
    <s v="DPILLINGER TRANSP"/>
    <n v="11.96"/>
    <n v="11.96"/>
    <n v="26715.32"/>
  </r>
  <r>
    <d v="2026-04-07T00:00:00"/>
    <x v="22"/>
    <s v="Inward Payment"/>
    <s v="FT26097VPSQ1"/>
    <x v="107"/>
    <s v="ANGELA WOLVERSON"/>
    <n v="65"/>
    <n v="65"/>
    <n v="26703.36"/>
  </r>
  <r>
    <d v="2026-04-07T00:00:00"/>
    <x v="22"/>
    <s v="Inward Payment"/>
    <s v="FT2609716PY7"/>
    <x v="109"/>
    <s v="A FRANCE - RENT"/>
    <n v="95"/>
    <n v="95"/>
    <n v="26638.36"/>
  </r>
  <r>
    <d v="2026-04-07T00:00:00"/>
    <x v="22"/>
    <s v="Inward Payment"/>
    <s v="FT26097WCJKN"/>
    <x v="105"/>
    <s v="DAVID PILLINGER"/>
    <n v="65"/>
    <n v="65"/>
    <n v="26543.36"/>
  </r>
  <r>
    <d v="2026-04-07T00:00:00"/>
    <x v="22"/>
    <s v="Inward Payment"/>
    <s v="FT26097Y1P3Y"/>
    <x v="106"/>
    <s v="ANTHONY FRANCE"/>
    <n v="50"/>
    <n v="50"/>
    <n v="26478.36"/>
  </r>
  <r>
    <d v="2026-04-07T00:00:00"/>
    <x v="22"/>
    <s v="Inward Payment"/>
    <s v="FT26097GQVFB"/>
    <x v="111"/>
    <s v="LOUISE ROBERTS"/>
    <n v="50"/>
    <n v="50"/>
    <n v="26428.36"/>
  </r>
  <r>
    <d v="2026-04-07T00:00:00"/>
    <x v="22"/>
    <s v="Inward Payment"/>
    <s v="FT26097DDBN6"/>
    <x v="110"/>
    <s v="LOUISE ROBERTS"/>
    <n v="95"/>
    <n v="95"/>
    <n v="26378.36"/>
  </r>
  <r>
    <d v="2026-04-07T00:00:00"/>
    <x v="22"/>
    <s v="Inward Payment"/>
    <s v="FT26097YZMS9"/>
    <x v="107"/>
    <s v="MRS M WOLVERSON"/>
    <n v="6.08"/>
    <n v="6.08"/>
    <n v="26283.36"/>
  </r>
  <r>
    <d v="2026-04-07T00:00:00"/>
    <x v="22"/>
    <s v="Inward Payment"/>
    <s v="FT2609759D11"/>
    <x v="114"/>
    <s v="DAVID SEABRIGHT"/>
    <n v="120"/>
    <n v="120"/>
    <n v="26277.28"/>
  </r>
  <r>
    <d v="2026-04-07T00:00:00"/>
    <x v="22"/>
    <s v="Inward Payment"/>
    <s v="FT26097QQBY0"/>
    <x v="112"/>
    <s v="GARY EDWARDS"/>
    <n v="50"/>
    <n v="50"/>
    <n v="26157.28"/>
  </r>
  <r>
    <d v="2026-04-07T00:00:00"/>
    <x v="22"/>
    <s v="Inward Payment"/>
    <s v="FT26097KY8BD"/>
    <x v="108"/>
    <s v="LAUREN SMITH"/>
    <n v="150"/>
    <n v="150"/>
    <n v="26107.28"/>
  </r>
  <r>
    <d v="2026-04-07T00:00:00"/>
    <x v="22"/>
    <s v="Inward Payment"/>
    <s v="FT26097JBGLJ"/>
    <x v="65"/>
    <s v="DS WEEKLY SPEND"/>
    <n v="120"/>
    <n v="120"/>
    <n v="25957.28"/>
  </r>
  <r>
    <d v="2026-04-07T00:00:00"/>
    <x v="22"/>
    <s v="Inward Payment"/>
    <s v="FT26097RK8P5"/>
    <x v="118"/>
    <s v="JAMES EASTWOOD"/>
    <n v="50"/>
    <n v="50"/>
    <n v="25837.28"/>
  </r>
  <r>
    <d v="2026-04-07T00:00:00"/>
    <x v="22"/>
    <s v="Inward Payment"/>
    <s v="FT26097Y76Q7"/>
    <x v="118"/>
    <s v="JAMEEASTWOOD RENT"/>
    <n v="411.67"/>
    <n v="411.67"/>
    <n v="25787.28"/>
  </r>
  <r>
    <d v="2026-04-07T00:00:00"/>
    <x v="22"/>
    <s v="Inward Payment"/>
    <s v="FT26097L305G"/>
    <x v="148"/>
    <s v="R DAWSON RENT"/>
    <n v="50"/>
    <n v="50"/>
    <n v="25375.61"/>
  </r>
  <r>
    <d v="2026-04-07T00:00:00"/>
    <x v="22"/>
    <s v="Inward Payment"/>
    <s v="FT26097Z5JQ4"/>
    <x v="148"/>
    <s v="R DAWSON RENT"/>
    <n v="411.67"/>
    <n v="411.67"/>
    <n v="25325.61"/>
  </r>
  <r>
    <d v="2026-04-07T00:00:00"/>
    <x v="22"/>
    <s v="Inward Payment"/>
    <s v="FT26097CSBQ3"/>
    <x v="66"/>
    <s v="TREVOR KEANE"/>
    <n v="50"/>
    <n v="50"/>
    <n v="24913.94"/>
  </r>
  <r>
    <d v="2026-04-07T00:00:00"/>
    <x v="22"/>
    <s v="Inward Payment"/>
    <s v="FT26097NY2KY"/>
    <x v="119"/>
    <s v="select Utility"/>
    <n v="50"/>
    <n v="50"/>
    <n v="24863.94"/>
  </r>
  <r>
    <d v="2026-04-07T00:00:00"/>
    <x v="22"/>
    <s v="Inward Payment"/>
    <s v="FT26097SX1L8"/>
    <x v="211"/>
    <s v="D MORRISSEY-LIMB"/>
    <n v="190"/>
    <n v="190"/>
    <n v="24813.94"/>
  </r>
  <r>
    <d v="2026-04-07T00:00:00"/>
    <x v="22"/>
    <s v="Inward Payment"/>
    <s v="FT26097PT5GD"/>
    <x v="313"/>
    <s v="Extra Rent"/>
    <n v="25"/>
    <n v="25"/>
    <n v="24623.94"/>
  </r>
  <r>
    <d v="2026-04-07T00:00:00"/>
    <x v="22"/>
    <s v="Inward Payment"/>
    <s v="FT260972YL83"/>
    <x v="120"/>
    <s v="SHEYLLA"/>
    <n v="120"/>
    <n v="120"/>
    <n v="24598.94"/>
  </r>
  <r>
    <d v="2026-04-02T00:00:00"/>
    <x v="23"/>
    <s v="Inward Payment"/>
    <s v="FT260924ZF70"/>
    <x v="276"/>
    <s v="BOBBY SPEARS"/>
    <n v="300"/>
    <n v="300"/>
    <n v="24478.94"/>
  </r>
  <r>
    <d v="2026-04-02T00:00:00"/>
    <x v="23"/>
    <s v="Inward Payment"/>
    <s v="FT26092JT0DY"/>
    <x v="116"/>
    <s v="RYAN LAWLEY"/>
    <n v="50"/>
    <n v="50"/>
    <n v="24178.94"/>
  </r>
  <r>
    <d v="2026-04-02T00:00:00"/>
    <x v="23"/>
    <s v="Inward Payment"/>
    <s v="FT26092VJZBF"/>
    <x v="116"/>
    <s v="RYAN LAWLEY"/>
    <n v="95"/>
    <n v="95"/>
    <n v="24128.94"/>
  </r>
  <r>
    <d v="2026-04-02T00:00:00"/>
    <x v="24"/>
    <s v="Inward Payment"/>
    <s v="FT260923MMPY"/>
    <x v="353"/>
    <s v="Lottie brown"/>
    <n v="216.67"/>
    <n v="216.67"/>
    <n v="24033.94"/>
  </r>
  <r>
    <d v="2026-04-02T00:00:00"/>
    <x v="24"/>
    <s v="Inward Payment"/>
    <s v="FT26092JS5BH"/>
    <x v="354"/>
    <s v="SELECT LIFESTYLES"/>
    <n v="400"/>
    <n v="400"/>
    <n v="23817.27"/>
  </r>
  <r>
    <d v="2026-04-02T00:00:00"/>
    <x v="24"/>
    <s v="Inward Payment"/>
    <s v="FT26092VCBKV"/>
    <x v="355"/>
    <s v="A JOHNSON RENT"/>
    <n v="380"/>
    <n v="380"/>
    <n v="23417.27"/>
  </r>
  <r>
    <d v="2026-04-02T00:00:00"/>
    <x v="25"/>
    <s v="Inward Payment"/>
    <s v="FT26092H0L7W"/>
    <x v="356"/>
    <n v="43940"/>
    <n v="2108.6"/>
    <n v="2108.6"/>
    <n v="23037.27"/>
  </r>
  <r>
    <d v="2026-04-02T00:00:00"/>
    <x v="25"/>
    <s v="Inward Payment"/>
    <s v="FT26092073PT"/>
    <x v="356"/>
    <n v="44326"/>
    <n v="2319.46"/>
    <n v="2319.46"/>
    <n v="20928.67"/>
  </r>
  <r>
    <d v="2026-04-02T00:00:00"/>
    <x v="25"/>
    <s v="Inward Payment"/>
    <s v="FT26092DF65P"/>
    <x v="356"/>
    <n v="43939"/>
    <n v="1553.28"/>
    <n v="1553.28"/>
    <n v="18609.21"/>
  </r>
  <r>
    <d v="2026-04-02T00:00:00"/>
    <x v="25"/>
    <s v="Inward Payment"/>
    <s v="FT260920WXYK"/>
    <x v="356"/>
    <n v="44325"/>
    <n v="1682.72"/>
    <n v="1682.72"/>
    <n v="17055.93"/>
  </r>
  <r>
    <d v="2026-04-02T00:00:00"/>
    <x v="25"/>
    <s v="Inward Payment"/>
    <s v="FT26092VHGY7"/>
    <x v="28"/>
    <s v="FDMS 510799083"/>
    <n v="306.67"/>
    <n v="306.67"/>
    <n v="15373.21"/>
  </r>
  <r>
    <d v="2026-04-02T00:00:00"/>
    <x v="25"/>
    <s v="Inward Payment"/>
    <s v="FT26092JR2CB"/>
    <x v="7"/>
    <s v="LIFESTYLES"/>
    <n v="65"/>
    <n v="65"/>
    <n v="15066.54"/>
  </r>
  <r>
    <d v="2026-04-02T00:00:00"/>
    <x v="25"/>
    <s v="Card Transaction"/>
    <s v="00001580192-20260401-1520608"/>
    <x v="172"/>
    <s v="GBR 20260401 Tesla Inc. West Drayton"/>
    <n v="-6.36"/>
    <s v=""/>
    <n v="15001.54"/>
  </r>
  <r>
    <d v="2026-04-02T00:00:00"/>
    <x v="25"/>
    <s v="Card Transaction"/>
    <s v="00001580192-20260401-1520598"/>
    <x v="172"/>
    <s v="GBR 20260331 Tesla Inc. West Drayton"/>
    <n v="-4.38"/>
    <s v=""/>
    <n v="15007.9"/>
  </r>
  <r>
    <d v="2026-04-02T00:00:00"/>
    <x v="25"/>
    <s v="Standing Order"/>
    <s v="FT26092JCFQ3"/>
    <x v="357"/>
    <s v="1 Harrison St Rent"/>
    <n v="-3000"/>
    <s v=""/>
    <n v="15012.28"/>
  </r>
  <r>
    <d v="2026-04-02T00:00:00"/>
    <x v="25"/>
    <s v="Inward Payment"/>
    <s v="FT260927R5DT"/>
    <x v="22"/>
    <s v="SERVICE CHARGES"/>
    <n v="71.08"/>
    <n v="71.08"/>
    <n v="18012.28"/>
  </r>
  <r>
    <d v="2026-04-02T00:00:00"/>
    <x v="25"/>
    <s v="Inward Payment"/>
    <s v="FT26092ZZKLM"/>
    <x v="65"/>
    <s v="DANIEL STOKES"/>
    <n v="281.67"/>
    <n v="281.67"/>
    <n v="17941.2"/>
  </r>
  <r>
    <d v="2026-04-02T00:00:00"/>
    <x v="25"/>
    <s v="Inward Payment"/>
    <s v="FT260929K825"/>
    <x v="358"/>
    <s v="AJOHNSON"/>
    <n v="541.67"/>
    <n v="541.67"/>
    <n v="17659.53"/>
  </r>
  <r>
    <d v="2026-04-02T00:00:00"/>
    <x v="25"/>
    <s v="Direct Debit"/>
    <s v="DDC20260401201461"/>
    <x v="133"/>
    <s v="BIZLEND LTD GBP AC BIZLEND4444"/>
    <n v="-5625"/>
    <s v=""/>
    <n v="17117.86"/>
  </r>
  <r>
    <d v="2026-04-02T00:00:00"/>
    <x v="25"/>
    <s v="Direct Debit"/>
    <s v="DDC20260401213786"/>
    <x v="359"/>
    <s v="AVIVA PENSION 00086210110001"/>
    <n v="-50"/>
    <s v=""/>
    <n v="22742.86"/>
  </r>
  <r>
    <d v="2026-04-02T00:00:00"/>
    <x v="25"/>
    <s v="BACS Payment Received"/>
    <s v="BACS20260401101522"/>
    <x v="59"/>
    <s v="WALSALL METROPOLIT-206877-58552541 401256-WALSALL METROPOLIT-&amp;--&amp;-SHAHANAZ 099 BACS CR SELECT LIFESTYLES"/>
    <n v="245.09"/>
    <n v="245.09"/>
    <n v="22792.86"/>
  </r>
  <r>
    <d v="2026-04-02T00:00:00"/>
    <x v="25"/>
    <s v="BACS Payment Received"/>
    <s v="BACS20260401157368"/>
    <x v="360"/>
    <s v="JDOWNINGRA-607080-10025863 278961-JDOWNINGRA-&amp;--&amp;-000000003699522176 099 BACS CR JORDAN DOWNING"/>
    <n v="47.54"/>
    <n v="47.54"/>
    <n v="22547.77"/>
  </r>
  <r>
    <d v="2026-04-02T00:00:00"/>
    <x v="25"/>
    <s v="BACS Payment Received"/>
    <s v="BACS20260401151352"/>
    <x v="361"/>
    <s v="JTURNER-607080-10025863 278961-JTURNER-&amp;--&amp;-000000003698759291 099 BACS CR JOSEPH TURNER"/>
    <n v="411.67"/>
    <n v="411.67"/>
    <n v="22500.23"/>
  </r>
  <r>
    <d v="2026-04-02T00:00:00"/>
    <x v="25"/>
    <s v="BACS Payment Received"/>
    <s v="BACS20260401157362"/>
    <x v="362"/>
    <s v="JDOWNING-607080-10025863 278961-JDOWNING-&amp;--&amp;-000000003699521647 099 BACS CR JORDAN DOWNING"/>
    <n v="411.67"/>
    <n v="411.67"/>
    <n v="22088.56"/>
  </r>
  <r>
    <d v="2026-04-02T00:00:00"/>
    <x v="25"/>
    <s v="BACS Payment Received"/>
    <s v="BACS20260401157387"/>
    <x v="363"/>
    <s v="ANDREW HANDS-607080-10025863 278961-ANDREW HANDS-&amp;--&amp;-000000003699498639 099 BACS CR ANDREW HANDS"/>
    <n v="411.67"/>
    <n v="411.67"/>
    <n v="21676.89"/>
  </r>
  <r>
    <d v="2026-04-02T00:00:00"/>
    <x v="25"/>
    <s v="BACS Payment Received"/>
    <s v="BACS20260401157421"/>
    <x v="364"/>
    <s v="LHICKMAN-607080-10025863 278961-LHICKMAN-&amp;--&amp;-000000003699519843 099 BACS CR LUKE HICKMAN"/>
    <n v="411.67"/>
    <n v="411.67"/>
    <n v="21265.22"/>
  </r>
  <r>
    <d v="2026-04-02T00:00:00"/>
    <x v="25"/>
    <s v="BACS Payment Received"/>
    <s v="BACS20260401151372"/>
    <x v="365"/>
    <s v="JSTONE-607080-10025863 278961-JSTONE-&amp;--&amp;-000000003698759124 099 BACS CR JAMIE STONE"/>
    <n v="495"/>
    <n v="495"/>
    <n v="20853.55"/>
  </r>
  <r>
    <d v="2026-04-02T00:00:00"/>
    <x v="25"/>
    <s v="BACS Payment Received"/>
    <s v="BACS20260401154131"/>
    <x v="366"/>
    <s v="JHADDOCK-607080-10025863 278961-JHADDOCK-&amp;--&amp;-000000003698821872 099 BACS CR JESSICA HADDOCK"/>
    <n v="495"/>
    <n v="495"/>
    <n v="20358.55"/>
  </r>
  <r>
    <d v="2026-04-02T00:00:00"/>
    <x v="25"/>
    <s v="BACS Payment Received"/>
    <s v="BACS20260401146614"/>
    <x v="160"/>
    <s v="WYATES-607080-10025863 278961-WYATES-&amp;--&amp;-000000003702605588 099 BACS CR WESTLEY YATES"/>
    <n v="411.67"/>
    <n v="411.67"/>
    <n v="19863.55"/>
  </r>
  <r>
    <d v="2026-04-02T00:00:00"/>
    <x v="25"/>
    <s v="BACS Payment Received"/>
    <s v="BACS20260401148668"/>
    <x v="367"/>
    <s v="JWARD-607080-10025863 278961-JWARD-&amp;--&amp;-000000003699003353 099 BACS CR JAMIE WARD"/>
    <n v="411.67"/>
    <n v="411.67"/>
    <n v="19451.88"/>
  </r>
  <r>
    <d v="2026-04-02T00:00:00"/>
    <x v="25"/>
    <s v="BACS Payment Received"/>
    <s v="BACS20260401147018"/>
    <x v="368"/>
    <s v="PHINDS-607080-10025863 278961-PHINDS-&amp;--&amp;-000000003698650335 099 BACS CR PAUL HINDS"/>
    <n v="495"/>
    <n v="495"/>
    <n v="19040.21"/>
  </r>
  <r>
    <d v="2026-04-02T00:00:00"/>
    <x v="25"/>
    <s v="BACS Payment Received"/>
    <s v="BACS20260401147727"/>
    <x v="369"/>
    <s v="DPILLINGER-607080-10025863 278961-DPILLINGER-&amp;--&amp;-000000003702576904 099 BACS CR DAVID PILLINGER"/>
    <n v="495"/>
    <n v="495"/>
    <n v="18545.21"/>
  </r>
  <r>
    <d v="2026-04-02T00:00:00"/>
    <x v="25"/>
    <s v="BACS Payment Received"/>
    <s v="BACS20260401147883"/>
    <x v="370"/>
    <s v="HMISTRY-607080-10025863 278961-HMISTRY-&amp;--&amp;-000000003699645824 099 BACS CR HITEN MISTRY"/>
    <n v="495"/>
    <n v="495"/>
    <n v="18050.21"/>
  </r>
  <r>
    <d v="2026-04-02T00:00:00"/>
    <x v="25"/>
    <s v="Inward Payment"/>
    <s v="FT260922WKZL"/>
    <x v="15"/>
    <s v="COLLEEN JOHNSON"/>
    <n v="300"/>
    <n v="300"/>
    <n v="17555.21"/>
  </r>
  <r>
    <d v="2026-04-02T00:00:00"/>
    <x v="25"/>
    <s v="Inward Payment"/>
    <s v="FT26092YPNG1"/>
    <x v="16"/>
    <s v="JOSIAHLEE"/>
    <n v="50"/>
    <n v="50"/>
    <n v="17255.21"/>
  </r>
  <r>
    <d v="2026-04-02T00:00:00"/>
    <x v="25"/>
    <s v="Inward Payment"/>
    <s v="FT260927C36G"/>
    <x v="371"/>
    <s v="MARSHA KAY UTILITY"/>
    <n v="281.67"/>
    <n v="281.67"/>
    <n v="17205.21"/>
  </r>
  <r>
    <d v="2026-04-02T00:00:00"/>
    <x v="25"/>
    <s v="Inward Payment"/>
    <s v="FT26092B2D3K"/>
    <x v="180"/>
    <s v="SARAH JONES"/>
    <n v="281.67"/>
    <n v="281.67"/>
    <n v="16923.54"/>
  </r>
  <r>
    <d v="2026-04-02T00:00:00"/>
    <x v="25"/>
    <s v="Inward Payment"/>
    <s v="FT260924HWMV"/>
    <x v="23"/>
    <s v="RENT"/>
    <n v="95"/>
    <n v="95"/>
    <n v="16641.87"/>
  </r>
  <r>
    <d v="2026-04-01T00:00:00"/>
    <x v="26"/>
    <s v="Outward Faster Payment"/>
    <s v="FT26091V9Q66"/>
    <x v="372"/>
    <s v="Monthly cash Apr26"/>
    <n v="-9105"/>
    <s v=""/>
    <n v="16546.87"/>
  </r>
  <r>
    <d v="2026-04-01T00:00:00"/>
    <x v="26"/>
    <s v="Account to Account Transfer"/>
    <s v="FT26091DSMCP"/>
    <x v="4"/>
    <s v="CC MG/NP/JS"/>
    <n v="-946.67"/>
    <s v=""/>
    <n v="25651.87"/>
  </r>
  <r>
    <d v="2026-04-01T00:00:00"/>
    <x v="26"/>
    <s v="Inward Payment"/>
    <s v="FT2609143F73"/>
    <x v="6"/>
    <s v="Fabian March rent"/>
    <n v="852"/>
    <n v="852"/>
    <n v="26598.54"/>
  </r>
  <r>
    <d v="2026-04-01T00:00:00"/>
    <x v="26"/>
    <s v="Outward Faster Payment"/>
    <s v="FT26091X0D3S"/>
    <x v="373"/>
    <s v="April Pay"/>
    <n v="-22809"/>
    <s v=""/>
    <n v="25746.54"/>
  </r>
  <r>
    <d v="2026-04-01T00:00:00"/>
    <x v="26"/>
    <s v="Inward Payment"/>
    <s v="FT26091JWVJP"/>
    <x v="26"/>
    <s v="RENTUTILITY BILL"/>
    <n v="980"/>
    <n v="980"/>
    <n v="48555.54"/>
  </r>
  <r>
    <d v="2026-04-01T00:00:00"/>
    <x v="26"/>
    <s v="Inward Payment"/>
    <s v="FT260911TR0L"/>
    <x v="95"/>
    <s v="TOBY PALETHORPE"/>
    <n v="25"/>
    <n v="25"/>
    <n v="47575.54"/>
  </r>
  <r>
    <d v="2026-04-01T00:00:00"/>
    <x v="26"/>
    <s v="Card Transaction"/>
    <s v="00001580192-20260331-1521427"/>
    <x v="9"/>
    <s v="GBR 20260330 WWW.IWOCA.CO.UK LONDON"/>
    <n v="-6293.61"/>
    <s v=""/>
    <n v="47550.54"/>
  </r>
  <r>
    <d v="2026-04-01T00:00:00"/>
    <x v="26"/>
    <s v="Standing Order"/>
    <s v="FT26091XFRQY"/>
    <x v="374"/>
    <s v="Marsons Court Rent"/>
    <n v="-7200"/>
    <s v=""/>
    <n v="53844.15"/>
  </r>
  <r>
    <d v="2026-04-01T00:00:00"/>
    <x v="26"/>
    <s v="Standing Order"/>
    <s v="FT26091ZGQQN"/>
    <x v="375"/>
    <s v="Doveridge Place"/>
    <n v="-5900"/>
    <s v=""/>
    <n v="61044.15"/>
  </r>
  <r>
    <d v="2026-04-01T00:00:00"/>
    <x v="26"/>
    <s v="Standing Order"/>
    <s v="FT26091Q2G0M"/>
    <x v="376"/>
    <s v="130 Himley Road"/>
    <n v="-3500"/>
    <s v=""/>
    <n v="66944.14999999999"/>
  </r>
  <r>
    <d v="2026-04-01T00:00:00"/>
    <x v="26"/>
    <s v="Standing Order"/>
    <s v="FT26091XYLN8"/>
    <x v="377"/>
    <s v="94-95 Throne Road"/>
    <n v="-3292"/>
    <s v=""/>
    <n v="70444.14999999999"/>
  </r>
  <r>
    <d v="2026-04-01T00:00:00"/>
    <x v="26"/>
    <s v="Standing Order"/>
    <s v="FT26091S5MNF"/>
    <x v="375"/>
    <s v="12 Beeches Road"/>
    <n v="-2900"/>
    <s v=""/>
    <n v="73736.14999999999"/>
  </r>
  <r>
    <d v="2026-04-01T00:00:00"/>
    <x v="26"/>
    <s v="Standing Order"/>
    <s v="FT260914Q2YN"/>
    <x v="375"/>
    <s v="46 Dudding Road"/>
    <n v="-2900"/>
    <s v=""/>
    <n v="76636.14999999999"/>
  </r>
  <r>
    <d v="2026-04-01T00:00:00"/>
    <x v="26"/>
    <s v="Standing Order"/>
    <s v="FT26091B30WY"/>
    <x v="378"/>
    <s v="Fellows Road Rent"/>
    <n v="-2600"/>
    <s v=""/>
    <n v="79536.14999999999"/>
  </r>
  <r>
    <d v="2026-04-01T00:00:00"/>
    <x v="26"/>
    <s v="Standing Order"/>
    <s v="FT260913FCYP"/>
    <x v="379"/>
    <s v="127 Stony Ln Rent"/>
    <n v="-2500"/>
    <s v=""/>
    <n v="82136.14999999999"/>
  </r>
  <r>
    <d v="2026-04-01T00:00:00"/>
    <x v="26"/>
    <s v="Standing Order"/>
    <s v="FT26091K50N8"/>
    <x v="47"/>
    <s v="Vicarage Road Rent"/>
    <n v="-1775"/>
    <s v=""/>
    <n v="84636.14999999999"/>
  </r>
  <r>
    <d v="2026-04-01T00:00:00"/>
    <x v="26"/>
    <s v="Standing Order"/>
    <s v="FT260912HMQK"/>
    <x v="47"/>
    <s v="TivertonDrive Rent"/>
    <n v="-1500"/>
    <s v=""/>
    <n v="86411.14999999999"/>
  </r>
  <r>
    <d v="2026-04-01T00:00:00"/>
    <x v="26"/>
    <s v="Standing Order"/>
    <s v="FT26091QSRQF"/>
    <x v="380"/>
    <s v="Oberon Rent"/>
    <n v="-950"/>
    <s v=""/>
    <n v="87911.14999999999"/>
  </r>
  <r>
    <d v="2026-04-01T00:00:00"/>
    <x v="26"/>
    <s v="Standing Order"/>
    <s v="FT26091642XL"/>
    <x v="381"/>
    <s v="43c High St Rent"/>
    <n v="-725"/>
    <s v=""/>
    <n v="88861.14999999999"/>
  </r>
  <r>
    <d v="2026-04-01T00:00:00"/>
    <x v="26"/>
    <s v="Inward Payment"/>
    <s v="FT260917QCKG"/>
    <x v="67"/>
    <s v="TARENBIR CHEEMA"/>
    <n v="100"/>
    <n v="100"/>
    <n v="89586.14999999999"/>
  </r>
  <r>
    <d v="2026-04-01T00:00:00"/>
    <x v="26"/>
    <s v="Inward Payment"/>
    <s v="FT26091QDYJP"/>
    <x v="39"/>
    <s v="LAURA NEAL"/>
    <n v="45"/>
    <n v="45"/>
    <n v="89486.14999999999"/>
  </r>
  <r>
    <d v="2026-04-01T00:00:00"/>
    <x v="26"/>
    <s v="Inward Payment"/>
    <s v="FT26091J8D6J"/>
    <x v="39"/>
    <s v="L NEAL"/>
    <n v="12.69"/>
    <n v="12.69"/>
    <n v="89441.14999999999"/>
  </r>
  <r>
    <d v="2026-04-01T00:00:00"/>
    <x v="26"/>
    <s v="Inward Payment"/>
    <s v="FT260919MX1L"/>
    <x v="49"/>
    <s v="ERROLGRANT RENTTOP"/>
    <n v="25"/>
    <n v="25"/>
    <n v="89428.46000000001"/>
  </r>
  <r>
    <d v="2026-04-01T00:00:00"/>
    <x v="26"/>
    <s v="Direct Debit"/>
    <s v="DDC202603312318144"/>
    <x v="382"/>
    <s v="CIPD 5818963/190269"/>
    <n v="-47.75"/>
    <s v=""/>
    <n v="89403.46000000001"/>
  </r>
  <r>
    <d v="2026-04-01T00:00:00"/>
    <x v="26"/>
    <s v="Inward Payment"/>
    <s v="FT26091J2GNT"/>
    <x v="383"/>
    <s v="William Skyte"/>
    <n v="25"/>
    <n v="25"/>
    <n v="89451.21000000001"/>
  </r>
  <r>
    <d v="2026-04-01T00:00:00"/>
    <x v="26"/>
    <s v="Inward Payment"/>
    <s v="FT260919N9QP"/>
    <x v="37"/>
    <s v="DANIEL MEHMI"/>
    <n v="69.86"/>
    <n v="69.86"/>
    <n v="89426.21000000001"/>
  </r>
  <r>
    <d v="2026-04-01T00:00:00"/>
    <x v="26"/>
    <s v="Inward Payment"/>
    <s v="FT26091QT1NV"/>
    <x v="36"/>
    <s v="MARKEY GRAY- PERSO"/>
    <n v="200"/>
    <n v="200"/>
    <n v="89356.35000000001"/>
  </r>
  <r>
    <d v="2026-04-01T00:00:00"/>
    <x v="26"/>
    <s v="Direct Debit"/>
    <s v="DDC202603312347283"/>
    <x v="11"/>
    <s v="MULTIFLEET VEHICLE 0210438-004"/>
    <n v="-1478.98"/>
    <s v=""/>
    <n v="89156.35000000001"/>
  </r>
  <r>
    <d v="2026-04-01T00:00:00"/>
    <x v="26"/>
    <s v="Direct Debit"/>
    <s v="DDC20260331213300"/>
    <x v="12"/>
    <s v="STRIPE X2CIFOA3-FF"/>
    <n v="-765"/>
    <s v=""/>
    <n v="90635.33"/>
  </r>
  <r>
    <d v="2026-04-01T00:00:00"/>
    <x v="26"/>
    <s v="Direct Debit"/>
    <s v="DDC202603312296080"/>
    <x v="384"/>
    <s v="UKO SERVICED OFFIC RHSELECT-1"/>
    <n v="-420"/>
    <s v=""/>
    <n v="91400.33"/>
  </r>
  <r>
    <d v="2026-04-01T00:00:00"/>
    <x v="26"/>
    <s v="Direct Debit"/>
    <s v="DDC20260331245804"/>
    <x v="385"/>
    <s v="DVLA-BN25KWH 000000000078242165"/>
    <n v="-620"/>
    <s v=""/>
    <n v="91820.33"/>
  </r>
  <r>
    <d v="2026-04-01T00:00:00"/>
    <x v="26"/>
    <s v="Direct Debit"/>
    <s v="DDC202603312288822"/>
    <x v="289"/>
    <s v="GOCARDLESS CARETUTOR-45S43K8E"/>
    <n v="-1620"/>
    <s v=""/>
    <n v="92440.33"/>
  </r>
  <r>
    <d v="2026-04-01T00:00:00"/>
    <x v="26"/>
    <s v="Direct Debit"/>
    <s v="DDC202603312289454"/>
    <x v="289"/>
    <s v="GOCARDLESS ALSALBIONLIM-M7M7Z"/>
    <n v="-1467.2"/>
    <s v=""/>
    <n v="94060.33"/>
  </r>
  <r>
    <d v="2026-04-01T00:00:00"/>
    <x v="26"/>
    <s v="Direct Debit"/>
    <s v="DDC202603312126490"/>
    <x v="386"/>
    <s v="AVIVA 100779187CMI11G004"/>
    <n v="-6302.19"/>
    <s v=""/>
    <n v="95527.53"/>
  </r>
  <r>
    <d v="2026-04-01T00:00:00"/>
    <x v="26"/>
    <s v="Direct Debit"/>
    <s v="DDC202603312135143"/>
    <x v="254"/>
    <s v="PREMIUM CREDIT LTD 04C08092GA35-10009"/>
    <n v="-731.64"/>
    <s v=""/>
    <n v="101829.72"/>
  </r>
  <r>
    <d v="2026-04-01T00:00:00"/>
    <x v="26"/>
    <s v="Inward Payment"/>
    <s v="FT26091LXS88"/>
    <x v="161"/>
    <s v="KMAZUR RENT SF"/>
    <n v="25"/>
    <n v="25"/>
    <n v="102561.36"/>
  </r>
  <r>
    <d v="2026-04-01T00:00:00"/>
    <x v="26"/>
    <s v="Inward Payment"/>
    <s v="FT26091Q595Z"/>
    <x v="387"/>
    <s v="SSMITH"/>
    <n v="216.67"/>
    <n v="216.67"/>
    <n v="102536.36"/>
  </r>
  <r>
    <d v="2026-04-01T00:00:00"/>
    <x v="26"/>
    <s v="Inward Payment"/>
    <s v="FT26091N1QD5"/>
    <x v="388"/>
    <s v="NICKY PATEL"/>
    <n v="363.34"/>
    <n v="363.34"/>
    <n v="102319.69"/>
  </r>
  <r>
    <d v="2026-04-01T00:00:00"/>
    <x v="26"/>
    <s v="Inward Payment"/>
    <s v="FT260918HN8H"/>
    <x v="388"/>
    <s v="NICKY PATEL"/>
    <n v="200"/>
    <n v="200"/>
    <n v="101956.35"/>
  </r>
  <r>
    <d v="2026-04-01T00:00:00"/>
    <x v="26"/>
    <s v="Inward Payment"/>
    <s v="FT26091T9KH9"/>
    <x v="389"/>
    <s v="KAMAL MIAH"/>
    <n v="195"/>
    <n v="195"/>
    <n v="101756.35"/>
  </r>
  <r>
    <d v="2026-04-01T00:00:00"/>
    <x v="26"/>
    <s v="BACS Payment Received"/>
    <s v="BACS20260331119362"/>
    <x v="390"/>
    <s v="ZHUGHES-607080-10025863 278961-ZHUGHES-&amp;--&amp;-000000003692966653 099 BACS CR ZACHARY HUGHES"/>
    <n v="411.67"/>
    <n v="411.67"/>
    <n v="101561.35"/>
  </r>
  <r>
    <d v="2026-04-01T00:00:00"/>
    <x v="26"/>
    <s v="BACS Payment Received"/>
    <s v="BACS20260331119784"/>
    <x v="391"/>
    <s v="BHOULDEN-607080-10025863 278961-BHOULDEN-&amp;--&amp;-000000003692934049 099 BACS CR BRITNEY HOULDEN"/>
    <n v="411.67"/>
    <n v="411.67"/>
    <n v="101149.68"/>
  </r>
  <r>
    <d v="2026-04-01T00:00:00"/>
    <x v="26"/>
    <s v="BACS Payment Received"/>
    <s v="BACS20260331120876"/>
    <x v="138"/>
    <s v="SANDWELL MBC-601539-69624135 971830-SANDWELL MBC-&amp;--&amp;-129840 099 BACS CR SELECT LIFESTYLES"/>
    <n v="12699.76"/>
    <n v="12699.76"/>
    <n v="100738.01"/>
  </r>
  <r>
    <d v="2026-04-01T00:00:00"/>
    <x v="26"/>
    <s v="Inward Payment"/>
    <s v="FT26091JRLG9"/>
    <x v="392"/>
    <s v="JAMIE HARTLEY"/>
    <n v="216.67"/>
    <n v="216.67"/>
    <n v="88038.25"/>
  </r>
  <r>
    <d v="2026-04-01T00:00:00"/>
    <x v="26"/>
    <s v="Inward Payment"/>
    <s v="FT26091GQDY5"/>
    <x v="115"/>
    <s v="JB RENT"/>
    <n v="411.67"/>
    <n v="411.67"/>
    <n v="87821.58"/>
  </r>
  <r>
    <d v="2026-04-01T00:00:00"/>
    <x v="26"/>
    <s v="Inward Payment"/>
    <s v="FT2609145N89"/>
    <x v="393"/>
    <s v="AARON MORGAN"/>
    <n v="195"/>
    <n v="195"/>
    <n v="87409.91"/>
  </r>
  <r>
    <d v="2026-04-01T00:00:00"/>
    <x v="26"/>
    <s v="Inward Payment"/>
    <s v="FT26091VKZR5"/>
    <x v="197"/>
    <s v="Adam Peile- Rent A"/>
    <n v="100"/>
    <n v="100"/>
    <n v="87214.91"/>
  </r>
  <r>
    <d v="2026-04-01T00:00:00"/>
    <x v="26"/>
    <s v="Inward Payment"/>
    <s v="FT26091GK3FZ"/>
    <x v="99"/>
    <s v="GEMMA BAKER MONTHL"/>
    <n v="12.69"/>
    <n v="12.69"/>
    <n v="87114.91"/>
  </r>
  <r>
    <d v="2026-04-01T00:00:00"/>
    <x v="26"/>
    <s v="Inward Payment"/>
    <s v="FT26091PN19H"/>
    <x v="120"/>
    <s v="SHEYLLA"/>
    <n v="281.67"/>
    <n v="281.67"/>
    <n v="87102.22"/>
  </r>
</pivotCacheRecords>
</file>

<file path=xl/pivotCache/pivotCacheRecords3.xml><?xml version="1.0" encoding="utf-8"?>
<pivotCacheRecords xmlns="http://schemas.openxmlformats.org/spreadsheetml/2006/main" count="283">
  <r>
    <d v="2026-05-08T00:00:00"/>
    <x v="0"/>
    <s v="Inward Payment"/>
    <s v="FT26128MNQ4D"/>
    <x v="0"/>
    <s v="D WOODHALL"/>
    <n v="45"/>
    <n v="45"/>
    <n v="120939.54"/>
  </r>
  <r>
    <d v="2026-05-08T00:00:00"/>
    <x v="0"/>
    <s v="Inward Payment"/>
    <s v="FT261283T7C4"/>
    <x v="1"/>
    <s v="britneys pip"/>
    <n v="300"/>
    <n v="300"/>
    <n v="120894.54"/>
  </r>
  <r>
    <d v="2026-05-08T00:00:00"/>
    <x v="0"/>
    <s v="Inward Payment"/>
    <s v="FT26128KCXVJ"/>
    <x v="2"/>
    <s v="KIERON WILSON CASH"/>
    <n v="500"/>
    <n v="500"/>
    <n v="120594.54"/>
  </r>
  <r>
    <d v="2026-05-08T00:00:00"/>
    <x v="0"/>
    <s v="Inward Payment"/>
    <s v="FT26128DWXWX"/>
    <x v="3"/>
    <s v="FDMS 510799083"/>
    <n v="266.67"/>
    <n v="266.67"/>
    <n v="120094.54"/>
  </r>
  <r>
    <d v="2026-05-08T00:00:00"/>
    <x v="0"/>
    <s v="Inward Payment"/>
    <s v="FT26128RXTWW"/>
    <x v="4"/>
    <s v="WEEKLY RENT PAUL B"/>
    <n v="95"/>
    <n v="95"/>
    <n v="119827.87"/>
  </r>
  <r>
    <d v="2026-05-08T00:00:00"/>
    <x v="0"/>
    <s v="Card Transaction"/>
    <s v="00001580192-20260507-1520523"/>
    <x v="5"/>
    <s v="GBR 20260506 THE WING MIRROR COMPAN WEMBLEY"/>
    <n v="-28.98"/>
    <s v=""/>
    <n v="119732.87"/>
  </r>
  <r>
    <d v="2026-05-08T00:00:00"/>
    <x v="0"/>
    <s v="Card Transaction"/>
    <s v="00001580192-20260507-1520513"/>
    <x v="6"/>
    <s v="GBR 20260506 Tesla West Drayton"/>
    <n v="-9.99"/>
    <s v=""/>
    <n v="119761.85"/>
  </r>
  <r>
    <d v="2026-05-08T00:00:00"/>
    <x v="0"/>
    <s v="Inward Payment"/>
    <s v="FT26128QY5YV"/>
    <x v="4"/>
    <s v="PAUL BATSON WKLY U"/>
    <n v="50"/>
    <n v="50"/>
    <n v="119771.84"/>
  </r>
  <r>
    <d v="2026-05-08T00:00:00"/>
    <x v="0"/>
    <s v="Outward Faster Payment"/>
    <s v="FT26125J6T7B"/>
    <x v="7"/>
    <s v="PA688827D GALLAGHE"/>
    <n v="-323.91"/>
    <s v=""/>
    <n v="119721.84"/>
  </r>
  <r>
    <d v="2026-05-08T00:00:00"/>
    <x v="0"/>
    <s v="Outward Faster Payment"/>
    <s v="FT261253XL83"/>
    <x v="7"/>
    <s v="DGE"/>
    <n v="-323.46"/>
    <s v=""/>
    <n v="120045.75"/>
  </r>
  <r>
    <d v="2026-05-08T00:00:00"/>
    <x v="0"/>
    <s v="Outward Faster Payment"/>
    <s v="FT26125K69GJ"/>
    <x v="7"/>
    <s v="STWOOD"/>
    <n v="-318.5"/>
    <s v=""/>
    <n v="120369.21"/>
  </r>
  <r>
    <d v="2026-05-08T00:00:00"/>
    <x v="0"/>
    <s v="Outward Faster Payment"/>
    <s v="FT261253XBBW"/>
    <x v="7"/>
    <s v="YYAR"/>
    <n v="-309.48"/>
    <s v=""/>
    <n v="120687.71"/>
  </r>
  <r>
    <d v="2026-05-08T00:00:00"/>
    <x v="0"/>
    <s v="Outward Faster Payment"/>
    <s v="FT2612594QTB"/>
    <x v="8"/>
    <s v="612346141652 MAHGA"/>
    <n v="-9.98"/>
    <s v=""/>
    <n v="120997.19"/>
  </r>
  <r>
    <d v="2026-05-08T00:00:00"/>
    <x v="0"/>
    <s v="Outward Faster Payment"/>
    <s v="FT26125FQLJ3"/>
    <x v="7"/>
    <s v="HE"/>
    <n v="-249.51"/>
    <s v=""/>
    <n v="121007.17"/>
  </r>
  <r>
    <d v="2026-05-08T00:00:00"/>
    <x v="0"/>
    <s v="Outward Faster Payment"/>
    <s v="FT261254FJQN"/>
    <x v="7"/>
    <s v="DCLIFF"/>
    <n v="-50"/>
    <s v=""/>
    <n v="121256.68"/>
  </r>
  <r>
    <d v="2026-05-08T00:00:00"/>
    <x v="0"/>
    <s v="Outward Faster Payment"/>
    <s v="FT261252JG4T"/>
    <x v="7"/>
    <s v="AMMOND"/>
    <n v="-135.24"/>
    <s v=""/>
    <n v="121306.68"/>
  </r>
  <r>
    <d v="2026-05-08T00:00:00"/>
    <x v="0"/>
    <s v="Outward Faster Payment"/>
    <s v="FT2612534C6Y"/>
    <x v="9"/>
    <s v="75344488 PHILLIPS"/>
    <n v="-100"/>
    <s v=""/>
    <n v="121441.92"/>
  </r>
  <r>
    <d v="2026-05-08T00:00:00"/>
    <x v="0"/>
    <s v="Outward Faster Payment"/>
    <s v="FT26125F98Z7"/>
    <x v="7"/>
    <s v="RGUSON"/>
    <n v="-38.48"/>
    <s v=""/>
    <n v="121541.92"/>
  </r>
  <r>
    <d v="2026-05-08T00:00:00"/>
    <x v="0"/>
    <s v="Outward Faster Payment"/>
    <s v="FT26125M82VX"/>
    <x v="8"/>
    <s v="612347849527 OAKLE"/>
    <n v="-305.27"/>
    <s v=""/>
    <n v="121580.4"/>
  </r>
  <r>
    <d v="2026-05-08T00:00:00"/>
    <x v="0"/>
    <s v="Outward Faster Payment"/>
    <s v="FT26125RQY7S"/>
    <x v="7"/>
    <s v="SP195409B"/>
    <n v="-289.58"/>
    <s v=""/>
    <n v="121885.67"/>
  </r>
  <r>
    <d v="2026-05-08T00:00:00"/>
    <x v="0"/>
    <s v="Outward Faster Payment"/>
    <s v="FT261258W7HD"/>
    <x v="7"/>
    <s v="ORGE"/>
    <n v="-60"/>
    <s v=""/>
    <n v="122175.25"/>
  </r>
  <r>
    <d v="2026-05-08T00:00:00"/>
    <x v="0"/>
    <s v="Outward Faster Payment"/>
    <s v="FT26125FSLHV"/>
    <x v="10"/>
    <s v="ARP"/>
    <n v="-153.66"/>
    <s v=""/>
    <n v="122235.25"/>
  </r>
  <r>
    <d v="2026-05-08T00:00:00"/>
    <x v="0"/>
    <s v="Outward Faster Payment"/>
    <s v="FT261278J112"/>
    <x v="11"/>
    <s v="New Dev Equals"/>
    <n v="-5000"/>
    <s v=""/>
    <n v="122388.91"/>
  </r>
  <r>
    <d v="2026-05-08T00:00:00"/>
    <x v="0"/>
    <s v="Outward Faster Payment"/>
    <s v="FT26125RLKF6"/>
    <x v="10"/>
    <s v="RLEY"/>
    <n v="-388.55"/>
    <s v=""/>
    <n v="127388.91"/>
  </r>
  <r>
    <d v="2026-05-08T00:00:00"/>
    <x v="0"/>
    <s v="Outward Faster Payment"/>
    <s v="FT26125LM755"/>
    <x v="10"/>
    <s v="501006923284 SAMUE"/>
    <n v="-156.18"/>
    <s v=""/>
    <n v="127777.46"/>
  </r>
  <r>
    <d v="2026-05-08T00:00:00"/>
    <x v="0"/>
    <s v="Direct Debit"/>
    <s v="DDC20260507201215"/>
    <x v="12"/>
    <s v="BIZLEND LTD GBP AC BIZLEND4444"/>
    <n v="-5625"/>
    <s v=""/>
    <n v="127933.64"/>
  </r>
  <r>
    <d v="2026-05-08T00:00:00"/>
    <x v="0"/>
    <s v="Direct Debit"/>
    <s v="DDC20260507239313"/>
    <x v="13"/>
    <s v="TC LOANS LTD T/A T TCL00139A"/>
    <n v="-31255.99"/>
    <s v=""/>
    <n v="133558.64"/>
  </r>
  <r>
    <d v="2026-05-08T00:00:00"/>
    <x v="0"/>
    <s v="Direct Debit"/>
    <s v="DDC20260507239314"/>
    <x v="13"/>
    <s v="TC LOANS LTD T/A T TCL00139B"/>
    <n v="-28401.04"/>
    <s v=""/>
    <n v="164814.63"/>
  </r>
  <r>
    <d v="2026-05-08T00:00:00"/>
    <x v="0"/>
    <s v="BACS Payment Received"/>
    <s v="BACS20260507101431"/>
    <x v="14"/>
    <s v="WALSALL METROPOLIT-206877-58552541 401256-WALSALL METROPOLIT-&amp;--&amp;-N SMITH SC 099 BACS CR SELECT LIFESTYLES"/>
    <n v="50"/>
    <n v="50"/>
    <n v="193215.67"/>
  </r>
  <r>
    <d v="2026-05-08T00:00:00"/>
    <x v="0"/>
    <s v="BACS Payment Received"/>
    <s v="BACS20260507101430"/>
    <x v="14"/>
    <s v="WALSALL METROPOLIT-206877-58552541 401256-WALSALL METROPOLIT-&amp;--&amp;-S        R 099 BACS CR SELECT LIFESTYLES"/>
    <n v="95"/>
    <n v="95"/>
    <n v="193165.67"/>
  </r>
  <r>
    <d v="2026-05-08T00:00:00"/>
    <x v="0"/>
    <s v="BACS Payment Received"/>
    <s v="BACS20260507101432"/>
    <x v="14"/>
    <s v="WALSALL METROPOLIT-206877-58552541 401256-WALSALL METROPOLIT-&amp;--&amp;-S B     W     R 099 BACS CR SELECT LIFESTYLES"/>
    <n v="95"/>
    <n v="95"/>
    <n v="193070.67"/>
  </r>
  <r>
    <d v="2026-05-08T00:00:00"/>
    <x v="0"/>
    <s v="BACS Payment Received"/>
    <s v="BACS20260507101433"/>
    <x v="14"/>
    <s v="WALSALL METROPOLIT-206877-58552541 401256-WALSALL METROPOLIT-&amp;--&amp;-S HOLMES UTILITY 099 BACS CR SELECT LIFESTYLES"/>
    <n v="95"/>
    <n v="95"/>
    <n v="192975.67"/>
  </r>
  <r>
    <d v="2026-05-08T00:00:00"/>
    <x v="0"/>
    <s v="BACS Payment Received"/>
    <s v="BACS20260507101434"/>
    <x v="14"/>
    <s v="WALSALL METROPOLIT-206877-58552541 401256-WALSALL METROPOLIT-&amp;--&amp;-NM SMITH RENT 099 BACS CR SELECT LIFESTYLES"/>
    <n v="95"/>
    <n v="95"/>
    <n v="192880.67"/>
  </r>
  <r>
    <d v="2026-05-08T00:00:00"/>
    <x v="0"/>
    <s v="BACS Payment Received"/>
    <s v="BACS20260507104701"/>
    <x v="15"/>
    <s v="B-HAM CITY COUNCIL-200790-70489166 972201-B-HAM CITY COUNCIL-&amp;--&amp;-2064058 099 BACS CR SELECT LIFESTYLES"/>
    <n v="9591.879999999999"/>
    <n v="9591.879999999999"/>
    <n v="192785.67"/>
  </r>
  <r>
    <d v="2026-05-08T00:00:00"/>
    <x v="0"/>
    <s v="BACS Payment Received"/>
    <s v="BACS20260507117837"/>
    <x v="16"/>
    <s v="LBROWN-607080-10025863 278961-LBROWN-&amp;--&amp;-000000003758706215 099 BACS CR LORETTA BROWN"/>
    <n v="411.67"/>
    <n v="411.67"/>
    <n v="183193.79"/>
  </r>
  <r>
    <d v="2026-05-08T00:00:00"/>
    <x v="0"/>
    <s v="BACS Payment Received"/>
    <s v="BACS20260507120106"/>
    <x v="17"/>
    <s v="BLUCAS-607080-10025863 278961-BLUCAS-&amp;--&amp;-000000003758971546 099 BACS CR BRANDON LUCAS"/>
    <n v="411.67"/>
    <n v="411.67"/>
    <n v="182782.12"/>
  </r>
  <r>
    <d v="2026-05-08T00:00:00"/>
    <x v="0"/>
    <s v="BACS Payment Received"/>
    <s v="BACS20260507120373"/>
    <x v="18"/>
    <s v="SSMITH-607080-10025863 278961-SSMITH-&amp;--&amp;-000000003759123859 099 BACS CR STELLA SMITH"/>
    <n v="411.67"/>
    <n v="411.67"/>
    <n v="182370.45"/>
  </r>
  <r>
    <d v="2026-05-08T00:00:00"/>
    <x v="0"/>
    <s v="BACS Payment Received"/>
    <s v="BACS20260507120413"/>
    <x v="19"/>
    <s v="S JONES-607080-10025863 278961-S JONES-&amp;--&amp;-000000003759131780 099 BACS CR SARAH JONES"/>
    <n v="495"/>
    <n v="495"/>
    <n v="181958.78"/>
  </r>
  <r>
    <d v="2026-05-08T00:00:00"/>
    <x v="0"/>
    <s v="BACS Payment Received"/>
    <s v="BACS20260507120431"/>
    <x v="20"/>
    <s v="CLBROWN-607080-10025863 278961-CLBROWN-&amp;--&amp;-000000003759134027 099 BACS CR CHLOE BROWN"/>
    <n v="495"/>
    <n v="495"/>
    <n v="181463.78"/>
  </r>
  <r>
    <d v="2026-05-08T00:00:00"/>
    <x v="0"/>
    <s v="BACS Payment Received"/>
    <s v="BACS20260507118003"/>
    <x v="21"/>
    <s v="KRUDD-607080-10025863 278961-KRUDD-&amp;--&amp;-000000003758726893 099 BACS CR KAYLEIGH RUDD"/>
    <n v="520"/>
    <n v="520"/>
    <n v="180968.78"/>
  </r>
  <r>
    <d v="2026-05-08T00:00:00"/>
    <x v="0"/>
    <s v="BACS Payment Received"/>
    <s v="BACS20260507120582"/>
    <x v="22"/>
    <s v="LBAYLISS-607080-10025863 278961-LBAYLISS-&amp;--&amp;-000000003759795497 099 BACS CR LUKE BAYLISS"/>
    <n v="520"/>
    <n v="520"/>
    <n v="180448.78"/>
  </r>
  <r>
    <d v="2026-05-08T00:00:00"/>
    <x v="0"/>
    <s v="BACS Payment Received"/>
    <s v="BACS20260507122640"/>
    <x v="23"/>
    <s v="B711NS VEGHAL JAGJ-607080-10025863 278961-B711NS VEGHAL JAGJ-&amp;--&amp;-000000003758872097 099 BACS CR JAGJIT VEGHAL"/>
    <n v="411.67"/>
    <n v="411.67"/>
    <n v="179928.78"/>
  </r>
  <r>
    <d v="2026-05-08T00:00:00"/>
    <x v="0"/>
    <s v="BACS Payment Received"/>
    <s v="BACS20260507123774"/>
    <x v="24"/>
    <s v="CHLOE SKELDON-607080-10025863 278961-CHLOE SKELDON-&amp;--&amp;-000000003759223056 099 BACS CR CHLOE SKELDON"/>
    <n v="411.67"/>
    <n v="411.67"/>
    <n v="179517.11"/>
  </r>
  <r>
    <d v="2026-05-08T00:00:00"/>
    <x v="0"/>
    <s v="BACS Payment Received"/>
    <s v="BACS20260507125729"/>
    <x v="25"/>
    <s v="LGARDNER-607080-10025863 278961-LGARDNER-&amp;--&amp;-000000003759215437 099 BACS CR LEVI GARDNER"/>
    <n v="411.67"/>
    <n v="411.67"/>
    <n v="179105.44"/>
  </r>
  <r>
    <d v="2026-05-08T00:00:00"/>
    <x v="0"/>
    <s v="BACS Payment Received"/>
    <s v="BACS20260507127384"/>
    <x v="26"/>
    <s v="SANDWELL MBC-601539-69624135 971830-SANDWELL MBC-&amp;--&amp;-138675 099 BACS CR SELECT LIFESTYLES"/>
    <n v="6866.4"/>
    <n v="6866.4"/>
    <n v="178693.77"/>
  </r>
  <r>
    <d v="2026-05-08T00:00:00"/>
    <x v="0"/>
    <s v="BACS Payment Received"/>
    <s v="BACS20260507127387"/>
    <x v="27"/>
    <s v="WOLVERHAMPTON CC-560069-44470320 972860-WOLVERHAMPTON CC-&amp;--&amp;-0 099 BACS CR SELECT LIFESTYLES"/>
    <n v="140800.84"/>
    <n v="140800.84"/>
    <n v="171827.37"/>
  </r>
  <r>
    <d v="2026-05-08T00:00:00"/>
    <x v="0"/>
    <s v="Inward Payment"/>
    <s v="FT26128RPHH6"/>
    <x v="28"/>
    <s v="ANGELA WOLVERSON"/>
    <n v="65"/>
    <n v="65"/>
    <n v="31026.53"/>
  </r>
  <r>
    <d v="2026-05-08T00:00:00"/>
    <x v="0"/>
    <s v="Inward Payment"/>
    <s v="FT26128SLTBS"/>
    <x v="29"/>
    <s v="BRANLUCASSERVICE"/>
    <n v="50"/>
    <n v="50"/>
    <n v="30961.53"/>
  </r>
  <r>
    <d v="2026-05-08T00:00:00"/>
    <x v="0"/>
    <s v="Inward Payment"/>
    <s v="FT26128W2TX4"/>
    <x v="30"/>
    <s v="R DAWSON RENT"/>
    <n v="50"/>
    <n v="50"/>
    <n v="30911.53"/>
  </r>
  <r>
    <d v="2026-05-07T00:00:00"/>
    <x v="0"/>
    <s v="Inward Payment"/>
    <s v="FT2612775W47"/>
    <x v="31"/>
    <s v="Service Charge"/>
    <n v="260"/>
    <n v="260"/>
    <n v="30861.53"/>
  </r>
  <r>
    <d v="2026-05-07T00:00:00"/>
    <x v="1"/>
    <s v="Outward Faster Payment"/>
    <s v="FT26127B71G0"/>
    <x v="32"/>
    <s v="SDLT 47212"/>
    <n v="-96"/>
    <s v=""/>
    <n v="30601.53"/>
  </r>
  <r>
    <d v="2026-05-07T00:00:00"/>
    <x v="1"/>
    <s v="Inward Payment"/>
    <s v="FT26127M44TS"/>
    <x v="33"/>
    <s v="LIFESTYLES"/>
    <n v="65"/>
    <n v="65"/>
    <n v="30697.53"/>
  </r>
  <r>
    <d v="2026-05-07T00:00:00"/>
    <x v="1"/>
    <s v="Card Transaction"/>
    <s v="00001580192-20260506-1520522"/>
    <x v="34"/>
    <s v="GBR 20260505 Tesla Inc. West Drayton"/>
    <n v="-29.08"/>
    <s v=""/>
    <n v="30632.53"/>
  </r>
  <r>
    <d v="2026-05-07T00:00:00"/>
    <x v="1"/>
    <s v="Standing Order"/>
    <s v="FT26127J5BTC"/>
    <x v="35"/>
    <s v="Horsehills Rent"/>
    <n v="-2000"/>
    <s v=""/>
    <n v="30661.61"/>
  </r>
  <r>
    <d v="2026-05-07T00:00:00"/>
    <x v="1"/>
    <s v="Direct Debit"/>
    <s v="DDC20260506255413"/>
    <x v="36"/>
    <s v="ALLSTAR AS60101704"/>
    <n v="-5553.59"/>
    <s v=""/>
    <n v="32661.61"/>
  </r>
  <r>
    <d v="2026-05-07T00:00:00"/>
    <x v="1"/>
    <s v="Direct Debit"/>
    <s v="DDC20260506239151"/>
    <x v="37"/>
    <s v="BRITISH GAS BUSINE 602736585111220000"/>
    <n v="-391"/>
    <s v=""/>
    <n v="38215.2"/>
  </r>
  <r>
    <d v="2026-05-07T00:00:00"/>
    <x v="1"/>
    <s v="Direct Debit"/>
    <s v="DDC20260506251695"/>
    <x v="38"/>
    <s v="GOCARDLESS FLEXIMIZE-RM8XW85Z"/>
    <n v="-10439.33"/>
    <s v=""/>
    <n v="38606.2"/>
  </r>
  <r>
    <d v="2026-05-07T00:00:00"/>
    <x v="1"/>
    <s v="Direct Debit"/>
    <s v="DDC20260506212030"/>
    <x v="39"/>
    <s v="ENGIE POWER 10340158004"/>
    <n v="-5021.35"/>
    <s v=""/>
    <n v="49045.53"/>
  </r>
  <r>
    <d v="2026-05-07T00:00:00"/>
    <x v="1"/>
    <s v="Direct Debit"/>
    <s v="DDC20260506212154"/>
    <x v="40"/>
    <s v="TOYOTA FIN SERV 000034326863/26"/>
    <n v="-1223.81"/>
    <s v=""/>
    <n v="54066.88"/>
  </r>
  <r>
    <d v="2026-05-07T00:00:00"/>
    <x v="1"/>
    <s v="Inward Payment"/>
    <s v="FT26127N712N"/>
    <x v="41"/>
    <s v="JOSIAHLEE"/>
    <n v="50"/>
    <n v="50"/>
    <n v="55290.69"/>
  </r>
  <r>
    <d v="2026-05-07T00:00:00"/>
    <x v="1"/>
    <s v="BACS Payment Received"/>
    <s v="BACS20260506116141"/>
    <x v="23"/>
    <s v="B711NS VEGHAL JAGJ-607080-10025863 278961-B711NS VEGHAL JAGJ-&amp;--&amp;-000000003757072048 099 BACS CR JAGJIT VEGHAL"/>
    <n v="411.67"/>
    <n v="411.67"/>
    <n v="55240.69"/>
  </r>
  <r>
    <d v="2026-05-07T00:00:00"/>
    <x v="1"/>
    <s v="BACS Payment Received"/>
    <s v="BACS20260506119960"/>
    <x v="26"/>
    <s v="SANDWELL MBC-601539-69624135 971830-SANDWELL MBC-&amp;--&amp;-138113 099 BACS CR SELECT LIFESTYLES"/>
    <n v="11212.58"/>
    <n v="11212.58"/>
    <n v="54829.02"/>
  </r>
  <r>
    <d v="2026-05-07T00:00:00"/>
    <x v="1"/>
    <s v="BACS Payment Received"/>
    <s v="BACS20260506111265"/>
    <x v="42"/>
    <s v="NHS BIRMINGHAM AND-607080-10017097 284747-NHS BIRMINGHAM AND-&amp;--&amp;-595007 099 BACS CR SELECT LIFESTYLES"/>
    <n v="7562.1"/>
    <n v="7562.1"/>
    <n v="43616.44"/>
  </r>
  <r>
    <d v="2026-05-07T00:00:00"/>
    <x v="1"/>
    <s v="BACS Payment Received"/>
    <s v="BACS20260506101015"/>
    <x v="14"/>
    <s v="WALSALL METROPOLIT-206877-58552541 401256-WALSALL METROPOLIT-&amp;--&amp;-H 099 BACS CR SELECT LIFESTYLES"/>
    <n v="411.67"/>
    <n v="411.67"/>
    <n v="36054.34"/>
  </r>
  <r>
    <d v="2026-05-07T00:00:00"/>
    <x v="1"/>
    <s v="Inward Payment"/>
    <s v="FT26127M80FK"/>
    <x v="43"/>
    <s v="SERVICE CHARGES"/>
    <n v="71.08"/>
    <n v="71.08"/>
    <n v="35642.67"/>
  </r>
  <r>
    <d v="2026-05-07T00:00:00"/>
    <x v="1"/>
    <s v="Inward Payment"/>
    <s v="FT2612789QGD"/>
    <x v="44"/>
    <s v="RENT"/>
    <n v="95"/>
    <n v="95"/>
    <n v="35571.59"/>
  </r>
  <r>
    <d v="2026-05-06T00:00:00"/>
    <x v="2"/>
    <s v="Account to Account Transfer"/>
    <s v="FT261263TZH8"/>
    <x v="45"/>
    <s v="CC SJ/MG"/>
    <n v="-350"/>
    <s v=""/>
    <n v="35476.59"/>
  </r>
  <r>
    <d v="2026-05-06T00:00:00"/>
    <x v="2"/>
    <s v="Standing Order"/>
    <s v="FT26126MCK6D"/>
    <x v="46"/>
    <s v="309A Stafford Rent"/>
    <n v="-1400"/>
    <s v=""/>
    <n v="35826.59"/>
  </r>
  <r>
    <d v="2026-05-06T00:00:00"/>
    <x v="2"/>
    <s v="Direct Debit"/>
    <s v="DDC20260505233875"/>
    <x v="38"/>
    <s v="GOCARDLESS MCLFINANCE-4XW5P9V"/>
    <n v="-16035.37"/>
    <s v=""/>
    <n v="37226.59"/>
  </r>
  <r>
    <d v="2026-05-06T00:00:00"/>
    <x v="2"/>
    <s v="Direct Debit"/>
    <s v="DDC20260505242116"/>
    <x v="47"/>
    <s v="FRANCOTYP POSTALIA T053359"/>
    <n v="-114.4"/>
    <s v=""/>
    <n v="53261.96"/>
  </r>
  <r>
    <d v="2026-05-06T00:00:00"/>
    <x v="2"/>
    <s v="Direct Debit"/>
    <s v="DDC20260505226629"/>
    <x v="48"/>
    <s v="BRITISH GAS B94759"/>
    <n v="-161.61"/>
    <s v=""/>
    <n v="53376.36"/>
  </r>
  <r>
    <d v="2026-05-06T00:00:00"/>
    <x v="2"/>
    <s v="Direct Debit"/>
    <s v="DDC20260505226597"/>
    <x v="48"/>
    <s v="BRITISH GAS B94766"/>
    <n v="-63.35"/>
    <s v=""/>
    <n v="53537.97"/>
  </r>
  <r>
    <d v="2026-05-06T00:00:00"/>
    <x v="2"/>
    <s v="Direct Debit"/>
    <s v="DDC20260505228822"/>
    <x v="49"/>
    <s v="VIRGIN MEDIA PYMTS 054188105001"/>
    <n v="-42.49"/>
    <s v=""/>
    <n v="53601.32"/>
  </r>
  <r>
    <d v="2026-05-06T00:00:00"/>
    <x v="2"/>
    <s v="Direct Debit"/>
    <s v="DDC20260505226630"/>
    <x v="48"/>
    <s v="BRITISH GAS B94763"/>
    <n v="-8.08"/>
    <s v=""/>
    <n v="53643.81"/>
  </r>
  <r>
    <d v="2026-05-06T00:00:00"/>
    <x v="2"/>
    <s v="Direct Debit"/>
    <s v="DDC20260505225944"/>
    <x v="50"/>
    <s v="WATER PLUS 0964007617"/>
    <n v="-6.89"/>
    <s v=""/>
    <n v="53651.89"/>
  </r>
  <r>
    <d v="2026-05-06T00:00:00"/>
    <x v="2"/>
    <s v="BACS Payment Received"/>
    <s v="BACS20260505110591"/>
    <x v="51"/>
    <s v="JDOWNINGRA-607080-10025863 278961-JDOWNINGRA-&amp;--&amp;-000000003754665189 099 BACS CR JORDAN DOWNING"/>
    <n v="47.54"/>
    <n v="47.54"/>
    <n v="53658.78"/>
  </r>
  <r>
    <d v="2026-05-06T00:00:00"/>
    <x v="2"/>
    <s v="BACS Payment Received"/>
    <s v="BACS20260505100485"/>
    <x v="14"/>
    <s v="WALSALL METROPOLIT-206877-58552541 401256-WALSALL METROPOLIT-&amp;--&amp;-A H 099 BACS CR SELECT LIFESTYLES"/>
    <n v="50"/>
    <n v="50"/>
    <n v="53611.24"/>
  </r>
  <r>
    <d v="2026-05-06T00:00:00"/>
    <x v="2"/>
    <s v="BACS Payment Received"/>
    <s v="BACS20260505100487"/>
    <x v="14"/>
    <s v="WALSALL METROPOLIT-206877-58552541 401256-WALSALL METROPOLIT-&amp;--&amp;-S B 099 BACS CR SELECT LIFESTYSLES"/>
    <n v="50"/>
    <n v="50"/>
    <n v="53561.24"/>
  </r>
  <r>
    <d v="2026-05-06T00:00:00"/>
    <x v="2"/>
    <s v="BACS Payment Received"/>
    <s v="BACS20260505100489"/>
    <x v="14"/>
    <s v="WALSALL METROPOLIT-206877-58552541 401256-WALSALL METROPOLIT-&amp;--&amp;-H 099 BACS CR SELECT LIFESTYLES"/>
    <n v="50"/>
    <n v="50"/>
    <n v="53511.24"/>
  </r>
  <r>
    <d v="2026-05-06T00:00:00"/>
    <x v="2"/>
    <s v="BACS Payment Received"/>
    <s v="BACS20260505100488"/>
    <x v="14"/>
    <s v="WALSALL METROPOLIT-206877-58552541 401256-WALSALL METROPOLIT-&amp;--&amp;-C HURLEY SC 099 BACS CR SELECT LIFESTYLES"/>
    <n v="200"/>
    <n v="200"/>
    <n v="53461.24"/>
  </r>
  <r>
    <d v="2026-05-06T00:00:00"/>
    <x v="2"/>
    <s v="BACS Payment Received"/>
    <s v="BACS20260505109620"/>
    <x v="52"/>
    <s v="PHINDS-607080-10025863 278961-PHINDS-&amp;--&amp;-000000003754440405 099 BACS CR PAUL HINDS"/>
    <n v="495"/>
    <n v="495"/>
    <n v="53261.24"/>
  </r>
  <r>
    <d v="2026-05-06T00:00:00"/>
    <x v="2"/>
    <s v="BACS Payment Received"/>
    <s v="BACS20260505110594"/>
    <x v="53"/>
    <s v="JDOWNING-607080-10025863 278961-JDOWNING-&amp;--&amp;-000000003754667322 099 BACS CR JORDAN DOWNING"/>
    <n v="411.67"/>
    <n v="411.67"/>
    <n v="52766.24"/>
  </r>
  <r>
    <d v="2026-05-06T00:00:00"/>
    <x v="2"/>
    <s v="BACS Payment Received"/>
    <s v="BACS20260505111251"/>
    <x v="54"/>
    <s v="DPILLINGER-607080-10025863 278961-DPILLINGER-&amp;--&amp;-000000003754738087 099 BACS CR DAVID PILLINGER"/>
    <n v="495"/>
    <n v="495"/>
    <n v="52354.57"/>
  </r>
  <r>
    <d v="2026-05-06T00:00:00"/>
    <x v="2"/>
    <s v="Inward Payment"/>
    <s v="FT26126RTCK4"/>
    <x v="55"/>
    <s v="Holly Law - Rent/U"/>
    <n v="520"/>
    <n v="520"/>
    <n v="51859.57"/>
  </r>
  <r>
    <d v="2026-05-06T00:00:00"/>
    <x v="2"/>
    <s v="Inward Payment"/>
    <s v="FT26126XVZ5T"/>
    <x v="56"/>
    <s v="MARKEY GRAY- PERSO"/>
    <n v="200"/>
    <n v="200"/>
    <n v="51339.57"/>
  </r>
  <r>
    <d v="2026-05-06T00:00:00"/>
    <x v="2"/>
    <s v="Inward Payment"/>
    <s v="FT26126RRDRL"/>
    <x v="57"/>
    <s v="DANIEL MEHMI"/>
    <n v="69.86"/>
    <n v="69.86"/>
    <n v="51139.57"/>
  </r>
  <r>
    <d v="2026-05-06T00:00:00"/>
    <x v="2"/>
    <s v="Inward Payment"/>
    <s v="FT26126BJDNL"/>
    <x v="58"/>
    <s v="PAUL HINDS"/>
    <n v="25"/>
    <n v="25"/>
    <n v="51069.71"/>
  </r>
  <r>
    <d v="2026-05-06T00:00:00"/>
    <x v="2"/>
    <s v="Inward Payment"/>
    <s v="FT261265T4K7"/>
    <x v="59"/>
    <s v="LAURA NEAL"/>
    <n v="45"/>
    <n v="45"/>
    <n v="51044.71"/>
  </r>
  <r>
    <d v="2026-05-05T00:00:00"/>
    <x v="3"/>
    <s v="Inward Payment"/>
    <s v="FT261257DT28"/>
    <x v="60"/>
    <s v="Sarah Jones"/>
    <n v="150"/>
    <n v="150"/>
    <n v="50999.71"/>
  </r>
  <r>
    <d v="2026-05-05T00:00:00"/>
    <x v="3"/>
    <s v="Outward Faster Payment"/>
    <s v="FT26125LPR48"/>
    <x v="61"/>
    <s v="Select Lifestyles"/>
    <n v="-0.3"/>
    <s v=""/>
    <n v="50849.71"/>
  </r>
  <r>
    <d v="2026-05-05T00:00:00"/>
    <x v="3"/>
    <s v="Inward Payment"/>
    <s v="FT26125KJFQF"/>
    <x v="3"/>
    <s v="FDMS 510799083"/>
    <n v="850.01"/>
    <n v="850.01"/>
    <n v="50850.01"/>
  </r>
  <r>
    <d v="2026-05-05T00:00:00"/>
    <x v="3"/>
    <s v="Account to Account Transfer"/>
    <s v="FT261250QDZZ"/>
    <x v="62"/>
    <s v="Transfer"/>
    <n v="-12622.25"/>
    <s v=""/>
    <n v="50000"/>
  </r>
  <r>
    <d v="2026-05-05T00:00:00"/>
    <x v="3"/>
    <s v="Outward Faster Payment"/>
    <s v="FT26125BKCY2"/>
    <x v="63"/>
    <s v="Select Lifestyles"/>
    <n v="-8400"/>
    <s v=""/>
    <n v="62622.25"/>
  </r>
  <r>
    <d v="2026-05-05T00:00:00"/>
    <x v="3"/>
    <s v="Outward Faster Payment"/>
    <s v="FT26125FC6CD"/>
    <x v="64"/>
    <s v="Knipersley Rent"/>
    <n v="-1750"/>
    <s v=""/>
    <n v="71022.25"/>
  </r>
  <r>
    <d v="2026-05-05T00:00:00"/>
    <x v="3"/>
    <s v="Outward Faster Payment"/>
    <s v="FT26125BHFC6"/>
    <x v="65"/>
    <n v="19219279"/>
    <n v="-1591.86"/>
    <s v=""/>
    <n v="72772.25"/>
  </r>
  <r>
    <d v="2026-05-05T00:00:00"/>
    <x v="3"/>
    <s v="Outward Faster Payment"/>
    <s v="FT26125CLZDY"/>
    <x v="66"/>
    <s v="Select Lifestyles"/>
    <n v="-2611"/>
    <s v=""/>
    <n v="74364.11"/>
  </r>
  <r>
    <d v="2026-05-05T00:00:00"/>
    <x v="3"/>
    <s v="Outward Faster Payment"/>
    <s v="FT2612524VNW"/>
    <x v="67"/>
    <s v="Acc SELECT"/>
    <n v="-1441.86"/>
    <s v=""/>
    <n v="76975.11"/>
  </r>
  <r>
    <d v="2026-05-05T00:00:00"/>
    <x v="3"/>
    <s v="Outward Faster Payment"/>
    <s v="FT26125MM8RN"/>
    <x v="68"/>
    <s v="Select Lifestyles"/>
    <n v="-2871.92"/>
    <s v=""/>
    <n v="78416.97"/>
  </r>
  <r>
    <d v="2026-05-05T00:00:00"/>
    <x v="3"/>
    <s v="Outward Faster Payment"/>
    <s v="FT26125M6WYC"/>
    <x v="61"/>
    <s v="Select Lifestyles"/>
    <n v="-3914.69"/>
    <s v=""/>
    <n v="81288.89"/>
  </r>
  <r>
    <d v="2026-05-05T00:00:00"/>
    <x v="3"/>
    <s v="Outward Faster Payment"/>
    <s v="FT26125WVMPD"/>
    <x v="69"/>
    <s v="Select Lifestyles"/>
    <n v="-1450"/>
    <s v=""/>
    <n v="85203.58"/>
  </r>
  <r>
    <d v="2026-05-05T00:00:00"/>
    <x v="3"/>
    <s v="Outward Faster Payment"/>
    <s v="FT26125DSX6M"/>
    <x v="64"/>
    <s v="Select House Rent"/>
    <n v="-12500"/>
    <s v=""/>
    <n v="86653.58"/>
  </r>
  <r>
    <d v="2026-05-05T00:00:00"/>
    <x v="3"/>
    <s v="Outward Faster Payment"/>
    <s v="FT261256JQWN"/>
    <x v="64"/>
    <s v="Goodison Rent"/>
    <n v="-1200"/>
    <s v=""/>
    <n v="99153.58"/>
  </r>
  <r>
    <d v="2026-05-05T00:00:00"/>
    <x v="3"/>
    <s v="Outward Faster Payment"/>
    <s v="FT261253QT7N"/>
    <x v="70"/>
    <s v="Select Lifestyles"/>
    <n v="-7500"/>
    <s v=""/>
    <n v="100353.58"/>
  </r>
  <r>
    <d v="2026-05-05T00:00:00"/>
    <x v="3"/>
    <s v="Outward Faster Payment"/>
    <s v="FT26125CNYQ1"/>
    <x v="71"/>
    <s v="SEL03761"/>
    <n v="-2940"/>
    <s v=""/>
    <n v="107853.58"/>
  </r>
  <r>
    <d v="2026-05-05T00:00:00"/>
    <x v="3"/>
    <s v="Outward Faster Payment"/>
    <s v="FT26125ZQBSK"/>
    <x v="72"/>
    <s v="AE2BJQN7L48LG"/>
    <n v="-2318.91"/>
    <s v=""/>
    <n v="110793.58"/>
  </r>
  <r>
    <d v="2026-05-05T00:00:00"/>
    <x v="3"/>
    <s v="Outward Faster Payment"/>
    <s v="FT26125T44ND"/>
    <x v="73"/>
    <s v="Acc LIF013"/>
    <n v="-1130.4"/>
    <s v=""/>
    <n v="113112.49"/>
  </r>
  <r>
    <d v="2026-05-05T00:00:00"/>
    <x v="3"/>
    <s v="Outward Faster Payment"/>
    <s v="FT26125D71CL"/>
    <x v="74"/>
    <s v="Select Lifestyles"/>
    <n v="-10067.77"/>
    <s v=""/>
    <n v="114242.89"/>
  </r>
  <r>
    <d v="2026-05-05T00:00:00"/>
    <x v="3"/>
    <s v="Outward Faster Payment"/>
    <s v="FT26125SHZXC"/>
    <x v="75"/>
    <s v="SELE01"/>
    <n v="-2779.51"/>
    <s v=""/>
    <n v="124310.66"/>
  </r>
  <r>
    <d v="2026-05-05T00:00:00"/>
    <x v="3"/>
    <s v="Outward Faster Payment"/>
    <s v="FT261253WD6Q"/>
    <x v="64"/>
    <s v="Lincoln Rd Rent"/>
    <n v="-3500"/>
    <s v=""/>
    <n v="127090.17"/>
  </r>
  <r>
    <d v="2026-05-05T00:00:00"/>
    <x v="3"/>
    <s v="Outward Faster Payment"/>
    <s v="FT26125WDTXQ"/>
    <x v="76"/>
    <s v="SELECTLI"/>
    <n v="-1056"/>
    <s v=""/>
    <n v="130590.17"/>
  </r>
  <r>
    <d v="2026-05-05T00:00:00"/>
    <x v="3"/>
    <s v="Outward Faster Payment"/>
    <s v="FT26125PCWLW"/>
    <x v="77"/>
    <n v="6812"/>
    <n v="-229488.59"/>
    <s v=""/>
    <n v="131646.17"/>
  </r>
  <r>
    <d v="2026-05-05T00:00:00"/>
    <x v="3"/>
    <s v="Account to Account Transfer"/>
    <s v="FT26125K4W8Q"/>
    <x v="45"/>
    <s v="CC JB/LS/TP/BS/JH/PC/LG/DS/AJ"/>
    <n v="-1395"/>
    <s v=""/>
    <n v="361134.76"/>
  </r>
  <r>
    <d v="2026-05-05T00:00:00"/>
    <x v="3"/>
    <s v="Outward Faster Payment"/>
    <s v="FT26125QXDXF"/>
    <x v="78"/>
    <s v="FOCT 241848"/>
    <n v="-310"/>
    <s v=""/>
    <n v="362529.76"/>
  </r>
  <r>
    <d v="2026-05-05T00:00:00"/>
    <x v="3"/>
    <s v="Inward Payment"/>
    <s v="FT26125KNQB1"/>
    <x v="79"/>
    <s v="POCKET MONEY"/>
    <n v="400"/>
    <n v="400"/>
    <n v="362839.76"/>
  </r>
  <r>
    <d v="2026-05-05T00:00:00"/>
    <x v="3"/>
    <s v="Inward Payment"/>
    <s v="FT261255YC4W"/>
    <x v="79"/>
    <s v="POCKET MONEY"/>
    <n v="706.53"/>
    <n v="706.53"/>
    <n v="362439.76"/>
  </r>
  <r>
    <d v="2026-05-05T00:00:00"/>
    <x v="3"/>
    <s v="Card Transaction"/>
    <s v="00001580192-20260501-1521485"/>
    <x v="80"/>
    <s v="IRL 20260430 Adobe DUBLIN"/>
    <n v="-55.41"/>
    <s v=""/>
    <n v="361733.23"/>
  </r>
  <r>
    <d v="2026-05-05T00:00:00"/>
    <x v="3"/>
    <s v="Card Transaction"/>
    <s v="00001580192-20260504-1529058"/>
    <x v="81"/>
    <s v="DEU 20260501 Porsche Charging GB Stuttgart"/>
    <n v="-42.97"/>
    <s v=""/>
    <n v="361788.64"/>
  </r>
  <r>
    <d v="2026-05-05T00:00:00"/>
    <x v="3"/>
    <s v="Standing Order"/>
    <s v="FT26125QZ6YY"/>
    <x v="82"/>
    <s v="1 Harrison St Rent"/>
    <n v="-3000"/>
    <s v=""/>
    <n v="361831.61"/>
  </r>
  <r>
    <d v="2026-05-05T00:00:00"/>
    <x v="3"/>
    <s v="Standing Order"/>
    <s v="FT26125JY5KZ"/>
    <x v="83"/>
    <s v="59 Walsall Rd Rent"/>
    <n v="-3000"/>
    <s v=""/>
    <n v="364831.61"/>
  </r>
  <r>
    <d v="2026-05-05T00:00:00"/>
    <x v="3"/>
    <s v="Direct Debit"/>
    <s v="DDC20260501209858"/>
    <x v="84"/>
    <s v="PEAC UK LTD AALF242601"/>
    <n v="-39.32"/>
    <s v=""/>
    <n v="367831.61"/>
  </r>
  <r>
    <d v="2026-05-05T00:00:00"/>
    <x v="3"/>
    <s v="Direct Debit"/>
    <s v="DDC20260501295140"/>
    <x v="85"/>
    <s v="CARE QUALITY COMMI 5335598"/>
    <n v="-958"/>
    <s v=""/>
    <n v="367870.93"/>
  </r>
  <r>
    <d v="2026-05-05T00:00:00"/>
    <x v="3"/>
    <s v="Direct Debit"/>
    <s v="DDC20260501289382"/>
    <x v="37"/>
    <s v="BRITISH GAS BUSINE 600887064301123000"/>
    <n v="-850.8200000000001"/>
    <s v=""/>
    <n v="368828.93"/>
  </r>
  <r>
    <d v="2026-05-05T00:00:00"/>
    <x v="3"/>
    <s v="Direct Debit"/>
    <s v="DDC20260501289388"/>
    <x v="37"/>
    <s v="BRITISH GAS BUSINE 602963427300124000"/>
    <n v="-25.18"/>
    <s v=""/>
    <n v="369679.75"/>
  </r>
  <r>
    <d v="2026-05-05T00:00:00"/>
    <x v="3"/>
    <s v="Direct Debit"/>
    <s v="DDC20260501243899"/>
    <x v="86"/>
    <s v="AVIVA PENSION 00086210110001"/>
    <n v="-50"/>
    <s v=""/>
    <n v="369704.93"/>
  </r>
  <r>
    <d v="2026-05-05T00:00:00"/>
    <x v="3"/>
    <s v="Direct Debit"/>
    <s v="DDC20260501219495"/>
    <x v="87"/>
    <s v="DVLA-OX23SOH 000000000078963066"/>
    <n v="-112"/>
    <s v=""/>
    <n v="369754.93"/>
  </r>
  <r>
    <d v="2026-05-05T00:00:00"/>
    <x v="3"/>
    <s v="Direct Debit"/>
    <s v="DDC20260501249956"/>
    <x v="88"/>
    <s v="PREMIUM CREDIT LTD 04C06809GA36-10001"/>
    <n v="-2029.48"/>
    <s v=""/>
    <n v="369866.93"/>
  </r>
  <r>
    <d v="2026-05-05T00:00:00"/>
    <x v="3"/>
    <s v="Inward Payment"/>
    <s v="FT261251L9BG"/>
    <x v="89"/>
    <s v="ARTHUR GREEN"/>
    <n v="400"/>
    <n v="400"/>
    <n v="371896.41"/>
  </r>
  <r>
    <d v="2026-05-05T00:00:00"/>
    <x v="3"/>
    <s v="Inward Payment"/>
    <s v="FT261256XQF8"/>
    <x v="90"/>
    <s v="TOBY PALETHORPE"/>
    <n v="100"/>
    <n v="100"/>
    <n v="371496.41"/>
  </r>
  <r>
    <d v="2026-05-05T00:00:00"/>
    <x v="3"/>
    <s v="Inward Payment"/>
    <s v="FT26125K0PMD"/>
    <x v="91"/>
    <s v="C LAVANDER"/>
    <n v="102.51"/>
    <n v="102.51"/>
    <n v="371396.41"/>
  </r>
  <r>
    <d v="2026-05-05T00:00:00"/>
    <x v="3"/>
    <s v="Inward Payment"/>
    <s v="FT26125BR18X"/>
    <x v="92"/>
    <s v="PAUL CAMPBELL"/>
    <n v="50"/>
    <n v="50"/>
    <n v="371293.9"/>
  </r>
  <r>
    <d v="2026-05-05T00:00:00"/>
    <x v="3"/>
    <s v="Inward Payment"/>
    <s v="FT261254CXYH"/>
    <x v="92"/>
    <s v="PAUL CAMPBELL HBSF"/>
    <n v="50"/>
    <n v="50"/>
    <n v="371243.9"/>
  </r>
  <r>
    <d v="2026-05-05T00:00:00"/>
    <x v="3"/>
    <s v="Inward Payment"/>
    <s v="FT26125855B1"/>
    <x v="41"/>
    <s v="J COOPER SC"/>
    <n v="50"/>
    <n v="50"/>
    <n v="371193.9"/>
  </r>
  <r>
    <d v="2026-05-05T00:00:00"/>
    <x v="3"/>
    <s v="Inward Payment"/>
    <s v="FT26125JN71S"/>
    <x v="93"/>
    <s v="NO REF"/>
    <n v="216.67"/>
    <n v="216.67"/>
    <n v="371143.9"/>
  </r>
  <r>
    <d v="2026-05-05T00:00:00"/>
    <x v="3"/>
    <s v="Inward Payment"/>
    <s v="FT26125TX7PB"/>
    <x v="41"/>
    <s v="JAMES COOPER RENT"/>
    <n v="95"/>
    <n v="95"/>
    <n v="370927.23"/>
  </r>
  <r>
    <d v="2026-05-05T00:00:00"/>
    <x v="3"/>
    <s v="Inward Payment"/>
    <s v="FT2612543RKW"/>
    <x v="94"/>
    <s v="502869 B NOBLE"/>
    <n v="140"/>
    <n v="140"/>
    <n v="370832.23"/>
  </r>
  <r>
    <d v="2026-05-05T00:00:00"/>
    <x v="3"/>
    <s v="BACS Payment Received"/>
    <s v="BACS20260501100417"/>
    <x v="14"/>
    <s v="WALSALL METROPOLIT-206877-58552541 401256-WALSALL METROPOLIT-&amp;--&amp;-S P      S 099 BACS CR SELECT LIFESTYLES"/>
    <n v="50"/>
    <n v="50"/>
    <n v="370692.23"/>
  </r>
  <r>
    <d v="2026-05-05T00:00:00"/>
    <x v="3"/>
    <s v="BACS Payment Received"/>
    <s v="BACS20260501100420"/>
    <x v="14"/>
    <s v="WALSALL METROPOLIT-206877-58552541 401256-WALSALL METROPOLIT-&amp;--&amp;-S HOLMES UTILITY 099 BACS CR SELECT LIFESTYLES"/>
    <n v="50"/>
    <n v="50"/>
    <n v="370642.23"/>
  </r>
  <r>
    <d v="2026-05-05T00:00:00"/>
    <x v="3"/>
    <s v="BACS Payment Received"/>
    <s v="BACS20260501100421"/>
    <x v="14"/>
    <s v="WALSALL METROPOLIT-206877-58552541 401256-WALSALL METROPOLIT-&amp;--&amp;-LRG WEEKLY FOOD 099 BACS CR SELECT LIFESTYLES"/>
    <n v="50"/>
    <n v="50"/>
    <n v="370592.23"/>
  </r>
  <r>
    <d v="2026-05-05T00:00:00"/>
    <x v="3"/>
    <s v="BACS Payment Received"/>
    <s v="BACS20260501100424"/>
    <x v="14"/>
    <s v="WALSALL METROPOLIT-206877-58552541 401256-WALSALL METROPOLIT-&amp;--&amp;-LEO RONALD GUY 099 BACS CR SELECT LIFESTYLES"/>
    <n v="65"/>
    <n v="65"/>
    <n v="370542.23"/>
  </r>
  <r>
    <d v="2026-05-05T00:00:00"/>
    <x v="3"/>
    <s v="BACS Payment Received"/>
    <s v="BACS20260501100418"/>
    <x v="14"/>
    <s v="WALSALL METROPOLIT-206877-58552541 401256-WALSALL METROPOLIT-&amp;--&amp;-RBATE HB TOP UP 099 BACS CR SELECT LIFESTYLES"/>
    <n v="120"/>
    <n v="120"/>
    <n v="370477.23"/>
  </r>
  <r>
    <d v="2026-05-05T00:00:00"/>
    <x v="3"/>
    <s v="BACS Payment Received"/>
    <s v="BACS20260501100423"/>
    <x v="14"/>
    <s v="WALSALL METROPOLIT-206877-58552541 401256-WALSALL METROPOLIT-&amp;--&amp;-L R GUY RENT 099 BACS CR SELECT LIFESTYLES"/>
    <n v="120"/>
    <n v="120"/>
    <n v="370357.23"/>
  </r>
  <r>
    <d v="2026-05-05T00:00:00"/>
    <x v="3"/>
    <s v="BACS Payment Received"/>
    <s v="BACS20260501100427"/>
    <x v="14"/>
    <s v="WALSALL METROPOLIT-206877-58552541 401256-WALSALL METROPOLIT-&amp;--&amp;-TIA BRYON 099 BACS CR LIFESTYLES"/>
    <n v="120"/>
    <n v="120"/>
    <n v="370237.23"/>
  </r>
  <r>
    <d v="2026-05-05T00:00:00"/>
    <x v="3"/>
    <s v="BACS Payment Received"/>
    <s v="BACS20260501100419"/>
    <x v="14"/>
    <s v="WALSALL METROPOLIT-206877-58552541 401256-WALSALL METROPOLIT-&amp;--&amp;-KWILEMAN RENT 099 BACS CR SELECT LIFESTYLES"/>
    <n v="145"/>
    <n v="145"/>
    <n v="370117.23"/>
  </r>
  <r>
    <d v="2026-05-05T00:00:00"/>
    <x v="3"/>
    <s v="BACS Payment Received"/>
    <s v="BACS20260501100425"/>
    <x v="14"/>
    <s v="WALSALL METROPOLIT-206877-58552541 401256-WALSALL METROPOLIT-&amp;--&amp;-PROGERS RENT/UTIL 099 BACS CR SELECT LIFESTYLES"/>
    <n v="145"/>
    <n v="145"/>
    <n v="369972.23"/>
  </r>
  <r>
    <d v="2026-05-05T00:00:00"/>
    <x v="3"/>
    <s v="BACS Payment Received"/>
    <s v="BACS20260501100430"/>
    <x v="14"/>
    <s v="WALSALL METROPOLIT-206877-58552541 401256-WALSALL METROPOLIT-&amp;--&amp;-DSWAIN RENT &amp; SC 099 BACS CR SELECT LIFESTYLES"/>
    <n v="185"/>
    <n v="185"/>
    <n v="369827.23"/>
  </r>
  <r>
    <d v="2026-05-05T00:00:00"/>
    <x v="3"/>
    <s v="BACS Payment Received"/>
    <s v="BACS20260501100415"/>
    <x v="14"/>
    <s v="WALSALL METROPOLIT-206877-58552541 401256-WALSALL METROPOLIT-&amp;--&amp;-IRTBA 099 BACS CR SELECT LIFESTYLES"/>
    <n v="1276.17"/>
    <n v="1276.17"/>
    <n v="369642.23"/>
  </r>
  <r>
    <d v="2026-05-05T00:00:00"/>
    <x v="3"/>
    <s v="BACS Payment Received"/>
    <s v="BACS20260501101044"/>
    <x v="95"/>
    <s v="WALSALL MBC BARC-209073-10731692 858504-WALSALL MBC BARC-&amp;--&amp;-871577 099 BACS CR SELECT LIFESTYLES"/>
    <n v="348905.81"/>
    <n v="348905.81"/>
    <n v="368366.06"/>
  </r>
  <r>
    <d v="2026-05-05T00:00:00"/>
    <x v="3"/>
    <s v="BACS Payment Received"/>
    <s v="BACS20260501118276"/>
    <x v="96"/>
    <s v="LHICKMAN-607080-10025863 278961-LHICKMAN-&amp;--&amp;-000000003754053322 099 BACS CR LUKE HICKMAN"/>
    <n v="411.67"/>
    <n v="411.67"/>
    <n v="19460.25"/>
  </r>
  <r>
    <d v="2026-05-05T00:00:00"/>
    <x v="3"/>
    <s v="BACS Payment Received"/>
    <s v="BACS20260501118165"/>
    <x v="97"/>
    <s v="HMISTRY-607080-10025863 278961-HMISTRY-&amp;--&amp;-000000003754049163 099 BACS CR HITEN MISTRY"/>
    <n v="495"/>
    <n v="495"/>
    <n v="19048.58"/>
  </r>
  <r>
    <d v="2026-05-05T00:00:00"/>
    <x v="3"/>
    <s v="Inward Payment"/>
    <s v="FT26125GV7KL"/>
    <x v="98"/>
    <s v="JOHN UPCOTT"/>
    <n v="145"/>
    <n v="145"/>
    <n v="18553.58"/>
  </r>
  <r>
    <d v="2026-05-05T00:00:00"/>
    <x v="3"/>
    <s v="Inward Payment"/>
    <s v="FT26125JTRG2"/>
    <x v="99"/>
    <s v="AJOHNSON"/>
    <n v="541.67"/>
    <n v="541.67"/>
    <n v="18408.58"/>
  </r>
  <r>
    <d v="2026-05-05T00:00:00"/>
    <x v="3"/>
    <s v="Inward Payment"/>
    <s v="FT2612565RQN"/>
    <x v="100"/>
    <s v="ADAM ASTLEY"/>
    <n v="50"/>
    <n v="50"/>
    <n v="17866.91"/>
  </r>
  <r>
    <d v="2026-05-05T00:00:00"/>
    <x v="3"/>
    <s v="Inward Payment"/>
    <s v="FT26125FXBDX"/>
    <x v="101"/>
    <s v="L HAWKINS-Utilit/S"/>
    <n v="65"/>
    <n v="65"/>
    <n v="17816.91"/>
  </r>
  <r>
    <d v="2026-05-05T00:00:00"/>
    <x v="3"/>
    <s v="Inward Payment"/>
    <s v="FT261253W8CQ"/>
    <x v="101"/>
    <s v="L HAWKINS-RENT"/>
    <n v="120"/>
    <n v="120"/>
    <n v="17751.91"/>
  </r>
  <r>
    <d v="2026-05-05T00:00:00"/>
    <x v="3"/>
    <s v="Inward Payment"/>
    <s v="FT26125CV763"/>
    <x v="102"/>
    <s v="LEIGH AMES RENT"/>
    <n v="120"/>
    <n v="120"/>
    <n v="17631.91"/>
  </r>
  <r>
    <d v="2026-05-05T00:00:00"/>
    <x v="3"/>
    <s v="Inward Payment"/>
    <s v="FT26125S73T3"/>
    <x v="103"/>
    <s v="ANTHONY MEACHIN UT"/>
    <n v="50"/>
    <n v="50"/>
    <n v="17511.91"/>
  </r>
  <r>
    <d v="2026-05-05T00:00:00"/>
    <x v="3"/>
    <s v="Inward Payment"/>
    <s v="FT261253RLJH"/>
    <x v="104"/>
    <s v="JOHN PACE RENT"/>
    <n v="120"/>
    <n v="120"/>
    <n v="17461.91"/>
  </r>
  <r>
    <d v="2026-05-05T00:00:00"/>
    <x v="3"/>
    <s v="Inward Payment"/>
    <s v="FT26125MCCG9"/>
    <x v="105"/>
    <s v="ERROLGRANT"/>
    <n v="65"/>
    <n v="65"/>
    <n v="17341.91"/>
  </r>
  <r>
    <d v="2026-05-05T00:00:00"/>
    <x v="3"/>
    <s v="Inward Payment"/>
    <s v="FT26125WJG9C"/>
    <x v="106"/>
    <s v="KATIE PARKER RENT"/>
    <n v="6.08"/>
    <n v="6.08"/>
    <n v="17276.91"/>
  </r>
  <r>
    <d v="2026-05-05T00:00:00"/>
    <x v="3"/>
    <s v="Inward Payment"/>
    <s v="FT261257258M"/>
    <x v="103"/>
    <s v="ANTHONY MEACHIN RE"/>
    <n v="95"/>
    <n v="95"/>
    <n v="17270.83"/>
  </r>
  <r>
    <d v="2026-05-05T00:00:00"/>
    <x v="3"/>
    <s v="Inward Payment"/>
    <s v="FT2612574B47"/>
    <x v="56"/>
    <s v="MARKEY GRAY-RENT"/>
    <n v="120"/>
    <n v="120"/>
    <n v="17175.83"/>
  </r>
  <r>
    <d v="2026-05-05T00:00:00"/>
    <x v="3"/>
    <s v="Inward Payment"/>
    <s v="FT26125YPKTJ"/>
    <x v="107"/>
    <s v="DAVID MORRIS RENT"/>
    <n v="95"/>
    <n v="95"/>
    <n v="17055.83"/>
  </r>
  <r>
    <d v="2026-05-05T00:00:00"/>
    <x v="3"/>
    <s v="Inward Payment"/>
    <s v="FT2612533CPG"/>
    <x v="108"/>
    <s v="CHRISTOPHER MILLIN"/>
    <n v="50"/>
    <n v="50"/>
    <n v="16960.83"/>
  </r>
  <r>
    <d v="2026-05-05T00:00:00"/>
    <x v="3"/>
    <s v="Inward Payment"/>
    <s v="FT26125DJJ1B"/>
    <x v="104"/>
    <n v="38252"/>
    <n v="65"/>
    <n v="65"/>
    <n v="16910.83"/>
  </r>
  <r>
    <d v="2026-05-05T00:00:00"/>
    <x v="3"/>
    <s v="Inward Payment"/>
    <s v="FT26125T1PBK"/>
    <x v="106"/>
    <s v="KATIE PARKER VEHIC"/>
    <n v="11.96"/>
    <n v="11.96"/>
    <n v="16845.83"/>
  </r>
  <r>
    <d v="2026-05-05T00:00:00"/>
    <x v="3"/>
    <s v="Inward Payment"/>
    <s v="FT26125VDL0B"/>
    <x v="56"/>
    <s v="MARKER GRAY-UTILIT"/>
    <n v="65"/>
    <n v="65"/>
    <n v="16833.87"/>
  </r>
  <r>
    <d v="2026-05-05T00:00:00"/>
    <x v="3"/>
    <s v="Inward Payment"/>
    <s v="FT26125YVC95"/>
    <x v="109"/>
    <s v="SIMON KELLY UTILIT"/>
    <n v="50"/>
    <n v="50"/>
    <n v="16768.87"/>
  </r>
  <r>
    <d v="2026-05-05T00:00:00"/>
    <x v="3"/>
    <s v="Inward Payment"/>
    <s v="FT26125NFMCW"/>
    <x v="106"/>
    <s v="KATIE PARKER UTILI"/>
    <n v="65"/>
    <n v="65"/>
    <n v="16718.87"/>
  </r>
  <r>
    <d v="2026-05-05T00:00:00"/>
    <x v="3"/>
    <s v="Inward Payment"/>
    <s v="FT26125YGDN6"/>
    <x v="107"/>
    <s v="DAVID MORRIS UTILI"/>
    <n v="50"/>
    <n v="50"/>
    <n v="16653.87"/>
  </r>
  <r>
    <d v="2026-05-05T00:00:00"/>
    <x v="3"/>
    <s v="Inward Payment"/>
    <s v="FT26125LXYNX"/>
    <x v="110"/>
    <s v="GEMMA BAKER UTILIT"/>
    <n v="65"/>
    <n v="65"/>
    <n v="16603.87"/>
  </r>
  <r>
    <d v="2026-05-05T00:00:00"/>
    <x v="3"/>
    <s v="Inward Payment"/>
    <s v="FT261255HYCV"/>
    <x v="102"/>
    <s v="LEIGH AMES UTILITI"/>
    <n v="65"/>
    <n v="65"/>
    <n v="16538.87"/>
  </r>
  <r>
    <d v="2026-05-05T00:00:00"/>
    <x v="3"/>
    <s v="Inward Payment"/>
    <s v="FT26125B8JNY"/>
    <x v="111"/>
    <s v="ZACHARY J HUGHES"/>
    <n v="50"/>
    <n v="50"/>
    <n v="16473.87"/>
  </r>
  <r>
    <d v="2026-05-05T00:00:00"/>
    <x v="3"/>
    <s v="Inward Payment"/>
    <s v="FT261259Y0YQ"/>
    <x v="109"/>
    <s v="SIMON KELLY WEEKLY"/>
    <n v="95"/>
    <n v="95"/>
    <n v="16423.87"/>
  </r>
  <r>
    <d v="2026-05-05T00:00:00"/>
    <x v="3"/>
    <s v="Inward Payment"/>
    <s v="FT26125S3DDY"/>
    <x v="60"/>
    <s v="SARAH JONES"/>
    <n v="25"/>
    <n v="25"/>
    <n v="16328.87"/>
  </r>
  <r>
    <d v="2026-05-05T00:00:00"/>
    <x v="3"/>
    <s v="Inward Payment"/>
    <s v="FT261251T4N4"/>
    <x v="60"/>
    <s v="SARAH JONES"/>
    <n v="281.67"/>
    <n v="281.67"/>
    <n v="16303.87"/>
  </r>
  <r>
    <d v="2026-05-05T00:00:00"/>
    <x v="3"/>
    <s v="Inward Payment"/>
    <s v="FT26125QG4KF"/>
    <x v="112"/>
    <s v="S L SERVICE CHARGE"/>
    <n v="50"/>
    <n v="50"/>
    <n v="16022.2"/>
  </r>
  <r>
    <d v="2026-05-05T00:00:00"/>
    <x v="3"/>
    <s v="Inward Payment"/>
    <s v="FT26125VWZ15"/>
    <x v="113"/>
    <s v="R WILKINS RENT"/>
    <n v="380"/>
    <n v="380"/>
    <n v="15972.2"/>
  </r>
  <r>
    <d v="2026-05-05T00:00:00"/>
    <x v="3"/>
    <s v="Inward Payment"/>
    <s v="FT26125BR0F2"/>
    <x v="57"/>
    <s v="DANIEL MEHMI"/>
    <n v="95"/>
    <n v="95"/>
    <n v="15592.2"/>
  </r>
  <r>
    <d v="2026-05-05T00:00:00"/>
    <x v="3"/>
    <s v="Inward Payment"/>
    <s v="FT26125BLM0M"/>
    <x v="114"/>
    <s v="AMY ELWELL"/>
    <n v="50"/>
    <n v="50"/>
    <n v="15497.2"/>
  </r>
  <r>
    <d v="2026-05-05T00:00:00"/>
    <x v="3"/>
    <s v="Inward Payment"/>
    <s v="FT26125QHLCM"/>
    <x v="115"/>
    <s v="MARSHA KAY UTILITY"/>
    <n v="281.67"/>
    <n v="281.67"/>
    <n v="15447.2"/>
  </r>
  <r>
    <d v="2026-05-05T00:00:00"/>
    <x v="3"/>
    <s v="Inward Payment"/>
    <s v="FT26125KF720"/>
    <x v="116"/>
    <s v="A JOHNSON RENT"/>
    <n v="380"/>
    <n v="380"/>
    <n v="15165.53"/>
  </r>
  <r>
    <d v="2026-05-05T00:00:00"/>
    <x v="3"/>
    <s v="Inward Payment"/>
    <s v="FT261252SVKG"/>
    <x v="44"/>
    <s v="SERVICE CHARGE PW"/>
    <n v="50"/>
    <n v="50"/>
    <n v="14785.53"/>
  </r>
  <r>
    <d v="2026-05-05T00:00:00"/>
    <x v="3"/>
    <s v="Inward Payment"/>
    <s v="FT26125G0YDR"/>
    <x v="117"/>
    <s v="Jamie ward"/>
    <n v="210"/>
    <n v="210"/>
    <n v="14735.53"/>
  </r>
  <r>
    <d v="2026-05-05T00:00:00"/>
    <x v="3"/>
    <s v="Inward Payment"/>
    <s v="FT26125MSXB6"/>
    <x v="28"/>
    <s v="MRS M WOLVERSON"/>
    <n v="6.08"/>
    <n v="6.08"/>
    <n v="14525.53"/>
  </r>
  <r>
    <d v="2026-05-05T00:00:00"/>
    <x v="3"/>
    <s v="Inward Payment"/>
    <s v="FT26125SRG47"/>
    <x v="118"/>
    <s v="ANTHONY FRANCE"/>
    <n v="50"/>
    <n v="50"/>
    <n v="14519.45"/>
  </r>
  <r>
    <d v="2026-05-05T00:00:00"/>
    <x v="3"/>
    <s v="Inward Payment"/>
    <s v="FT26125C3782"/>
    <x v="119"/>
    <s v="LOUISE ROBERTS"/>
    <n v="50"/>
    <n v="50"/>
    <n v="14469.45"/>
  </r>
  <r>
    <d v="2026-05-05T00:00:00"/>
    <x v="3"/>
    <s v="Inward Payment"/>
    <s v="FT26125MZ0PX"/>
    <x v="120"/>
    <s v="LOUISE ROBERTS"/>
    <n v="95"/>
    <n v="95"/>
    <n v="14419.45"/>
  </r>
  <r>
    <d v="2026-05-05T00:00:00"/>
    <x v="3"/>
    <s v="Inward Payment"/>
    <s v="FT26125GSFN5"/>
    <x v="121"/>
    <s v="DPILLINGER TRANSP"/>
    <n v="11.96"/>
    <n v="11.96"/>
    <n v="14324.45"/>
  </r>
  <r>
    <d v="2026-05-05T00:00:00"/>
    <x v="3"/>
    <s v="Inward Payment"/>
    <s v="FT26125K5JST"/>
    <x v="121"/>
    <s v="DAVID PILLINGER"/>
    <n v="65"/>
    <n v="65"/>
    <n v="14312.49"/>
  </r>
  <r>
    <d v="2026-05-05T00:00:00"/>
    <x v="3"/>
    <s v="Inward Payment"/>
    <s v="FT261251LCSR"/>
    <x v="122"/>
    <s v="WESTLEY YATES"/>
    <n v="50"/>
    <n v="50"/>
    <n v="14247.49"/>
  </r>
  <r>
    <d v="2026-05-05T00:00:00"/>
    <x v="3"/>
    <s v="Inward Payment"/>
    <s v="FT261255DSV2"/>
    <x v="123"/>
    <s v="DANIEL STOKES"/>
    <n v="281.67"/>
    <n v="281.67"/>
    <n v="14197.49"/>
  </r>
  <r>
    <d v="2026-05-05T00:00:00"/>
    <x v="3"/>
    <s v="Inward Payment"/>
    <s v="FT26125YKJY9"/>
    <x v="124"/>
    <s v="A FRANCE - RENT"/>
    <n v="95"/>
    <n v="95"/>
    <n v="13915.82"/>
  </r>
  <r>
    <d v="2026-05-05T00:00:00"/>
    <x v="3"/>
    <s v="Inward Payment"/>
    <s v="FT26125Y83V5"/>
    <x v="125"/>
    <s v="FOOD SHOPPING"/>
    <n v="50"/>
    <n v="50"/>
    <n v="13820.82"/>
  </r>
  <r>
    <d v="2026-05-05T00:00:00"/>
    <x v="3"/>
    <s v="Inward Payment"/>
    <s v="FT261258CP12"/>
    <x v="126"/>
    <s v="JAGJIT S VEGHAL"/>
    <n v="216.67"/>
    <n v="216.67"/>
    <n v="13770.82"/>
  </r>
  <r>
    <d v="2026-05-05T00:00:00"/>
    <x v="3"/>
    <s v="Inward Payment"/>
    <s v="FT26125P3623"/>
    <x v="127"/>
    <s v="20814HAYLEIGHBOWAT"/>
    <n v="359.85"/>
    <n v="359.85"/>
    <n v="13554.15"/>
  </r>
  <r>
    <d v="2026-05-05T00:00:00"/>
    <x v="3"/>
    <s v="Inward Payment"/>
    <s v="FT26125QND1Y"/>
    <x v="128"/>
    <s v="GARY EDWARDS"/>
    <n v="50"/>
    <n v="50"/>
    <n v="13194.3"/>
  </r>
  <r>
    <d v="2026-05-05T00:00:00"/>
    <x v="3"/>
    <s v="Inward Payment"/>
    <s v="FT26125TSFHF"/>
    <x v="129"/>
    <s v="DAVID SEABRIGHT"/>
    <n v="120"/>
    <n v="120"/>
    <n v="13144.3"/>
  </r>
  <r>
    <d v="2026-05-05T00:00:00"/>
    <x v="3"/>
    <s v="Inward Payment"/>
    <s v="FT26125QK667"/>
    <x v="123"/>
    <s v="DS WEEKLY SPEND"/>
    <n v="120"/>
    <n v="120"/>
    <n v="13024.3"/>
  </r>
  <r>
    <d v="2026-05-05T00:00:00"/>
    <x v="3"/>
    <s v="Inward Payment"/>
    <s v="FT26125QLQPL"/>
    <x v="125"/>
    <s v="JORDAN BERRINGTON"/>
    <n v="200"/>
    <n v="200"/>
    <n v="12904.3"/>
  </r>
  <r>
    <d v="2026-05-05T00:00:00"/>
    <x v="3"/>
    <s v="Inward Payment"/>
    <s v="FT2612578HLL"/>
    <x v="130"/>
    <s v="LAUREN SMITH"/>
    <n v="150"/>
    <n v="150"/>
    <n v="12704.3"/>
  </r>
  <r>
    <d v="2026-05-05T00:00:00"/>
    <x v="3"/>
    <s v="Inward Payment"/>
    <s v="FT261258K8JB"/>
    <x v="131"/>
    <s v="TREVOR KEANE"/>
    <n v="50"/>
    <n v="50"/>
    <n v="12554.3"/>
  </r>
  <r>
    <d v="2026-05-05T00:00:00"/>
    <x v="3"/>
    <s v="Inward Payment"/>
    <s v="FT26125NW3K7"/>
    <x v="132"/>
    <s v="select Utility"/>
    <n v="50"/>
    <n v="50"/>
    <n v="12504.3"/>
  </r>
  <r>
    <d v="2026-05-05T00:00:00"/>
    <x v="3"/>
    <s v="Inward Payment"/>
    <s v="FT261253RHB2"/>
    <x v="133"/>
    <s v="JAMES EASTWOOD"/>
    <n v="50"/>
    <n v="50"/>
    <n v="12454.3"/>
  </r>
  <r>
    <d v="2026-05-05T00:00:00"/>
    <x v="3"/>
    <s v="Inward Payment"/>
    <s v="FT26125K7X8B"/>
    <x v="133"/>
    <s v="JAMEEASTWOOD RENT"/>
    <n v="411.67"/>
    <n v="411.67"/>
    <n v="12404.3"/>
  </r>
  <r>
    <d v="2026-05-05T00:00:00"/>
    <x v="3"/>
    <s v="Inward Payment"/>
    <s v="FT26125CLBLJ"/>
    <x v="30"/>
    <s v="R DAWSON RENT"/>
    <n v="411.67"/>
    <n v="411.67"/>
    <n v="11992.63"/>
  </r>
  <r>
    <d v="2026-05-05T00:00:00"/>
    <x v="3"/>
    <s v="Inward Payment"/>
    <s v="FT26125LJ69R"/>
    <x v="134"/>
    <s v="D MORRISSEY-LIMB"/>
    <n v="190"/>
    <n v="190"/>
    <n v="11580.96"/>
  </r>
  <r>
    <d v="2026-05-05T00:00:00"/>
    <x v="3"/>
    <s v="Inward Payment"/>
    <s v="FT26125P242M"/>
    <x v="31"/>
    <s v="Extra Rent"/>
    <n v="25"/>
    <n v="25"/>
    <n v="11390.96"/>
  </r>
  <r>
    <d v="2026-05-05T00:00:00"/>
    <x v="3"/>
    <s v="Inward Payment"/>
    <s v="FT26125BTK0Q"/>
    <x v="135"/>
    <s v="SHEYLLA"/>
    <n v="120"/>
    <n v="120"/>
    <n v="11365.96"/>
  </r>
  <r>
    <d v="2026-05-01T00:00:00"/>
    <x v="4"/>
    <s v="Inward Payment"/>
    <s v="FT26121HNYK6"/>
    <x v="136"/>
    <s v="RYAN LAWLEY"/>
    <n v="50"/>
    <n v="50"/>
    <n v="11245.96"/>
  </r>
  <r>
    <d v="2026-05-01T00:00:00"/>
    <x v="4"/>
    <s v="Inward Payment"/>
    <s v="FT261213XFMD"/>
    <x v="136"/>
    <s v="RYAN LAWLEY"/>
    <n v="95"/>
    <n v="95"/>
    <n v="11195.96"/>
  </r>
  <r>
    <d v="2026-05-01T00:00:00"/>
    <x v="5"/>
    <s v="Inward Payment"/>
    <s v="FT261216SN51"/>
    <x v="137"/>
    <s v="BOBBY SPEARS"/>
    <n v="300"/>
    <n v="300"/>
    <n v="11100.96"/>
  </r>
  <r>
    <d v="2026-05-01T00:00:00"/>
    <x v="6"/>
    <s v="Inward Payment"/>
    <s v="FT26121F8N6J"/>
    <x v="2"/>
    <s v="KIERONWI"/>
    <n v="332.84"/>
    <n v="332.84"/>
    <n v="10800.96"/>
  </r>
  <r>
    <d v="2026-05-01T00:00:00"/>
    <x v="7"/>
    <s v="Inward Payment"/>
    <s v="FT2612105HV9"/>
    <x v="0"/>
    <s v="D WOODHALL"/>
    <n v="45"/>
    <n v="45"/>
    <n v="10468.12"/>
  </r>
  <r>
    <d v="2026-05-01T00:00:00"/>
    <x v="7"/>
    <s v="Inward Payment"/>
    <s v="FT26121M3YSN"/>
    <x v="138"/>
    <s v="Lottie brown"/>
    <n v="216.67"/>
    <n v="216.67"/>
    <n v="10423.12"/>
  </r>
  <r>
    <d v="2026-05-01T00:00:00"/>
    <x v="7"/>
    <s v="Outward Faster Payment"/>
    <s v="FT261214QC4T"/>
    <x v="11"/>
    <s v="Petty cash May 26"/>
    <n v="-9105"/>
    <s v=""/>
    <n v="10206.45"/>
  </r>
  <r>
    <d v="2026-05-01T00:00:00"/>
    <x v="7"/>
    <s v="Account to Account Transfer"/>
    <s v="FT26121X4BX0"/>
    <x v="45"/>
    <s v="CC AM/NP"/>
    <n v="-541.67"/>
    <s v=""/>
    <n v="19311.45"/>
  </r>
  <r>
    <d v="2026-05-01T00:00:00"/>
    <x v="7"/>
    <s v="Outward Faster Payment"/>
    <s v="FT26121XBC4S"/>
    <x v="32"/>
    <s v="SDLT Carbon 28293"/>
    <n v="-2376"/>
    <s v=""/>
    <n v="19853.12"/>
  </r>
  <r>
    <d v="2026-05-01T00:00:00"/>
    <x v="7"/>
    <s v="Outward Faster Payment"/>
    <s v="FT261211CY0D"/>
    <x v="139"/>
    <s v="Select Lifestyles"/>
    <n v="-819"/>
    <s v=""/>
    <n v="22229.12"/>
  </r>
  <r>
    <d v="2026-05-01T00:00:00"/>
    <x v="7"/>
    <s v="Outward Faster Payment"/>
    <s v="FT26121CT092"/>
    <x v="140"/>
    <s v="Select Lifestyles"/>
    <n v="-460.05"/>
    <s v=""/>
    <n v="23048.12"/>
  </r>
  <r>
    <d v="2026-05-01T00:00:00"/>
    <x v="7"/>
    <s v="Outward Faster Payment"/>
    <s v="FT261211B867"/>
    <x v="141"/>
    <s v="Select Lifestyles"/>
    <n v="-147.2"/>
    <s v=""/>
    <n v="23508.17"/>
  </r>
  <r>
    <d v="2026-05-01T00:00:00"/>
    <x v="7"/>
    <s v="Outward Faster Payment"/>
    <s v="FT261217BK07"/>
    <x v="142"/>
    <s v="RJ8651"/>
    <n v="-452.47"/>
    <s v=""/>
    <n v="23655.37"/>
  </r>
  <r>
    <d v="2026-05-01T00:00:00"/>
    <x v="7"/>
    <s v="Outward Faster Payment"/>
    <s v="FT26121DMWJP"/>
    <x v="143"/>
    <s v="Select Lifestyles"/>
    <n v="-265.5"/>
    <s v=""/>
    <n v="24107.84"/>
  </r>
  <r>
    <d v="2026-05-01T00:00:00"/>
    <x v="7"/>
    <s v="Outward Faster Payment"/>
    <s v="FT261215PJFR"/>
    <x v="144"/>
    <s v="Acc S4069"/>
    <n v="-658.38"/>
    <s v=""/>
    <n v="24373.34"/>
  </r>
  <r>
    <d v="2026-05-01T00:00:00"/>
    <x v="7"/>
    <s v="Outward Faster Payment"/>
    <s v="FT26121M6LFZ"/>
    <x v="145"/>
    <s v="SEL11580873A"/>
    <n v="-106.8"/>
    <s v=""/>
    <n v="25031.72"/>
  </r>
  <r>
    <d v="2026-05-01T00:00:00"/>
    <x v="7"/>
    <s v="Outward Faster Payment"/>
    <s v="FT26121LZ3G8"/>
    <x v="146"/>
    <n v="6331640014093600"/>
    <n v="-1351.55"/>
    <s v=""/>
    <n v="25138.52"/>
  </r>
  <r>
    <d v="2026-05-01T00:00:00"/>
    <x v="7"/>
    <s v="Outward Faster Payment"/>
    <s v="FT26121BBY73"/>
    <x v="147"/>
    <s v="SELE01"/>
    <n v="-750"/>
    <s v=""/>
    <n v="26490.07"/>
  </r>
  <r>
    <d v="2026-05-01T00:00:00"/>
    <x v="7"/>
    <s v="Outward Faster Payment"/>
    <s v="FT2612120SCD"/>
    <x v="148"/>
    <s v="Select Lifestyles"/>
    <n v="-1944"/>
    <s v=""/>
    <n v="27240.07"/>
  </r>
  <r>
    <d v="2026-05-01T00:00:00"/>
    <x v="7"/>
    <s v="Inward Payment"/>
    <s v="FT26121YSHX0"/>
    <x v="149"/>
    <s v="SSMITH"/>
    <n v="216.67"/>
    <n v="216.67"/>
    <n v="29184.07"/>
  </r>
  <r>
    <d v="2026-05-01T00:00:00"/>
    <x v="7"/>
    <s v="Inward Payment"/>
    <s v="FT26121TK3B3"/>
    <x v="105"/>
    <s v="ERROLGRANT RENTTOP"/>
    <n v="25"/>
    <n v="25"/>
    <n v="28967.4"/>
  </r>
  <r>
    <d v="2026-05-01T00:00:00"/>
    <x v="7"/>
    <s v="Inward Payment"/>
    <s v="FT26121MZZNF"/>
    <x v="4"/>
    <s v="PAUL BATSON WKLY U"/>
    <n v="50"/>
    <n v="50"/>
    <n v="28942.4"/>
  </r>
  <r>
    <d v="2026-05-01T00:00:00"/>
    <x v="7"/>
    <s v="Standing Order"/>
    <s v="FT26121Y8BY4"/>
    <x v="150"/>
    <s v="Select Pay"/>
    <n v="-22809"/>
    <s v=""/>
    <n v="28892.4"/>
  </r>
  <r>
    <d v="2026-05-01T00:00:00"/>
    <x v="7"/>
    <s v="Standing Order"/>
    <s v="FT26121R4G14"/>
    <x v="151"/>
    <s v="Marsons Court Rent"/>
    <n v="-7200"/>
    <s v=""/>
    <n v="51701.4"/>
  </r>
  <r>
    <d v="2026-05-01T00:00:00"/>
    <x v="7"/>
    <s v="Standing Order"/>
    <s v="FT26121LHKC1"/>
    <x v="152"/>
    <s v="Doveridge Place"/>
    <n v="-5900"/>
    <s v=""/>
    <n v="58901.4"/>
  </r>
  <r>
    <d v="2026-05-01T00:00:00"/>
    <x v="7"/>
    <s v="Standing Order"/>
    <s v="FT261216BWK6"/>
    <x v="153"/>
    <s v="130 Himley Road"/>
    <n v="-3500"/>
    <s v=""/>
    <n v="64801.4"/>
  </r>
  <r>
    <d v="2026-05-01T00:00:00"/>
    <x v="7"/>
    <s v="Standing Order"/>
    <s v="FT26121G7GR0"/>
    <x v="154"/>
    <s v="94-95 Throne Road"/>
    <n v="-3292"/>
    <s v=""/>
    <n v="68301.39999999999"/>
  </r>
  <r>
    <d v="2026-05-01T00:00:00"/>
    <x v="7"/>
    <s v="Standing Order"/>
    <s v="FT26121H4W4M"/>
    <x v="152"/>
    <s v="12 Beeches Road"/>
    <n v="-2900"/>
    <s v=""/>
    <n v="71593.39999999999"/>
  </r>
  <r>
    <d v="2026-05-01T00:00:00"/>
    <x v="7"/>
    <s v="Standing Order"/>
    <s v="FT26121MB9RD"/>
    <x v="152"/>
    <s v="46 Dudding Road"/>
    <n v="-2900"/>
    <s v=""/>
    <n v="74493.39999999999"/>
  </r>
  <r>
    <d v="2026-05-01T00:00:00"/>
    <x v="7"/>
    <s v="Standing Order"/>
    <s v="FT261216QCZJ"/>
    <x v="155"/>
    <s v="Fellows Road Rent"/>
    <n v="-2600"/>
    <s v=""/>
    <n v="77393.39999999999"/>
  </r>
  <r>
    <d v="2026-05-01T00:00:00"/>
    <x v="7"/>
    <s v="Standing Order"/>
    <s v="FT26121JL3L7"/>
    <x v="156"/>
    <s v="127 Stony Ln Rent"/>
    <n v="-2500"/>
    <s v=""/>
    <n v="79993.39999999999"/>
  </r>
  <r>
    <d v="2026-05-01T00:00:00"/>
    <x v="7"/>
    <s v="Standing Order"/>
    <s v="FT26121Y64QL"/>
    <x v="157"/>
    <s v="Vicarage Road Rent"/>
    <n v="-1775"/>
    <s v=""/>
    <n v="82493.39999999999"/>
  </r>
  <r>
    <d v="2026-05-01T00:00:00"/>
    <x v="7"/>
    <s v="Standing Order"/>
    <s v="FT26121KVJW9"/>
    <x v="158"/>
    <s v="14 Hickman Rd Rent"/>
    <n v="-1600"/>
    <s v=""/>
    <n v="84268.39999999999"/>
  </r>
  <r>
    <d v="2026-05-01T00:00:00"/>
    <x v="7"/>
    <s v="Standing Order"/>
    <s v="FT26121FLL4N"/>
    <x v="157"/>
    <s v="TivertonDrive Rent"/>
    <n v="-1500"/>
    <s v=""/>
    <n v="85868.39999999999"/>
  </r>
  <r>
    <d v="2026-05-01T00:00:00"/>
    <x v="7"/>
    <s v="Standing Order"/>
    <s v="FT26121RD3RJ"/>
    <x v="159"/>
    <s v="Oberon Rent"/>
    <n v="-950"/>
    <s v=""/>
    <n v="87368.39999999999"/>
  </r>
  <r>
    <d v="2026-05-01T00:00:00"/>
    <x v="7"/>
    <s v="Standing Order"/>
    <s v="FT2612117QRH"/>
    <x v="160"/>
    <s v="43c High St Rent"/>
    <n v="-725"/>
    <s v=""/>
    <n v="88318.39999999999"/>
  </r>
  <r>
    <d v="2026-05-01T00:00:00"/>
    <x v="7"/>
    <s v="Inward Payment"/>
    <s v="FT26121D9FZM"/>
    <x v="161"/>
    <s v="TARENBIR CHEEMA"/>
    <n v="100"/>
    <n v="100"/>
    <n v="89043.39999999999"/>
  </r>
  <r>
    <d v="2026-05-01T00:00:00"/>
    <x v="7"/>
    <s v="Inward Payment"/>
    <s v="FT26121K8LLX"/>
    <x v="59"/>
    <s v="L NEAL"/>
    <n v="12.69"/>
    <n v="12.69"/>
    <n v="88943.39999999999"/>
  </r>
  <r>
    <d v="2026-05-01T00:00:00"/>
    <x v="7"/>
    <s v="Inward Payment"/>
    <s v="FT2612173D4X"/>
    <x v="90"/>
    <s v="TOBY PALETHORPE"/>
    <n v="25"/>
    <n v="25"/>
    <n v="88930.71000000001"/>
  </r>
  <r>
    <d v="2026-05-01T00:00:00"/>
    <x v="7"/>
    <s v="Inward Payment"/>
    <s v="FT26121ZNRF4"/>
    <x v="162"/>
    <s v="William Skyte"/>
    <n v="25"/>
    <n v="25"/>
    <n v="88905.71000000001"/>
  </r>
  <r>
    <d v="2026-05-01T00:00:00"/>
    <x v="7"/>
    <s v="Direct Debit"/>
    <s v="DDC202604302119371"/>
    <x v="163"/>
    <s v="AVIVA 100779187CMI12G004"/>
    <n v="-6302.07"/>
    <s v=""/>
    <n v="88880.71000000001"/>
  </r>
  <r>
    <d v="2026-05-01T00:00:00"/>
    <x v="7"/>
    <s v="Direct Debit"/>
    <s v="DDC202604302129598"/>
    <x v="88"/>
    <s v="PREMIUM CREDIT LTD 04C08092GA35-10010"/>
    <n v="-731.64"/>
    <s v=""/>
    <n v="95182.78"/>
  </r>
  <r>
    <d v="2026-05-01T00:00:00"/>
    <x v="7"/>
    <s v="Inward Payment"/>
    <s v="FT2612141VZL"/>
    <x v="28"/>
    <s v="ANGELA WOLVERSON"/>
    <n v="65"/>
    <n v="65"/>
    <n v="95914.42"/>
  </r>
  <r>
    <d v="2026-05-01T00:00:00"/>
    <x v="7"/>
    <s v="Inward Payment"/>
    <s v="FT261213HDCP"/>
    <x v="4"/>
    <s v="WEEKLY RENT PAUL B"/>
    <n v="95"/>
    <n v="95"/>
    <n v="95849.42"/>
  </r>
  <r>
    <d v="2026-05-01T00:00:00"/>
    <x v="7"/>
    <s v="Direct Debit"/>
    <s v="DDC202604302341545"/>
    <x v="164"/>
    <s v="MULTIFLEET VEHICLE 0210438-004"/>
    <n v="-1450.18"/>
    <s v=""/>
    <n v="95754.42"/>
  </r>
  <r>
    <d v="2026-05-01T00:00:00"/>
    <x v="7"/>
    <s v="Direct Debit"/>
    <s v="DDC202604302288461"/>
    <x v="165"/>
    <s v="UKO SERVICED OFFIC RHSELECT-1"/>
    <n v="-420"/>
    <s v=""/>
    <n v="97204.60000000001"/>
  </r>
  <r>
    <d v="2026-05-01T00:00:00"/>
    <x v="7"/>
    <s v="Inward Payment"/>
    <s v="FT26121204NW"/>
    <x v="166"/>
    <s v="KMAZUR RENT SF"/>
    <n v="25"/>
    <n v="25"/>
    <n v="97624.60000000001"/>
  </r>
  <r>
    <d v="2026-05-01T00:00:00"/>
    <x v="7"/>
    <s v="Direct Debit"/>
    <s v="DDC202604302282116"/>
    <x v="38"/>
    <s v="GOCARDLESS CARETUTOR-45S43K8E"/>
    <n v="-1620"/>
    <s v=""/>
    <n v="97599.60000000001"/>
  </r>
  <r>
    <d v="2026-05-01T00:00:00"/>
    <x v="7"/>
    <s v="Direct Debit"/>
    <s v="DDC202604302282175"/>
    <x v="38"/>
    <s v="GOCARDLESS ALSALBIONLIM-M7M7Z"/>
    <n v="-1467.2"/>
    <s v=""/>
    <n v="99219.60000000001"/>
  </r>
  <r>
    <d v="2026-05-01T00:00:00"/>
    <x v="7"/>
    <s v="Inward Payment"/>
    <s v="FT26121FSD13"/>
    <x v="167"/>
    <s v="JAMIE HARTLEY"/>
    <n v="216.67"/>
    <n v="216.67"/>
    <n v="100686.8"/>
  </r>
  <r>
    <d v="2026-05-01T00:00:00"/>
    <x v="7"/>
    <s v="Direct Debit"/>
    <s v="DDC20260430208462"/>
    <x v="12"/>
    <s v="BIZLEND LTD GBP AC BIZLEND4444"/>
    <n v="-5625"/>
    <s v=""/>
    <n v="100470.13"/>
  </r>
  <r>
    <d v="2026-05-01T00:00:00"/>
    <x v="7"/>
    <s v="Inward Payment"/>
    <s v="FT26121JHPDM"/>
    <x v="125"/>
    <s v="JB RENT"/>
    <n v="411.67"/>
    <n v="411.67"/>
    <n v="106095.13"/>
  </r>
  <r>
    <d v="2026-05-01T00:00:00"/>
    <x v="7"/>
    <s v="Inward Payment"/>
    <s v="FT26121JY81F"/>
    <x v="168"/>
    <s v="NICKY PATEL"/>
    <n v="200"/>
    <n v="200"/>
    <n v="105683.46"/>
  </r>
  <r>
    <d v="2026-05-01T00:00:00"/>
    <x v="7"/>
    <s v="Inward Payment"/>
    <s v="FT261211WBFR"/>
    <x v="168"/>
    <s v="NICKY PATEL"/>
    <n v="363.34"/>
    <n v="363.34"/>
    <n v="105483.46"/>
  </r>
  <r>
    <d v="2026-05-01T00:00:00"/>
    <x v="7"/>
    <s v="Inward Payment"/>
    <s v="FT26121TH6ZB"/>
    <x v="169"/>
    <s v="KAMAL MIAH"/>
    <n v="195"/>
    <n v="195"/>
    <n v="105120.12"/>
  </r>
  <r>
    <d v="2026-05-01T00:00:00"/>
    <x v="7"/>
    <s v="Inward Payment"/>
    <s v="FT26121VKFYX"/>
    <x v="170"/>
    <s v="AARON MORGAN"/>
    <n v="195"/>
    <n v="195"/>
    <n v="104925.12"/>
  </r>
  <r>
    <d v="2026-05-01T00:00:00"/>
    <x v="7"/>
    <s v="Inward Payment"/>
    <s v="FT26121PFVQB"/>
    <x v="30"/>
    <s v="R DAWSON RENT"/>
    <n v="50"/>
    <n v="50"/>
    <n v="104730.12"/>
  </r>
  <r>
    <d v="2026-05-01T00:00:00"/>
    <x v="7"/>
    <s v="BACS Payment Received"/>
    <s v="BACS20260430155740"/>
    <x v="171"/>
    <s v="JHADDOCKRA-607080-10025863 278961-JHADDOCKRA-&amp;--&amp;-000000003749543048 099 BACS CR JESSICA HADDOCK"/>
    <n v="47.54"/>
    <n v="47.54"/>
    <n v="104680.12"/>
  </r>
  <r>
    <d v="2026-05-01T00:00:00"/>
    <x v="7"/>
    <s v="BACS Payment Received"/>
    <s v="BACS20260430153986"/>
    <x v="172"/>
    <s v="JTURNER-607080-10025863 278961-JTURNER-&amp;--&amp;-000000003749375964 099 BACS CR JOSEPH TURNER"/>
    <n v="411.67"/>
    <n v="411.67"/>
    <n v="104632.58"/>
  </r>
  <r>
    <d v="2026-05-01T00:00:00"/>
    <x v="7"/>
    <s v="BACS Payment Received"/>
    <s v="BACS20260430153946"/>
    <x v="173"/>
    <s v="JSTONE-607080-10025863 278961-JSTONE-&amp;--&amp;-000000003749372068 099 BACS CR JAMIE STONE"/>
    <n v="495"/>
    <n v="495"/>
    <n v="104220.91"/>
  </r>
  <r>
    <d v="2026-05-01T00:00:00"/>
    <x v="7"/>
    <s v="BACS Payment Received"/>
    <s v="BACS20260430155741"/>
    <x v="174"/>
    <s v="JHADDOCK-607080-10025863 278961-JHADDOCK-&amp;--&amp;-000000003749542922 099 BACS CR JESSICA HADDOCK"/>
    <n v="495"/>
    <n v="495"/>
    <n v="103725.91"/>
  </r>
  <r>
    <d v="2026-05-01T00:00:00"/>
    <x v="7"/>
    <s v="BACS Payment Received"/>
    <s v="BACS20260430147242"/>
    <x v="175"/>
    <s v="JWARD-607080-10025863 278961-JWARD-&amp;--&amp;-000000003752324509 099 BACS CR JAMIE WARD"/>
    <n v="411.67"/>
    <n v="411.67"/>
    <n v="103230.91"/>
  </r>
  <r>
    <d v="2026-05-01T00:00:00"/>
    <x v="7"/>
    <s v="BACS Payment Received"/>
    <s v="BACS20260430149845"/>
    <x v="176"/>
    <s v="ANDREW HANDS-607080-10025863 278961-ANDREW HANDS-&amp;--&amp;-000000003750050096 099 BACS CR ANDREW HANDS"/>
    <n v="411.67"/>
    <n v="411.67"/>
    <n v="102819.24"/>
  </r>
  <r>
    <d v="2026-05-01T00:00:00"/>
    <x v="7"/>
    <s v="BACS Payment Received"/>
    <s v="BACS20260430150417"/>
    <x v="177"/>
    <s v="ZHUGHES-607080-10025863 278961-ZHUGHES-&amp;--&amp;-000000003749706641 099 BACS CR ZACHARY HUGHES"/>
    <n v="411.67"/>
    <n v="411.67"/>
    <n v="102407.57"/>
  </r>
  <r>
    <d v="2026-05-01T00:00:00"/>
    <x v="7"/>
    <s v="BACS Payment Received"/>
    <s v="BACS20260430153036"/>
    <x v="178"/>
    <s v="BHOULDEN-607080-10025863 278961-BHOULDEN-&amp;--&amp;-000000003750010240 099 BACS CR BRITNEY HOULDEN"/>
    <n v="411.67"/>
    <n v="411.67"/>
    <n v="101995.9"/>
  </r>
  <r>
    <d v="2026-05-01T00:00:00"/>
    <x v="7"/>
    <s v="BACS Payment Received"/>
    <s v="BACS20260430159765"/>
    <x v="27"/>
    <s v="WOLVERHAMPTON CC-560069-44470320 972860-WOLVERHAMPTON CC-&amp;--&amp;-0 099 BACS CR SELECT LIFESTYLES"/>
    <n v="2780"/>
    <n v="2780"/>
    <n v="101584.23"/>
  </r>
  <r>
    <d v="2026-05-01T00:00:00"/>
    <x v="7"/>
    <s v="BACS Payment Received"/>
    <s v="BACS20260430101258"/>
    <x v="14"/>
    <s v="WALSALL METROPOLIT-206877-58552541 401256-WALSALL METROPOLIT-&amp;--&amp;-N SMITH SC 099 BACS CR SELECT LIFESTYLES"/>
    <n v="50"/>
    <n v="50"/>
    <n v="98804.23"/>
  </r>
  <r>
    <d v="2026-05-01T00:00:00"/>
    <x v="7"/>
    <s v="BACS Payment Received"/>
    <s v="BACS20260430101257"/>
    <x v="14"/>
    <s v="WALSALL METROPOLIT-206877-58552541 401256-WALSALL METROPOLIT-&amp;--&amp;-NM SMITH RENT 099 BACS CR SELECT LIFESTYLES"/>
    <n v="95"/>
    <n v="95"/>
    <n v="98754.23"/>
  </r>
  <r>
    <d v="2026-05-01T00:00:00"/>
    <x v="7"/>
    <s v="BACS Payment Received"/>
    <s v="BACS20260430101259"/>
    <x v="14"/>
    <s v="WALSALL METROPOLIT-206877-58552541 401256-WALSALL METROPOLIT-&amp;--&amp;-S HOLMES UTILITY 099 BACS CR SELECT LIFESTYLES"/>
    <n v="95"/>
    <n v="95"/>
    <n v="98659.23"/>
  </r>
  <r>
    <d v="2026-05-01T00:00:00"/>
    <x v="7"/>
    <s v="BACS Payment Received"/>
    <s v="BACS20260430101260"/>
    <x v="14"/>
    <s v="WALSALL METROPOLIT-206877-58552541 401256-WALSALL METROPOLIT-&amp;--&amp;-S B     W     R 099 BACS CR SELECT LIFESTYLES"/>
    <n v="95"/>
    <n v="95"/>
    <n v="98564.23"/>
  </r>
  <r>
    <d v="2026-05-01T00:00:00"/>
    <x v="7"/>
    <s v="BACS Payment Received"/>
    <s v="BACS20260430101261"/>
    <x v="14"/>
    <s v="WALSALL METROPOLIT-206877-58552541 401256-WALSALL METROPOLIT-&amp;--&amp;-S        R 099 BACS CR SELECT LIFESTYLES"/>
    <n v="95"/>
    <n v="95"/>
    <n v="98469.23"/>
  </r>
  <r>
    <d v="2026-05-01T00:00:00"/>
    <x v="7"/>
    <s v="BACS Payment Received"/>
    <s v="BACS20260430101244"/>
    <x v="14"/>
    <s v="WALSALL METROPOLIT-206877-58552541 401256-WALSALL METROPOLIT-&amp;--&amp;-CHELSEA HURLEY 099 BACS CR SELECT LIFESTYLES"/>
    <n v="600"/>
    <n v="600"/>
    <n v="98374.23"/>
  </r>
  <r>
    <d v="2026-05-01T00:00:00"/>
    <x v="7"/>
    <s v="Inward Payment"/>
    <s v="FT26121TZYZZ"/>
    <x v="179"/>
    <s v="Adam Peile- Rent A"/>
    <n v="100"/>
    <n v="100"/>
    <n v="97774.23"/>
  </r>
  <r>
    <d v="2026-05-01T00:00:00"/>
    <x v="7"/>
    <s v="Inward Payment"/>
    <s v="FT26121PXR7X"/>
    <x v="110"/>
    <s v="GEMMA BAKER MONTHL"/>
    <n v="12.69"/>
    <n v="12.69"/>
    <n v="97674.23"/>
  </r>
  <r>
    <d v="2026-05-01T00:00:00"/>
    <x v="7"/>
    <s v="Inward Payment"/>
    <s v="FT26121WPGB4"/>
    <x v="135"/>
    <s v="SHEYLLA"/>
    <n v="281.67"/>
    <n v="281.67"/>
    <n v="97661.53999999999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3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F9" firstHeaderRow="1" firstDataRow="2" firstDataCol="1"/>
  <pivotFields count="9">
    <pivotField showDropDowns="1" compact="1" numFmtId="14" outline="1" subtotalTop="1" dragToRow="1" dragToCol="1" dragToPage="1" dragToData="1" dragOff="1" showAll="0" topAutoShow="1" itemPageCount="10" sortType="manual" defaultSubtotal="1"/>
    <pivotField axis="axisCol" showDropDowns="1" compact="1" numFmtId="14" outline="1" subtotalTop="1" dragToRow="1" dragToCol="1" dragToPage="1" dragToData="1" dragOff="1" showAll="0" topAutoShow="1" itemPageCount="10" sortType="manual" defaultSubtotal="1">
      <items count="26"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04">
        <item t="data" h="1" sd="1" x="285"/>
        <item t="data" h="1" sd="1" x="279"/>
        <item t="data" h="1" sd="1" x="294"/>
        <item t="data" h="1" sd="1" x="235"/>
        <item t="data" h="1" sd="1" x="72"/>
        <item t="data" h="1" sd="1" x="221"/>
        <item t="data" h="1" sd="1" x="400"/>
        <item t="data" h="1" sd="1" x="401"/>
        <item t="data" h="1" sd="1" x="177"/>
        <item t="data" h="1" sd="1" x="230"/>
        <item t="data" h="1" sd="1" x="390"/>
        <item t="data" h="1" sd="1" x="96"/>
        <item t="data" h="1" sd="1" x="113"/>
        <item t="data" h="1" sd="1" x="17"/>
        <item t="data" h="1" sd="1" x="208"/>
        <item t="data" h="1" sd="1" x="255"/>
        <item t="data" h="1" sd="1" x="271"/>
        <item t="data" h="1" sd="1" x="143"/>
        <item t="data" h="1" sd="1" x="168"/>
        <item t="data" h="1" sd="1" x="308"/>
        <item t="data" h="1" sd="1" x="250"/>
        <item t="data" h="1" sd="1" x="202"/>
        <item t="data" h="1" sd="1" x="361"/>
        <item t="data" h="1" sd="1" x="25"/>
        <item t="data" h="1" sd="1" x="64"/>
        <item t="data" h="1" sd="1" x="84"/>
        <item t="data" h="1" sd="1" x="249"/>
        <item t="data" h="1" sd="1" x="278"/>
        <item t="data" h="1" sd="1" x="125"/>
        <item t="data" h="1" sd="1" x="6"/>
        <item t="data" h="1" sd="1" x="50"/>
        <item t="data" h="1" sd="1" x="365"/>
        <item t="data" h="1" sd="1" x="358"/>
        <item t="data" h="1" sd="1" x="360"/>
        <item t="data" h="1" sd="1" x="91"/>
        <item t="data" h="1" sd="1" x="15"/>
        <item t="data" h="1" sd="1" x="344"/>
        <item t="data" h="1" sd="1" x="298"/>
        <item t="data" h="1" sd="1" x="268"/>
        <item t="data" h="1" sd="1" x="228"/>
        <item t="data" h="1" sd="1" x="66"/>
        <item t="data" h="1" sd="1" x="106"/>
        <item t="data" h="1" sd="1" x="195"/>
        <item t="data" h="1" sd="1" x="282"/>
        <item t="data" h="1" sd="1" x="56"/>
        <item t="data" h="1" sd="1" x="398"/>
        <item t="data" h="1" sd="1" x="162"/>
        <item t="data" sd="1" x="295"/>
        <item t="data" sd="1" x="164"/>
        <item t="data" sd="1" x="326"/>
        <item t="data" h="1" sd="1" x="99"/>
        <item t="data" h="1" sd="1" x="388"/>
        <item t="data" h="1" sd="1" x="320"/>
        <item t="data" h="1" sd="1" x="311"/>
        <item t="data" h="1" sd="1" x="5"/>
        <item t="data" h="1" sd="1" x="378"/>
        <item t="data" h="1" sd="1" x="165"/>
        <item t="data" h="1" sd="1" x="184"/>
        <item t="data" h="1" sd="1" x="264"/>
        <item t="data" h="1" sd="1" x="261"/>
        <item t="data" h="1" sd="1" x="375"/>
        <item t="data" h="1" sd="1" x="137"/>
        <item t="data" h="1" sd="1" x="115"/>
        <item t="data" h="1" sd="1" x="101"/>
        <item t="data" h="1" sd="1" x="276"/>
        <item t="data" h="1" sd="1" x="123"/>
        <item t="data" h="1" sd="1" x="73"/>
        <item t="data" h="1" sd="1" x="304"/>
        <item t="data" h="1" sd="1" x="272"/>
        <item t="data" h="1" sd="1" x="88"/>
        <item t="data" h="1" sd="1" x="97"/>
        <item t="data" h="1" sd="1" x="49"/>
        <item t="data" h="1" sd="1" x="7"/>
        <item t="data" h="1" sd="1" x="199"/>
        <item t="data" h="1" sd="1" x="340"/>
        <item t="data" h="1" sd="1" x="245"/>
        <item t="data" h="1" sd="1" x="290"/>
        <item t="data" h="1" sd="1" x="111"/>
        <item t="data" h="1" sd="1" x="67"/>
        <item t="data" h="1" sd="1" x="325"/>
        <item t="data" h="1" sd="1" x="90"/>
        <item t="data" h="1" sd="1" x="299"/>
        <item t="data" h="1" sd="1" x="48"/>
        <item t="data" h="1" sd="1" x="0"/>
        <item t="data" h="1" sd="1" x="11"/>
        <item t="data" h="1" sd="1" x="201"/>
        <item t="data" h="1" sd="1" x="256"/>
        <item t="data" h="1" sd="1" x="292"/>
        <item t="data" h="1" sd="1" x="332"/>
        <item t="data" h="1" sd="1" x="37"/>
        <item t="data" h="1" sd="1" x="200"/>
        <item t="data" h="1" sd="1" x="129"/>
        <item t="data" h="1" sd="1" x="71"/>
        <item t="data" h="1" sd="1" x="179"/>
        <item t="data" h="1" sd="1" x="45"/>
        <item t="data" h="1" sd="1" x="234"/>
        <item t="data" h="1" sd="1" x="9"/>
        <item t="data" h="1" sd="1" x="323"/>
        <item t="data" h="1" sd="1" x="4"/>
        <item t="data" h="1" sd="1" x="316"/>
        <item t="data" h="1" sd="1" x="192"/>
        <item t="data" h="1" sd="1" x="334"/>
        <item t="data" h="1" sd="1" x="108"/>
        <item t="data" h="1" sd="1" x="194"/>
        <item t="data" h="1" sd="1" x="350"/>
        <item t="data" h="1" sd="1" x="349"/>
        <item t="data" h="1" sd="1" x="359"/>
        <item t="data" h="1" sd="1" x="260"/>
        <item t="data" h="1" sd="1" x="110"/>
        <item t="data" h="1" sd="1" x="130"/>
        <item t="data" h="1" sd="1" x="158"/>
        <item t="data" h="1" sd="1" x="167"/>
        <item t="data" h="1" sd="1" x="119"/>
        <item t="data" h="1" sd="1" x="324"/>
        <item t="data" h="1" sd="1" x="109"/>
        <item t="data" h="1" sd="1" x="144"/>
        <item t="data" h="1" sd="1" x="185"/>
        <item t="data" h="1" sd="1" x="78"/>
        <item t="data" h="1" sd="1" x="183"/>
        <item t="data" h="1" sd="1" x="83"/>
        <item t="data" h="1" sd="1" x="80"/>
        <item t="data" h="1" sd="1" x="283"/>
        <item t="data" h="1" sd="1" x="220"/>
        <item t="data" h="1" sd="1" x="35"/>
        <item t="data" h="1" sd="1" x="269"/>
        <item t="data" h="1" sd="1" x="52"/>
        <item t="data" h="1" sd="1" x="157"/>
        <item t="data" h="1" sd="1" x="267"/>
        <item t="data" h="1" sd="1" x="236"/>
        <item t="data" h="1" sd="1" x="51"/>
        <item t="data" h="1" sd="1" x="121"/>
        <item t="data" h="1" sd="1" x="383"/>
        <item t="data" h="1" sd="1" x="126"/>
        <item t="data" h="1" sd="1" x="138"/>
        <item t="data" h="1" sd="1" x="105"/>
        <item t="data" h="1" sd="1" x="47"/>
        <item t="data" h="1" sd="1" x="114"/>
        <item t="data" h="1" sd="1" x="382"/>
        <item t="data" h="1" sd="1" x="289"/>
        <item t="data" h="1" sd="1" x="369"/>
        <item t="data" h="1" sd="1" x="395"/>
        <item t="data" h="1" sd="1" x="347"/>
        <item t="data" h="1" sd="1" x="380"/>
        <item t="data" h="1" sd="1" x="391"/>
        <item t="data" h="1" sd="1" x="68"/>
        <item t="data" h="1" sd="1" x="238"/>
        <item t="data" h="1" sd="1" x="39"/>
        <item t="data" h="1" sd="1" x="122"/>
        <item t="data" h="1" sd="1" x="180"/>
        <item t="data" h="1" sd="1" x="190"/>
        <item t="data" h="1" sd="1" x="342"/>
        <item t="data" h="1" sd="1" x="153"/>
        <item t="data" h="1" sd="1" x="133"/>
        <item t="data" h="1" sd="1" x="151"/>
        <item t="data" h="1" sd="1" x="241"/>
        <item t="data" h="1" sd="1" x="36"/>
        <item t="data" h="1" sd="1" x="322"/>
        <item t="data" h="1" sd="1" x="69"/>
        <item t="data" h="1" sd="1" x="65"/>
        <item t="data" h="1" sd="1" x="317"/>
        <item t="data" h="1" sd="1" x="254"/>
        <item t="data" h="1" sd="1" x="373"/>
        <item t="data" h="1" sd="1" x="16"/>
        <item t="data" h="1" sd="1" x="87"/>
        <item t="data" h="1" sd="1" x="85"/>
        <item t="data" h="1" sd="1" x="239"/>
        <item t="data" h="1" sd="1" x="189"/>
        <item t="data" h="1" sd="1" x="339"/>
        <item t="data" h="1" sd="1" x="187"/>
        <item t="data" h="1" sd="1" x="368"/>
        <item t="data" h="1" sd="1" x="356"/>
        <item t="data" h="1" sd="1" x="152"/>
        <item t="data" h="1" sd="1" x="60"/>
        <item t="data" h="1" sd="1" x="330"/>
        <item t="data" h="1" sd="1" x="328"/>
        <item t="data" h="1" sd="1" x="353"/>
        <item t="data" h="1" sd="1" x="277"/>
        <item t="data" h="1" sd="1" x="275"/>
        <item t="data" h="1" sd="1" x="211"/>
        <item t="data" h="1" sd="1" x="259"/>
        <item t="data" h="1" sd="1" x="262"/>
        <item t="data" h="1" sd="1" x="196"/>
        <item t="data" h="1" sd="1" x="27"/>
        <item t="data" h="1" sd="1" x="216"/>
        <item t="data" h="1" sd="1" x="394"/>
        <item t="data" h="1" sd="1" x="186"/>
        <item t="data" h="1" sd="1" x="362"/>
        <item t="data" h="1" sd="1" x="370"/>
        <item t="data" h="1" sd="1" x="355"/>
        <item t="data" h="1" sd="1" x="224"/>
        <item t="data" h="1" sd="1" x="354"/>
        <item t="data" h="1" sd="1" x="253"/>
        <item t="data" h="1" sd="1" x="352"/>
        <item t="data" h="1" sd="1" x="225"/>
        <item t="data" h="1" sd="1" x="402"/>
        <item t="data" h="1" sd="1" x="313"/>
        <item t="data" h="1" sd="1" x="104"/>
        <item t="data" h="1" sd="1" x="44"/>
        <item t="data" h="1" sd="1" x="103"/>
        <item t="data" h="1" sd="1" x="214"/>
        <item t="data" h="1" sd="1" x="149"/>
        <item t="data" h="1" sd="1" x="112"/>
        <item t="data" h="1" sd="1" x="136"/>
        <item t="data" h="1" sd="1" x="209"/>
        <item t="data" h="1" sd="1" x="146"/>
        <item t="data" h="1" sd="1" x="61"/>
        <item t="data" h="1" sd="1" x="312"/>
        <item t="data" h="1" sd="1" x="288"/>
        <item t="data" h="1" sd="1" x="203"/>
        <item t="data" h="1" sd="1" x="302"/>
        <item t="data" h="1" sd="1" x="193"/>
        <item t="data" h="1" sd="1" x="74"/>
        <item t="data" h="1" sd="1" x="23"/>
        <item t="data" h="1" sd="1" x="335"/>
        <item t="data" h="1" sd="1" x="218"/>
        <item t="data" h="1" sd="1" x="310"/>
        <item t="data" h="1" sd="1" x="131"/>
        <item t="data" h="1" sd="1" x="140"/>
        <item t="data" h="1" sd="1" x="24"/>
        <item t="data" h="1" sd="1" x="26"/>
        <item t="data" h="1" sd="1" x="384"/>
        <item t="data" h="1" sd="1" x="337"/>
        <item t="data" h="1" sd="1" x="371"/>
        <item t="data" h="1" sd="1" x="160"/>
        <item t="data" h="1" sd="1" x="300"/>
        <item t="data" h="1" sd="1" x="341"/>
        <item t="data" h="1" sd="1" x="197"/>
        <item t="data" h="1" sd="1" x="219"/>
        <item t="data" h="1" sd="1" x="170"/>
        <item t="data" h="1" sd="1" x="147"/>
        <item t="data" h="1" sd="1" x="172"/>
        <item t="data" h="1" sd="1" x="385"/>
        <item t="data" h="1" sd="1" x="32"/>
        <item t="data" h="1" sd="1" x="40"/>
        <item t="data" h="1" sd="1" x="75"/>
        <item t="data" h="1" sd="1" x="386"/>
        <item t="data" h="1" sd="1" x="226"/>
        <item t="data" h="1" sd="1" x="20"/>
        <item t="data" h="1" sd="1" x="127"/>
        <item t="data" h="1" sd="1" x="43"/>
        <item t="data" h="1" sd="1" x="240"/>
        <item t="data" h="1" sd="1" x="372"/>
        <item t="data" h="1" sd="1" x="33"/>
        <item t="data" h="1" sd="1" x="100"/>
        <item t="data" h="1" sd="1" x="297"/>
        <item t="data" h="1" sd="1" x="212"/>
        <item t="data" h="1" sd="1" x="280"/>
        <item t="data" h="1" sd="1" x="318"/>
        <item t="data" h="1" sd="1" x="42"/>
        <item t="data" h="1" sd="1" x="95"/>
        <item t="data" h="1" sd="1" x="237"/>
        <item t="data" h="1" sd="1" x="62"/>
        <item t="data" h="1" sd="1" x="376"/>
        <item t="data" h="1" sd="1" x="41"/>
        <item t="data" h="1" sd="1" x="93"/>
        <item t="data" h="1" sd="1" x="338"/>
        <item t="data" h="1" sd="1" x="284"/>
        <item t="data" h="1" sd="1" x="141"/>
        <item t="data" h="1" sd="1" x="305"/>
        <item t="data" h="1" sd="1" x="14"/>
        <item t="data" h="1" sd="1" x="247"/>
        <item t="data" h="1" sd="1" x="381"/>
        <item t="data" h="1" sd="1" x="3"/>
        <item t="data" h="1" sd="1" x="223"/>
        <item t="data" h="1" sd="1" x="273"/>
        <item t="data" h="1" sd="1" x="345"/>
        <item t="data" h="1" sd="1" x="82"/>
        <item t="data" h="1" sd="1" x="175"/>
        <item t="data" h="1" sd="1" x="363"/>
        <item t="data" h="1" sd="1" x="139"/>
        <item t="data" h="1" sd="1" x="263"/>
        <item t="data" sd="1" x="270"/>
        <item t="data" h="1" sd="1" x="217"/>
        <item t="data" h="1" sd="1" x="12"/>
        <item t="data" h="1" sd="1" x="86"/>
        <item t="data" h="1" sd="1" x="210"/>
        <item t="data" h="1" sd="1" x="374"/>
        <item t="data" h="1" sd="1" x="117"/>
        <item t="data" h="1" sd="1" x="34"/>
        <item t="data" h="1" sd="1" x="367"/>
        <item t="data" h="1" sd="1" x="244"/>
        <item t="data" h="1" sd="1" x="336"/>
        <item t="data" h="1" sd="1" x="182"/>
        <item t="data" h="1" sd="1" x="55"/>
        <item t="data" h="1" sd="1" x="296"/>
        <item t="data" h="1" sd="1" x="163"/>
        <item t="data" h="1" sd="1" x="206"/>
        <item t="data" h="1" sd="1" x="21"/>
        <item t="data" h="1" sd="1" x="161"/>
        <item t="data" h="1" sd="1" x="286"/>
        <item t="data" h="1" sd="1" x="303"/>
        <item t="data" h="1" sd="1" x="315"/>
        <item t="data" h="1" sd="1" x="333"/>
        <item t="data" h="1" sd="1" x="135"/>
        <item t="data" h="1" sd="1" x="357"/>
        <item t="data" h="1" sd="1" x="265"/>
        <item t="data" h="1" sd="1" x="309"/>
        <item t="data" h="1" sd="1" x="252"/>
        <item t="data" h="1" sd="1" x="1"/>
        <item t="data" h="1" sd="1" x="28"/>
        <item t="data" h="1" sd="1" x="205"/>
        <item t="data" h="1" sd="1" x="248"/>
        <item t="data" h="1" sd="1" x="319"/>
        <item t="data" h="1" sd="1" x="181"/>
        <item t="data" h="1" sd="1" x="169"/>
        <item t="data" h="1" sd="1" x="366"/>
        <item t="data" h="1" sd="1" x="155"/>
        <item t="data" h="1" sd="1" x="392"/>
        <item t="data" h="1" sd="1" x="70"/>
        <item t="data" h="1" sd="1" x="281"/>
        <item t="data" h="1" sd="1" x="258"/>
        <item t="data" h="1" sd="1" x="63"/>
        <item t="data" h="1" sd="1" x="291"/>
        <item t="data" h="1" sd="1" x="102"/>
        <item t="data" h="1" sd="1" x="150"/>
        <item t="data" h="1" sd="1" x="31"/>
        <item t="data" h="1" sd="1" x="331"/>
        <item t="data" h="1" sd="1" x="346"/>
        <item t="data" h="1" sd="1" x="246"/>
        <item t="data" h="1" sd="1" x="314"/>
        <item t="data" h="1" sd="1" x="124"/>
        <item t="data" h="1" sd="1" x="58"/>
        <item t="data" h="1" sd="1" x="29"/>
        <item t="data" h="1" sd="1" x="54"/>
        <item t="data" h="1" sd="1" x="242"/>
        <item t="data" h="1" sd="1" x="116"/>
        <item t="data" h="1" sd="1" x="287"/>
        <item t="data" h="1" sd="1" x="198"/>
        <item t="data" h="1" sd="1" x="227"/>
        <item t="data" h="1" sd="1" x="8"/>
        <item t="data" h="1" sd="1" x="38"/>
        <item t="data" h="1" sd="1" x="120"/>
        <item t="data" h="1" sd="1" x="389"/>
        <item t="data" h="1" sd="1" x="166"/>
        <item t="data" h="1" sd="1" x="178"/>
        <item t="data" h="1" sd="1" x="251"/>
        <item t="data" h="1" sd="1" x="171"/>
        <item t="data" h="1" sd="1" x="2"/>
        <item t="data" h="1" sd="1" x="46"/>
        <item t="data" h="1" sd="1" x="98"/>
        <item t="data" h="1" sd="1" x="81"/>
        <item t="data" h="1" sd="1" x="188"/>
        <item t="data" h="1" sd="1" x="77"/>
        <item t="data" h="1" sd="1" x="79"/>
        <item t="data" h="1" sd="1" x="243"/>
        <item t="data" h="1" sd="1" x="397"/>
        <item t="data" h="1" sd="1" x="173"/>
        <item t="data" h="1" sd="1" x="132"/>
        <item t="data" h="1" sd="1" x="156"/>
        <item t="data" h="1" sd="1" x="329"/>
        <item t="data" h="1" sd="1" x="364"/>
        <item t="data" h="1" sd="1" x="174"/>
        <item t="data" h="1" sd="1" x="176"/>
        <item t="data" h="1" sd="1" x="274"/>
        <item t="data" h="1" sd="1" x="351"/>
        <item t="data" h="1" sd="1" x="191"/>
        <item t="data" h="1" sd="1" x="13"/>
        <item t="data" h="1" sd="1" x="128"/>
        <item t="data" h="1" sd="1" x="343"/>
        <item t="data" h="1" sd="1" x="377"/>
        <item t="data" h="1" sd="1" x="396"/>
        <item t="data" h="1" sd="1" x="266"/>
        <item t="data" h="1" sd="1" x="307"/>
        <item t="data" h="1" sd="1" x="257"/>
        <item t="data" h="1" sd="1" x="142"/>
        <item t="data" h="1" sd="1" x="231"/>
        <item t="data" h="1" sd="1" x="19"/>
        <item t="data" h="1" sd="1" x="204"/>
        <item t="data" h="1" sd="1" x="22"/>
        <item t="data" h="1" sd="1" x="10"/>
        <item t="data" h="1" sd="1" x="118"/>
        <item t="data" h="1" sd="1" x="306"/>
        <item t="data" h="1" sd="1" x="293"/>
        <item t="data" h="1" sd="1" x="387"/>
        <item t="data" h="1" sd="1" x="148"/>
        <item t="data" h="1" sd="1" x="379"/>
        <item t="data" h="1" sd="1" x="159"/>
        <item t="data" h="1" sd="1" x="18"/>
        <item t="data" h="1" sd="1" x="229"/>
        <item t="data" h="1" sd="1" x="154"/>
        <item t="data" h="1" sd="1" x="393"/>
        <item t="data" h="1" sd="1" x="94"/>
        <item t="data" h="1" sd="1" x="321"/>
        <item t="data" h="1" sd="1" x="213"/>
        <item t="data" h="1" sd="1" x="215"/>
        <item t="data" h="1" sd="1" x="145"/>
        <item t="data" h="1" sd="1" x="233"/>
        <item t="data" h="1" sd="1" x="327"/>
        <item t="data" h="1" sd="1" x="207"/>
        <item t="data" h="1" sd="1" x="134"/>
        <item t="data" h="1" sd="1" x="301"/>
        <item t="data" h="1" sd="1" x="30"/>
        <item t="data" h="1" sd="1" x="232"/>
        <item t="data" h="1" sd="1" x="92"/>
        <item t="data" h="1" sd="1" x="89"/>
        <item t="data" h="1" sd="1" x="57"/>
        <item t="data" h="1" sd="1" x="53"/>
        <item t="data" h="1" sd="1" x="59"/>
        <item t="data" h="1" sd="1" x="107"/>
        <item t="data" h="1" sd="1" x="348"/>
        <item t="data" h="1" sd="1" x="76"/>
        <item t="data" h="1" sd="1" x="222"/>
        <item t="data" h="1" sd="1" x="39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4"/>
  </rowFields>
  <rowItems count="5">
    <i t="data" r="0" i="0">
      <x v="47"/>
    </i>
    <i t="data" r="0" i="0">
      <x v="48"/>
    </i>
    <i t="data" r="0" i="0">
      <x v="49"/>
    </i>
    <i t="data" r="0" i="0">
      <x v="271"/>
    </i>
    <i t="grand" r="0" i="0">
      <x v="0"/>
    </i>
  </rowItems>
  <colFields count="1">
    <field x="1"/>
  </colFields>
  <colItems count="5">
    <i t="data" r="0" i="0">
      <x v="4"/>
    </i>
    <i t="data" r="0" i="0">
      <x v="8"/>
    </i>
    <i t="data" r="0" i="0">
      <x v="10"/>
    </i>
    <i t="data" r="0" i="0">
      <x v="17"/>
    </i>
    <i t="grand" r="0" i="0">
      <x v="0"/>
    </i>
  </colItems>
  <dataFields count="1">
    <dataField name="Sum of m" fld="7" subtotal="sum" showDataAs="normal" baseField="4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ivotTable4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F9" firstHeaderRow="1" firstDataRow="2" firstDataCol="1"/>
  <pivotFields count="9">
    <pivotField showDropDowns="1" compact="1" numFmtId="14" outline="1" subtotalTop="1" dragToRow="1" dragToCol="1" dragToPage="1" dragToData="1" dragOff="1" showAll="0" topAutoShow="1" itemPageCount="10" sortType="manual" defaultSubtotal="1"/>
    <pivotField axis="axisCol" showDropDowns="1" compact="1" numFmtId="14" outline="1" subtotalTop="1" dragToRow="1" dragToCol="1" dragToPage="1" dragToData="1" dragOff="1" showAll="0" topAutoShow="1" itemPageCount="10" sortType="manual" defaultSubtotal="1">
      <items count="28"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95">
        <item t="data" h="1" sd="1" x="288"/>
        <item t="data" h="1" sd="1" x="273"/>
        <item t="data" h="1" sd="1" x="309"/>
        <item t="data" h="1" sd="1" x="271"/>
        <item t="data" h="1" sd="1" x="104"/>
        <item t="data" h="1" sd="1" x="227"/>
        <item t="data" h="1" sd="1" x="5"/>
        <item t="data" h="1" sd="1" x="393"/>
        <item t="data" h="1" sd="1" x="388"/>
        <item t="data" h="1" sd="1" x="210"/>
        <item t="data" h="1" sd="1" x="218"/>
        <item t="data" h="1" sd="1" x="323"/>
        <item t="data" h="1" sd="1" x="197"/>
        <item t="data" h="1" sd="1" x="189"/>
        <item t="data" h="1" sd="1" x="242"/>
        <item t="data" h="1" sd="1" x="261"/>
        <item t="data" h="1" sd="1" x="135"/>
        <item t="data" h="1" sd="1" x="177"/>
        <item t="data" h="1" sd="1" x="96"/>
        <item t="data" h="1" sd="1" x="348"/>
        <item t="data" h="1" sd="1" x="233"/>
        <item t="data" h="1" sd="1" x="363"/>
        <item t="data" h="1" sd="1" x="61"/>
        <item t="data" h="1" sd="1" x="16"/>
        <item t="data" h="1" sd="1" x="8"/>
        <item t="data" h="1" sd="1" x="125"/>
        <item t="data" h="1" sd="1" x="24"/>
        <item t="data" h="1" sd="1" x="259"/>
        <item t="data" h="1" sd="1" x="292"/>
        <item t="data" h="1" sd="1" x="163"/>
        <item t="data" h="1" sd="1" x="97"/>
        <item t="data" h="1" sd="1" x="44"/>
        <item t="data" h="1" sd="1" x="386"/>
        <item t="data" h="1" sd="1" x="359"/>
        <item t="data" h="1" sd="1" x="147"/>
        <item t="data" h="1" sd="1" x="352"/>
        <item t="data" h="1" sd="1" x="284"/>
        <item t="data" h="1" sd="1" x="26"/>
        <item t="data" h="1" sd="1" x="128"/>
        <item t="data" h="1" sd="1" x="64"/>
        <item t="data" h="1" sd="1" x="33"/>
        <item t="data" h="1" sd="1" x="313"/>
        <item t="data" h="1" sd="1" x="137"/>
        <item t="data" h="1" sd="1" x="391"/>
        <item t="data" h="1" sd="1" x="80"/>
        <item t="data" sd="1" x="293"/>
        <item t="data" sd="1" x="175"/>
        <item t="data" sd="1" x="304"/>
        <item t="data" h="1" sd="1" x="133"/>
        <item t="data" h="1" sd="1" x="376"/>
        <item t="data" h="1" sd="1" x="214"/>
        <item t="data" h="1" sd="1" x="316"/>
        <item t="data" h="1" sd="1" x="378"/>
        <item t="data" h="1" sd="1" x="157"/>
        <item t="data" h="1" sd="1" x="201"/>
        <item t="data" h="1" sd="1" x="276"/>
        <item t="data" h="1" sd="1" x="278"/>
        <item t="data" h="1" sd="1" x="328"/>
        <item t="data" h="1" sd="1" x="141"/>
        <item t="data" h="1" sd="1" x="283"/>
        <item t="data" h="1" sd="1" x="56"/>
        <item t="data" h="1" sd="1" x="262"/>
        <item t="data" h="1" sd="1" x="22"/>
        <item t="data" h="1" sd="1" x="115"/>
        <item t="data" h="1" sd="1" x="281"/>
        <item t="data" h="1" sd="1" x="290"/>
        <item t="data" h="1" sd="1" x="120"/>
        <item t="data" h="1" sd="1" x="122"/>
        <item t="data" h="1" sd="1" x="90"/>
        <item t="data" h="1" sd="1" x="1"/>
        <item t="data" h="1" sd="1" x="215"/>
        <item t="data" h="1" sd="1" x="349"/>
        <item t="data" h="1" sd="1" x="252"/>
        <item t="data" h="1" sd="1" x="150"/>
        <item t="data" h="1" sd="1" x="67"/>
        <item t="data" h="1" sd="1" x="300"/>
        <item t="data" h="1" sd="1" x="40"/>
        <item t="data" h="1" sd="1" x="311"/>
        <item t="data" h="1" sd="1" x="100"/>
        <item t="data" h="1" sd="1" x="382"/>
        <item t="data" h="1" sd="1" x="241"/>
        <item t="data" h="1" sd="1" x="308"/>
        <item t="data" h="1" sd="1" x="335"/>
        <item t="data" h="1" sd="1" x="77"/>
        <item t="data" h="1" sd="1" x="37"/>
        <item t="data" h="1" sd="1" x="199"/>
        <item t="data" h="1" sd="1" x="98"/>
        <item t="data" h="1" sd="1" x="275"/>
        <item t="data" h="1" sd="1" x="302"/>
        <item t="data" h="1" sd="1" x="299"/>
        <item t="data" h="1" sd="1" x="211"/>
        <item t="data" h="1" sd="1" x="369"/>
        <item t="data" h="1" sd="1" x="34"/>
        <item t="data" h="1" sd="1" x="54"/>
        <item t="data" h="1" sd="1" x="129"/>
        <item t="data" h="1" sd="1" x="385"/>
        <item t="data" h="1" sd="1" x="346"/>
        <item t="data" h="1" sd="1" x="237"/>
        <item t="data" h="1" sd="1" x="148"/>
        <item t="data" h="1" sd="1" x="282"/>
        <item t="data" h="1" sd="1" x="85"/>
        <item t="data" h="1" sd="1" x="173"/>
        <item t="data" h="1" sd="1" x="134"/>
        <item t="data" h="1" sd="1" x="32"/>
        <item t="data" h="1" sd="1" x="35"/>
        <item t="data" h="1" sd="1" x="136"/>
        <item t="data" h="1" sd="1" x="207"/>
        <item t="data" h="1" sd="1" x="114"/>
        <item t="data" h="1" sd="1" x="208"/>
        <item t="data" h="1" sd="1" x="109"/>
        <item t="data" h="1" sd="1" x="110"/>
        <item t="data" h="1" sd="1" x="338"/>
        <item t="data" h="1" sd="1" x="206"/>
        <item t="data" h="1" sd="1" x="181"/>
        <item t="data" h="1" sd="1" x="28"/>
        <item t="data" h="1" sd="1" x="235"/>
        <item t="data" h="1" sd="1" x="51"/>
        <item t="data" h="1" sd="1" x="151"/>
        <item t="data" h="1" sd="1" x="154"/>
        <item t="data" h="1" sd="1" x="285"/>
        <item t="data" h="1" sd="1" x="224"/>
        <item t="data" h="1" sd="1" x="270"/>
        <item t="data" h="1" sd="1" x="87"/>
        <item t="data" h="1" sd="1" x="279"/>
        <item t="data" h="1" sd="1" x="0"/>
        <item t="data" h="1" sd="1" x="140"/>
        <item t="data" h="1" sd="1" x="94"/>
        <item t="data" h="1" sd="1" x="99"/>
        <item t="data" h="1" sd="1" x="7"/>
        <item t="data" h="1" sd="1" x="327"/>
        <item t="data" h="1" sd="1" x="289"/>
        <item t="data" h="1" sd="1" x="371"/>
        <item t="data" h="1" sd="1" x="354"/>
        <item t="data" h="1" sd="1" x="330"/>
        <item t="data" h="1" sd="1" x="245"/>
        <item t="data" h="1" sd="1" x="68"/>
        <item t="data" h="1" sd="1" x="226"/>
        <item t="data" h="1" sd="1" x="139"/>
        <item t="data" h="1" sd="1" x="195"/>
        <item t="data" h="1" sd="1" x="162"/>
        <item t="data" h="1" sd="1" x="370"/>
        <item t="data" h="1" sd="1" x="3"/>
        <item t="data" h="1" sd="1" x="81"/>
        <item t="data" h="1" sd="1" x="27"/>
        <item t="data" h="1" sd="1" x="268"/>
        <item t="data" h="1" sd="1" x="43"/>
        <item t="data" h="1" sd="1" x="89"/>
        <item t="data" h="1" sd="1" x="74"/>
        <item t="data" h="1" sd="1" x="356"/>
        <item t="data" h="1" sd="1" x="265"/>
        <item t="data" h="1" sd="1" x="156"/>
        <item t="data" h="1" sd="1" x="357"/>
        <item t="data" h="1" sd="1" x="297"/>
        <item t="data" h="1" sd="1" x="341"/>
        <item t="data" h="1" sd="1" x="119"/>
        <item t="data" h="1" sd="1" x="118"/>
        <item t="data" h="1" sd="1" x="228"/>
        <item t="data" h="1" sd="1" x="179"/>
        <item t="data" h="1" sd="1" x="298"/>
        <item t="data" h="1" sd="1" x="204"/>
        <item t="data" h="1" sd="1" x="380"/>
        <item t="data" h="1" sd="1" x="314"/>
        <item t="data" h="1" sd="1" x="41"/>
        <item t="data" h="1" sd="1" x="19"/>
        <item t="data" h="1" sd="1" x="362"/>
        <item t="data" h="1" sd="1" x="360"/>
        <item t="data" h="1" sd="1" x="366"/>
        <item t="data" h="1" sd="1" x="272"/>
        <item t="data" h="1" sd="1" x="170"/>
        <item t="data" h="1" sd="1" x="238"/>
        <item t="data" h="1" sd="1" x="296"/>
        <item t="data" h="1" sd="1" x="232"/>
        <item t="data" h="1" sd="1" x="63"/>
        <item t="data" h="1" sd="1" x="15"/>
        <item t="data" h="1" sd="1" x="358"/>
        <item t="data" h="1" sd="1" x="203"/>
        <item t="data" h="1" sd="1" x="320"/>
        <item t="data" h="1" sd="1" x="375"/>
        <item t="data" h="1" sd="1" x="365"/>
        <item t="data" h="1" sd="1" x="222"/>
        <item t="data" h="1" sd="1" x="361"/>
        <item t="data" h="1" sd="1" x="253"/>
        <item t="data" h="1" sd="1" x="367"/>
        <item t="data" h="1" sd="1" x="229"/>
        <item t="data" h="1" sd="1" x="389"/>
        <item t="data" h="1" sd="1" x="319"/>
        <item t="data" h="1" sd="1" x="93"/>
        <item t="data" h="1" sd="1" x="101"/>
        <item t="data" h="1" sd="1" x="246"/>
        <item t="data" h="1" sd="1" x="57"/>
        <item t="data" h="1" sd="1" x="171"/>
        <item t="data" h="1" sd="1" x="126"/>
        <item t="data" h="1" sd="1" x="145"/>
        <item t="data" h="1" sd="1" x="142"/>
        <item t="data" h="1" sd="1" x="169"/>
        <item t="data" h="1" sd="1" x="244"/>
        <item t="data" h="1" sd="1" x="20"/>
        <item t="data" h="1" sd="1" x="317"/>
        <item t="data" h="1" sd="1" x="306"/>
        <item t="data" h="1" sd="1" x="123"/>
        <item t="data" h="1" sd="1" x="105"/>
        <item t="data" h="1" sd="1" x="50"/>
        <item t="data" h="1" sd="1" x="337"/>
        <item t="data" h="1" sd="1" x="243"/>
        <item t="data" h="1" sd="1" x="315"/>
        <item t="data" h="1" sd="1" x="79"/>
        <item t="data" h="1" sd="1" x="60"/>
        <item t="data" h="1" sd="1" x="62"/>
        <item t="data" h="1" sd="1" x="381"/>
        <item t="data" h="1" sd="1" x="339"/>
        <item t="data" h="1" sd="1" x="332"/>
        <item t="data" h="1" sd="1" x="158"/>
        <item t="data" h="1" sd="1" x="312"/>
        <item t="data" h="1" sd="1" x="364"/>
        <item t="data" h="1" sd="1" x="221"/>
        <item t="data" h="1" sd="1" x="159"/>
        <item t="data" h="1" sd="1" x="149"/>
        <item t="data" h="1" sd="1" x="191"/>
        <item t="data" h="1" sd="1" x="377"/>
        <item t="data" h="1" sd="1" x="66"/>
        <item t="data" h="1" sd="1" x="31"/>
        <item t="data" h="1" sd="1" x="107"/>
        <item t="data" h="1" sd="1" x="249"/>
        <item t="data" h="1" sd="1" x="379"/>
        <item t="data" h="1" sd="1" x="164"/>
        <item t="data" h="1" sd="1" x="124"/>
        <item t="data" h="1" sd="1" x="18"/>
        <item t="data" h="1" sd="1" x="36"/>
        <item t="data" h="1" sd="1" x="247"/>
        <item t="data" h="1" sd="1" x="374"/>
        <item t="data" h="1" sd="1" x="69"/>
        <item t="data" h="1" sd="1" x="84"/>
        <item t="data" h="1" sd="1" x="305"/>
        <item t="data" h="1" sd="1" x="219"/>
        <item t="data" h="1" sd="1" x="274"/>
        <item t="data" h="1" sd="1" x="325"/>
        <item t="data" h="1" sd="1" x="102"/>
        <item t="data" h="1" sd="1" x="223"/>
        <item t="data" h="1" sd="1" x="14"/>
        <item t="data" h="1" sd="1" x="47"/>
        <item t="data" h="1" sd="1" x="76"/>
        <item t="data" h="1" sd="1" x="345"/>
        <item t="data" h="1" sd="1" x="286"/>
        <item t="data" h="1" sd="1" x="144"/>
        <item t="data" h="1" sd="1" x="344"/>
        <item t="data" h="1" sd="1" x="340"/>
        <item t="data" h="1" sd="1" x="11"/>
        <item t="data" h="1" sd="1" x="152"/>
        <item t="data" h="1" sd="1" x="220"/>
        <item t="data" h="1" sd="1" x="291"/>
        <item t="data" h="1" sd="1" x="351"/>
        <item t="data" h="1" sd="1" x="108"/>
        <item t="data" h="1" sd="1" x="194"/>
        <item t="data" h="1" sd="1" x="373"/>
        <item t="data" h="1" sd="1" x="39"/>
        <item t="data" h="1" sd="1" x="71"/>
        <item t="data" h="1" sd="1" x="280"/>
        <item t="data" sd="1" x="318"/>
        <item t="data" h="1" sd="1" x="17"/>
        <item t="data" h="1" sd="1" x="25"/>
        <item t="data" h="1" sd="1" x="176"/>
        <item t="data" h="1" sd="1" x="324"/>
        <item t="data" h="1" sd="1" x="78"/>
        <item t="data" h="1" sd="1" x="70"/>
        <item t="data" h="1" sd="1" x="217"/>
        <item t="data" h="1" sd="1" x="13"/>
        <item t="data" h="1" sd="1" x="178"/>
        <item t="data" h="1" sd="1" x="117"/>
        <item t="data" h="1" sd="1" x="95"/>
        <item t="data" h="1" sd="1" x="10"/>
        <item t="data" h="1" sd="1" x="216"/>
        <item t="data" h="1" sd="1" x="174"/>
        <item t="data" h="1" sd="1" x="183"/>
        <item t="data" h="1" sd="1" x="48"/>
        <item t="data" h="1" sd="1" x="166"/>
        <item t="data" h="1" sd="1" x="264"/>
        <item t="data" h="1" sd="1" x="212"/>
        <item t="data" h="1" sd="1" x="329"/>
        <item t="data" h="1" sd="1" x="368"/>
        <item t="data" h="1" sd="1" x="342"/>
        <item t="data" h="1" sd="1" x="267"/>
        <item t="data" h="1" sd="1" x="269"/>
        <item t="data" h="1" sd="1" x="254"/>
        <item t="data" h="1" sd="1" x="52"/>
        <item t="data" h="1" sd="1" x="188"/>
        <item t="data" h="1" sd="1" x="260"/>
        <item t="data" h="1" sd="1" x="343"/>
        <item t="data" h="1" sd="1" x="200"/>
        <item t="data" h="1" sd="1" x="353"/>
        <item t="data" h="1" sd="1" x="205"/>
        <item t="data" h="1" sd="1" x="182"/>
        <item t="data" h="1" sd="1" x="383"/>
        <item t="data" h="1" sd="1" x="23"/>
        <item t="data" h="1" sd="1" x="294"/>
        <item t="data" h="1" sd="1" x="239"/>
        <item t="data" h="1" sd="1" x="116"/>
        <item t="data" h="1" sd="1" x="310"/>
        <item t="data" h="1" sd="1" x="146"/>
        <item t="data" h="1" sd="1" x="6"/>
        <item t="data" h="1" sd="1" x="72"/>
        <item t="data" h="1" sd="1" x="65"/>
        <item t="data" h="1" sd="1" x="336"/>
        <item t="data" h="1" sd="1" x="131"/>
        <item t="data" h="1" sd="1" x="248"/>
        <item t="data" h="1" sd="1" x="236"/>
        <item t="data" h="1" sd="1" x="161"/>
        <item t="data" h="1" sd="1" x="92"/>
        <item t="data" h="1" sd="1" x="113"/>
        <item t="data" h="1" sd="1" x="138"/>
        <item t="data" h="1" sd="1" x="53"/>
        <item t="data" h="1" sd="1" x="257"/>
        <item t="data" h="1" sd="1" x="231"/>
        <item t="data" h="1" sd="1" x="180"/>
        <item t="data" h="1" sd="1" x="277"/>
        <item t="data" h="1" sd="1" x="127"/>
        <item t="data" h="1" sd="1" x="372"/>
        <item t="data" h="1" sd="1" x="4"/>
        <item t="data" h="1" sd="1" x="45"/>
        <item t="data" h="1" sd="1" x="82"/>
        <item t="data" h="1" sd="1" x="165"/>
        <item t="data" h="1" sd="1" x="198"/>
        <item t="data" h="1" sd="1" x="256"/>
        <item t="data" h="1" sd="1" x="192"/>
        <item t="data" h="1" sd="1" x="2"/>
        <item t="data" h="1" sd="1" x="103"/>
        <item t="data" h="1" sd="1" x="86"/>
        <item t="data" h="1" sd="1" x="111"/>
        <item t="data" h="1" sd="1" x="209"/>
        <item t="data" h="1" sd="1" x="112"/>
        <item t="data" h="1" sd="1" x="106"/>
        <item t="data" h="1" sd="1" x="266"/>
        <item t="data" h="1" sd="1" x="387"/>
        <item t="data" h="1" sd="1" x="190"/>
        <item t="data" h="1" sd="1" x="255"/>
        <item t="data" h="1" sd="1" x="88"/>
        <item t="data" h="1" sd="1" x="46"/>
        <item t="data" h="1" sd="1" x="153"/>
        <item t="data" h="1" sd="1" x="334"/>
        <item t="data" h="1" sd="1" x="193"/>
        <item t="data" h="1" sd="1" x="196"/>
        <item t="data" h="1" sd="1" x="263"/>
        <item t="data" h="1" sd="1" x="230"/>
        <item t="data" h="1" sd="1" x="12"/>
        <item t="data" h="1" sd="1" x="295"/>
        <item t="data" h="1" sd="1" x="75"/>
        <item t="data" h="1" sd="1" x="355"/>
        <item t="data" h="1" sd="1" x="331"/>
        <item t="data" h="1" sd="1" x="392"/>
        <item t="data" h="1" sd="1" x="287"/>
        <item t="data" h="1" sd="1" x="333"/>
        <item t="data" h="1" sd="1" x="240"/>
        <item t="data" h="1" sd="1" x="155"/>
        <item t="data" h="1" sd="1" x="29"/>
        <item t="data" h="1" sd="1" x="250"/>
        <item t="data" h="1" sd="1" x="172"/>
        <item t="data" h="1" sd="1" x="187"/>
        <item t="data" h="1" sd="1" x="49"/>
        <item t="data" h="1" sd="1" x="130"/>
        <item t="data" h="1" sd="1" x="55"/>
        <item t="data" h="1" sd="1" x="73"/>
        <item t="data" h="1" sd="1" x="322"/>
        <item t="data" h="1" sd="1" x="347"/>
        <item t="data" h="1" sd="1" x="307"/>
        <item t="data" h="1" sd="1" x="326"/>
        <item t="data" h="1" sd="1" x="321"/>
        <item t="data" h="1" sd="1" x="167"/>
        <item t="data" h="1" sd="1" x="251"/>
        <item t="data" h="1" sd="1" x="132"/>
        <item t="data" h="1" sd="1" x="384"/>
        <item t="data" h="1" sd="1" x="213"/>
        <item t="data" h="1" sd="1" x="202"/>
        <item t="data" h="1" sd="1" x="185"/>
        <item t="data" h="1" sd="1" x="168"/>
        <item t="data" h="1" sd="1" x="186"/>
        <item t="data" h="1" sd="1" x="303"/>
        <item t="data" h="1" sd="1" x="184"/>
        <item t="data" h="1" sd="1" x="83"/>
        <item t="data" h="1" sd="1" x="350"/>
        <item t="data" h="1" sd="1" x="59"/>
        <item t="data" h="1" sd="1" x="234"/>
        <item t="data" h="1" sd="1" x="42"/>
        <item t="data" h="1" sd="1" x="143"/>
        <item t="data" h="1" sd="1" x="30"/>
        <item t="data" h="1" sd="1" x="121"/>
        <item t="data" h="1" sd="1" x="258"/>
        <item t="data" h="1" sd="1" x="91"/>
        <item t="data" h="1" sd="1" x="301"/>
        <item t="data" h="1" sd="1" x="21"/>
        <item t="data" h="1" sd="1" x="58"/>
        <item t="data" h="1" sd="1" x="9"/>
        <item t="data" h="1" sd="1" x="160"/>
        <item t="data" h="1" sd="1" x="38"/>
        <item t="data" h="1" sd="1" x="225"/>
        <item t="data" h="1" sd="1" x="39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4"/>
  </rowFields>
  <rowItems count="5">
    <i t="data" r="0" i="0">
      <x v="45"/>
    </i>
    <i t="data" r="0" i="0">
      <x v="46"/>
    </i>
    <i t="data" r="0" i="0">
      <x v="47"/>
    </i>
    <i t="data" r="0" i="0">
      <x v="257"/>
    </i>
    <i t="grand" r="0" i="0">
      <x v="0"/>
    </i>
  </rowItems>
  <colFields count="1">
    <field x="1"/>
  </colFields>
  <colItems count="5">
    <i t="data" r="0" i="0">
      <x v="6"/>
    </i>
    <i t="data" r="0" i="0">
      <x v="7"/>
    </i>
    <i t="data" r="0" i="0">
      <x v="10"/>
    </i>
    <i t="data" r="0" i="0">
      <x v="17"/>
    </i>
    <i t="grand" r="0" i="0">
      <x v="0"/>
    </i>
  </colItems>
  <dataFields count="1">
    <dataField name="Sum of m" fld="7" subtotal="sum" showDataAs="normal" baseField="4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5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J185" firstHeaderRow="1" firstDataRow="2" firstDataCol="1"/>
  <pivotFields count="9">
    <pivotField showDropDowns="1" compact="1" numFmtId="14" outline="1" subtotalTop="1" dragToRow="1" dragToCol="1" dragToPage="1" dragToData="1" dragOff="1" showAll="0" topAutoShow="1" itemPageCount="10" sortType="manual" defaultSubtotal="1"/>
    <pivotField axis="axisCol" showDropDowns="1" compact="1" numFmtId="14" outline="1" subtotalTop="1" dragToRow="1" dragToCol="1" dragToPage="1" dragToData="1" dragOff="1" showAll="0" topAutoShow="1" itemPageCount="10" sortType="manual" defaultSubtotal="1">
      <items count="9"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x="114"/>
        <item t="data" sd="1" x="170"/>
        <item t="data" sd="1" x="168"/>
        <item t="data" sd="1" x="69"/>
        <item t="data" sd="1" x="63"/>
        <item t="data" sd="1" x="179"/>
        <item t="data" sd="1" x="80"/>
        <item t="data" sd="1" x="36"/>
        <item t="data" sd="1" x="72"/>
        <item t="data" sd="1" x="176"/>
        <item t="data" sd="1" x="103"/>
        <item t="data" sd="1" x="41"/>
        <item t="data" sd="1" x="67"/>
        <item t="data" sd="1" x="100"/>
        <item t="data" sd="1" x="163"/>
        <item t="data" sd="1" x="86"/>
        <item t="data" sd="1" x="29"/>
        <item t="data" sd="1" x="126"/>
        <item t="data" sd="1" x="23"/>
        <item t="data" sd="1" x="73"/>
        <item t="data" sd="1" x="31"/>
        <item t="data" sd="1" x="15"/>
        <item t="data" sd="1" x="178"/>
        <item t="data" sd="1" x="12"/>
        <item t="data" sd="1" x="153"/>
        <item t="data" sd="1" x="17"/>
        <item t="data" sd="1" x="140"/>
        <item t="data" sd="1" x="155"/>
        <item t="data" sd="1" x="137"/>
        <item t="data" sd="1" x="148"/>
        <item t="data" sd="1" x="48"/>
        <item t="data" sd="1" x="37"/>
        <item t="data" sd="1" x="43"/>
        <item t="data" sd="1" x="125"/>
        <item t="data" sd="1" x="135"/>
        <item t="data" sd="1" x="92"/>
        <item t="data" sd="1" x="32"/>
        <item t="data" sd="1" x="85"/>
        <item t="data" sd="1" x="161"/>
        <item t="data" sd="1" x="10"/>
        <item t="data" sd="1" x="24"/>
        <item t="data" sd="1" x="108"/>
        <item t="data" sd="1" x="65"/>
        <item t="data" sd="1" x="142"/>
        <item t="data" sd="1" x="20"/>
        <item t="data" sd="1" x="143"/>
        <item t="data" sd="1" x="70"/>
        <item t="data" sd="1" x="145"/>
        <item t="data" sd="1" x="57"/>
        <item t="data" sd="1" x="107"/>
        <item t="data" sd="1" x="7"/>
        <item t="data" sd="1" x="134"/>
        <item t="data" sd="1" x="54"/>
        <item t="data" sd="1" x="87"/>
        <item t="data" sd="1" x="30"/>
        <item t="data" sd="1" x="39"/>
        <item t="data" sd="1" x="76"/>
        <item t="data" sd="1" x="129"/>
        <item t="data" sd="1" x="124"/>
        <item t="data" sd="1" x="120"/>
        <item t="data" sd="1" x="3"/>
        <item t="data" sd="1" x="47"/>
        <item t="data" sd="1" x="75"/>
        <item t="data" sd="1" x="110"/>
        <item t="data" sd="1" x="33"/>
        <item t="data" sd="1" x="38"/>
        <item t="data" sd="1" x="115"/>
        <item t="data" sd="1" x="89"/>
        <item t="data" sd="1" x="147"/>
        <item t="data" sd="1" x="79"/>
        <item t="data" sd="1" x="97"/>
        <item t="data" sd="1" x="77"/>
        <item t="data" sd="1" x="55"/>
        <item t="data" sd="1" x="61"/>
        <item t="data" sd="1" x="111"/>
        <item t="data" sd="1" x="98"/>
        <item t="data" sd="1" x="144"/>
        <item t="data" sd="1" x="82"/>
        <item t="data" sd="1" x="132"/>
        <item t="data" sd="1" x="133"/>
        <item t="data" sd="1" x="83"/>
        <item t="data" sd="1" x="159"/>
        <item t="data" sd="1" x="117"/>
        <item t="data" sd="1" x="53"/>
        <item t="data" sd="1" x="51"/>
        <item t="data" sd="1" x="174"/>
        <item t="data" sd="1" x="171"/>
        <item t="data" sd="1" x="1"/>
        <item t="data" sd="1" x="104"/>
        <item t="data" sd="1" x="99"/>
        <item t="data" sd="1" x="152"/>
        <item t="data" sd="1" x="173"/>
        <item t="data" sd="1" x="172"/>
        <item t="data" sd="1" x="78"/>
        <item t="data" sd="1" x="175"/>
        <item t="data" sd="1" x="169"/>
        <item t="data" sd="1" x="106"/>
        <item t="data" sd="1" x="21"/>
        <item t="data" sd="1" x="121"/>
        <item t="data" sd="1" x="91"/>
        <item t="data" sd="1" x="22"/>
        <item t="data" sd="1" x="16"/>
        <item t="data" sd="1" x="101"/>
        <item t="data" sd="1" x="102"/>
        <item t="data" sd="1" x="160"/>
        <item t="data" sd="1" x="66"/>
        <item t="data" sd="1" x="25"/>
        <item t="data" sd="1" x="96"/>
        <item t="data" sd="1" x="154"/>
        <item t="data" sd="1" x="131"/>
        <item t="data" sd="1" x="28"/>
        <item t="data" sd="1" x="156"/>
        <item t="data" sd="1" x="158"/>
        <item t="data" sd="1" x="56"/>
        <item t="data" sd="1" x="151"/>
        <item t="data" sd="1" x="112"/>
        <item t="data" sd="1" x="71"/>
        <item t="data" sd="1" x="157"/>
        <item t="data" sd="1" x="93"/>
        <item t="data" sd="1" x="35"/>
        <item t="data" sd="1" x="164"/>
        <item t="data" sd="1" x="64"/>
        <item t="data" sd="1" x="127"/>
        <item t="data" sd="1" x="130"/>
        <item t="data" sd="1" x="150"/>
        <item t="data" sd="1" x="59"/>
        <item t="data" sd="1" x="42"/>
        <item t="data" sd="1" x="58"/>
        <item t="data" sd="1" x="90"/>
        <item t="data" sd="1" x="84"/>
        <item t="data" sd="1" x="94"/>
        <item t="data" sd="1" x="52"/>
        <item t="data" sd="1" x="81"/>
        <item t="data" sd="1" x="88"/>
        <item t="data" sd="1" x="46"/>
        <item t="data" sd="1" x="138"/>
        <item t="data" sd="1" x="113"/>
        <item t="data" sd="1" x="141"/>
        <item t="data" sd="1" x="139"/>
        <item t="data" sd="1" x="162"/>
        <item t="data" sd="1" x="44"/>
        <item t="data" sd="1" x="136"/>
        <item t="data" sd="1" x="0"/>
        <item t="data" sd="1" x="123"/>
        <item t="data" sd="1" x="19"/>
        <item t="data" sd="1" x="166"/>
        <item t="data" sd="1" x="122"/>
        <item t="data" sd="1" x="26"/>
        <item t="data" sd="1" x="60"/>
        <item t="data" sd="1" x="11"/>
        <item t="data" sd="1" x="45"/>
        <item t="data" sd="1" x="62"/>
        <item t="data" sd="1" x="109"/>
        <item t="data" sd="1" x="119"/>
        <item t="data" sd="1" x="128"/>
        <item t="data" sd="1" x="118"/>
        <item t="data" sd="1" x="149"/>
        <item t="data" sd="1" x="18"/>
        <item t="data" sd="1" x="116"/>
        <item t="data" sd="1" x="74"/>
        <item t="data" sd="1" x="167"/>
        <item t="data" sd="1" x="13"/>
        <item t="data" sd="1" x="6"/>
        <item t="data" sd="1" x="34"/>
        <item t="data" sd="1" x="5"/>
        <item t="data" sd="1" x="105"/>
        <item t="data" sd="1" x="40"/>
        <item t="data" sd="1" x="146"/>
        <item t="data" sd="1" x="68"/>
        <item t="data" sd="1" x="165"/>
        <item t="data" sd="1" x="49"/>
        <item t="data" sd="1" x="9"/>
        <item t="data" sd="1" x="95"/>
        <item t="data" sd="1" x="14"/>
        <item t="data" sd="1" x="50"/>
        <item t="data" sd="1" x="4"/>
        <item t="data" sd="1" x="2"/>
        <item t="data" sd="1" x="8"/>
        <item t="data" sd="1" x="27"/>
        <item t="data" sd="1" x="17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4"/>
  </rowFields>
  <rowItems count="181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grand" r="0" i="0">
      <x v="0"/>
    </i>
  </rowItems>
  <colFields count="1">
    <field x="1"/>
  </colFields>
  <colItems count="9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grand" r="0" i="0">
      <x v="0"/>
    </i>
  </colItems>
  <dataFields count="1">
    <dataField name="Sum of m" fld="7" subtotal="sum" showDataAs="normal" baseField="4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 /><Relationship Type="http://schemas.openxmlformats.org/officeDocument/2006/relationships/vmlDrawing" Target="/xl/drawings/vmlDrawing14.vml" Id="anysvml" 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 /><Relationship Type="http://schemas.openxmlformats.org/officeDocument/2006/relationships/vmlDrawing" Target="/xl/drawings/vmlDrawing15.vml" Id="anysvml" 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 /><Relationship Type="http://schemas.openxmlformats.org/officeDocument/2006/relationships/vmlDrawing" Target="/xl/drawings/vmlDrawing1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 /><Relationship Type="http://schemas.openxmlformats.org/officeDocument/2006/relationships/vmlDrawing" Target="/xl/drawings/vmlDrawing1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 /><Relationship Type="http://schemas.openxmlformats.org/officeDocument/2006/relationships/vmlDrawing" Target="/xl/drawings/vmlDrawing1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 /><Relationship Type="http://schemas.openxmlformats.org/officeDocument/2006/relationships/vmlDrawing" Target="/xl/drawings/vmlDrawing1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 /><Relationship Type="http://schemas.openxmlformats.org/officeDocument/2006/relationships/vmlDrawing" Target="/xl/drawings/vmlDrawing2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 /><Relationship Type="http://schemas.openxmlformats.org/officeDocument/2006/relationships/vmlDrawing" Target="/xl/drawings/vmlDrawing2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 /><Relationship Type="http://schemas.openxmlformats.org/officeDocument/2006/relationships/vmlDrawing" Target="/xl/drawings/vmlDrawing2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 /><Relationship Type="http://schemas.openxmlformats.org/officeDocument/2006/relationships/vmlDrawing" Target="/xl/drawings/vmlDrawing23.vml" Id="anysvml" 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 /><Relationship Type="http://schemas.openxmlformats.org/officeDocument/2006/relationships/vmlDrawing" Target="/xl/drawings/vmlDrawing24.vml" Id="anysvml" 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 /><Relationship Type="http://schemas.openxmlformats.org/officeDocument/2006/relationships/vmlDrawing" Target="/xl/drawings/vmlDrawing25.vml" Id="anysvml" 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6.xml" Id="comments" /><Relationship Type="http://schemas.openxmlformats.org/officeDocument/2006/relationships/vmlDrawing" Target="/xl/drawings/vmlDrawing26.vml" Id="anysvml" 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7.xml" Id="comments" /><Relationship Type="http://schemas.openxmlformats.org/officeDocument/2006/relationships/vmlDrawing" Target="/xl/drawings/vmlDrawing27.vml" Id="anysvml" 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8.xml" Id="comments" /><Relationship Type="http://schemas.openxmlformats.org/officeDocument/2006/relationships/vmlDrawing" Target="/xl/drawings/vmlDrawing28.vml" Id="anysvml" 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29.xml" Id="comments" /><Relationship Type="http://schemas.openxmlformats.org/officeDocument/2006/relationships/vmlDrawing" Target="/xl/drawings/vmlDrawing29.vml" Id="anysvml" 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0.xml" Id="comments" /><Relationship Type="http://schemas.openxmlformats.org/officeDocument/2006/relationships/vmlDrawing" Target="/xl/drawings/vmlDrawing30.vml" Id="anysvml" /></Relationships>
</file>

<file path=xl/worksheets/_rels/sheet36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38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4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I593"/>
  <sheetViews>
    <sheetView topLeftCell="A197" zoomScale="55" zoomScaleNormal="55" workbookViewId="0">
      <selection activeCell="A228" sqref="A228:XFD249"/>
    </sheetView>
  </sheetViews>
  <sheetFormatPr baseColWidth="8" defaultRowHeight="15"/>
  <cols>
    <col width="40.42578125" bestFit="1" customWidth="1" min="1" max="1"/>
    <col width="13.140625" bestFit="1" customWidth="1" min="2" max="26"/>
    <col width="13.5703125" bestFit="1" customWidth="1" min="27" max="30"/>
    <col width="16.5703125" bestFit="1" customWidth="1" min="31" max="31"/>
    <col width="13.5703125" bestFit="1" customWidth="1" min="32" max="32"/>
    <col width="16.5703125" bestFit="1" customWidth="1" min="33" max="33"/>
    <col width="14.28515625" customWidth="1" min="34" max="34"/>
  </cols>
  <sheetData>
    <row r="1">
      <c r="A1" s="1" t="n"/>
      <c r="B1" s="2" t="inlineStr">
        <is>
          <t>July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Saturday</t>
        </is>
      </c>
      <c r="C2" s="2" t="inlineStr">
        <is>
          <t>Sunday</t>
        </is>
      </c>
      <c r="D2" s="2" t="inlineStr">
        <is>
          <t>Monday</t>
        </is>
      </c>
      <c r="E2" s="2" t="inlineStr">
        <is>
          <t>Tuesday</t>
        </is>
      </c>
      <c r="F2" s="2" t="inlineStr">
        <is>
          <t>Wednesday</t>
        </is>
      </c>
      <c r="G2" s="2" t="inlineStr">
        <is>
          <t>Thursday</t>
        </is>
      </c>
      <c r="H2" s="2" t="inlineStr">
        <is>
          <t>Friday</t>
        </is>
      </c>
      <c r="I2" s="2" t="inlineStr">
        <is>
          <t>Saturday</t>
        </is>
      </c>
      <c r="J2" s="2" t="inlineStr">
        <is>
          <t>Sunday</t>
        </is>
      </c>
      <c r="K2" s="2" t="inlineStr">
        <is>
          <t>Monday</t>
        </is>
      </c>
      <c r="L2" s="2" t="inlineStr">
        <is>
          <t>Tuesday</t>
        </is>
      </c>
      <c r="M2" s="2" t="inlineStr">
        <is>
          <t>Wednesday</t>
        </is>
      </c>
      <c r="N2" s="2" t="inlineStr">
        <is>
          <t>Thursday</t>
        </is>
      </c>
      <c r="O2" s="2" t="inlineStr">
        <is>
          <t>Friday</t>
        </is>
      </c>
      <c r="P2" s="2" t="inlineStr">
        <is>
          <t>Saturday</t>
        </is>
      </c>
      <c r="Q2" s="2" t="inlineStr">
        <is>
          <t>Sunday</t>
        </is>
      </c>
      <c r="R2" s="2" t="inlineStr">
        <is>
          <t>Monday</t>
        </is>
      </c>
      <c r="S2" s="2" t="inlineStr">
        <is>
          <t>Tuesday</t>
        </is>
      </c>
      <c r="T2" s="2" t="inlineStr">
        <is>
          <t>Wednesday</t>
        </is>
      </c>
      <c r="U2" s="2" t="inlineStr">
        <is>
          <t>Thursday</t>
        </is>
      </c>
      <c r="V2" s="2" t="inlineStr">
        <is>
          <t>Friday</t>
        </is>
      </c>
      <c r="W2" s="2" t="inlineStr">
        <is>
          <t>Saturday</t>
        </is>
      </c>
      <c r="X2" s="2" t="inlineStr">
        <is>
          <t>Sunday</t>
        </is>
      </c>
      <c r="Y2" s="2" t="inlineStr">
        <is>
          <t>Monday</t>
        </is>
      </c>
      <c r="Z2" s="2" t="inlineStr">
        <is>
          <t>Tuesday</t>
        </is>
      </c>
      <c r="AA2" s="2" t="inlineStr">
        <is>
          <t>Wednesday</t>
        </is>
      </c>
      <c r="AB2" s="2" t="inlineStr">
        <is>
          <t>Thursday</t>
        </is>
      </c>
      <c r="AC2" s="2" t="inlineStr">
        <is>
          <t>Friday</t>
        </is>
      </c>
      <c r="AD2" s="2" t="inlineStr">
        <is>
          <t>Saturday</t>
        </is>
      </c>
      <c r="AE2" s="2" t="inlineStr">
        <is>
          <t>Sunday</t>
        </is>
      </c>
      <c r="AF2" s="2" t="inlineStr">
        <is>
          <t>Monday</t>
        </is>
      </c>
      <c r="AG2" s="2" t="n"/>
      <c r="AH2" t="inlineStr">
        <is>
          <t>Total</t>
        </is>
      </c>
    </row>
    <row r="3">
      <c r="A3" s="1" t="n"/>
      <c r="B3" s="3" t="inlineStr">
        <is>
          <t>1st</t>
        </is>
      </c>
      <c r="C3" s="3" t="inlineStr">
        <is>
          <t>2nd</t>
        </is>
      </c>
      <c r="D3" s="4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5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6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7" t="inlineStr">
        <is>
          <t>24th</t>
        </is>
      </c>
      <c r="Z3" s="7" t="inlineStr">
        <is>
          <t>25th</t>
        </is>
      </c>
      <c r="AA3" s="7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3" t="n">
        <v>31</v>
      </c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9" t="n"/>
      <c r="E4" s="9" t="n"/>
      <c r="F4" s="9" t="n"/>
      <c r="H4" s="12" t="n"/>
      <c r="I4" s="12" t="n"/>
      <c r="J4" s="12" t="n"/>
      <c r="K4" s="12" t="n"/>
      <c r="L4" s="12" t="n"/>
      <c r="M4" s="12" t="n"/>
      <c r="N4" s="10" t="n"/>
      <c r="P4" s="12" t="n"/>
      <c r="Q4" s="9" t="n"/>
      <c r="R4" t="n">
        <v>64186.4</v>
      </c>
      <c r="S4" s="9" t="n"/>
      <c r="T4" s="12" t="n"/>
      <c r="U4" s="9" t="n"/>
      <c r="V4" s="12" t="n"/>
      <c r="W4" s="12" t="n"/>
      <c r="X4" s="10" t="n"/>
      <c r="Y4" s="11" t="n"/>
      <c r="Z4" s="9" t="n"/>
      <c r="AA4" s="12" t="n">
        <v>6261.64</v>
      </c>
      <c r="AB4" s="9" t="n"/>
      <c r="AC4" s="9" t="n"/>
      <c r="AD4" s="9" t="n"/>
      <c r="AE4" s="9" t="n"/>
      <c r="AF4" s="9" t="n"/>
      <c r="AG4" s="13" t="n"/>
      <c r="AH4" t="n">
        <v>70448.04000000001</v>
      </c>
    </row>
    <row r="5" ht="18.75" customHeight="1">
      <c r="A5" s="8" t="inlineStr">
        <is>
          <t>Accord/Age uk</t>
        </is>
      </c>
      <c r="B5" s="9" t="n"/>
      <c r="C5" s="9" t="n"/>
      <c r="D5" s="9" t="n"/>
      <c r="E5" s="9" t="n"/>
      <c r="F5" s="9" t="n"/>
      <c r="H5" s="12" t="n"/>
      <c r="I5" s="12" t="n"/>
      <c r="J5" s="12" t="n"/>
      <c r="K5" s="12" t="n"/>
      <c r="L5" s="12" t="n"/>
      <c r="M5" s="12" t="n"/>
      <c r="O5" s="9" t="n"/>
      <c r="P5" s="11" t="n"/>
      <c r="Q5" s="9" t="n"/>
      <c r="S5" s="9" t="n"/>
      <c r="T5" s="12" t="n"/>
      <c r="U5" s="11" t="n"/>
      <c r="V5" s="12" t="n"/>
      <c r="W5" s="11" t="n"/>
      <c r="X5" s="9" t="n"/>
      <c r="Y5" s="12" t="n">
        <v>16324.84</v>
      </c>
      <c r="Z5" s="9" t="n"/>
      <c r="AA5" s="12" t="n"/>
      <c r="AB5" s="9" t="n"/>
      <c r="AC5" s="9" t="n"/>
      <c r="AD5" s="9" t="n"/>
      <c r="AE5" s="9" t="n"/>
      <c r="AF5" s="9" t="n"/>
      <c r="AG5" s="13" t="n"/>
      <c r="AH5" t="n">
        <v>16324.84</v>
      </c>
    </row>
    <row r="6" ht="15.75" customHeight="1">
      <c r="A6" s="8" t="inlineStr">
        <is>
          <t>Buckingham</t>
        </is>
      </c>
      <c r="B6" s="9" t="n"/>
      <c r="C6" s="9" t="n"/>
      <c r="D6" s="9" t="n"/>
      <c r="E6" s="9" t="n"/>
      <c r="F6" s="9" t="n"/>
      <c r="G6" s="9" t="n"/>
      <c r="H6" t="n">
        <v>4937.64</v>
      </c>
      <c r="I6" s="9" t="n"/>
      <c r="J6" s="9" t="n"/>
      <c r="K6" s="9" t="n"/>
      <c r="L6" s="9" t="n"/>
      <c r="M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 t="n"/>
      <c r="AH6" t="n">
        <v>4937.64</v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t="n">
        <v>14688</v>
      </c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U7" s="9" t="n"/>
      <c r="V7" t="n">
        <v>13627.2</v>
      </c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/>
      <c r="AG7" s="13" t="n"/>
      <c r="AH7" t="n">
        <v>28315.2</v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/>
      <c r="AG8" s="13" t="n"/>
      <c r="AH8" t="n">
        <v>0</v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t="n">
        <v>15555.2</v>
      </c>
      <c r="F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/>
      <c r="AG9" s="13" t="n"/>
      <c r="AH9" t="n">
        <v>15555.2</v>
      </c>
    </row>
    <row r="10" ht="18.75" customHeight="1">
      <c r="A10" s="8" t="inlineStr">
        <is>
          <t>Ideal for All Ltd</t>
        </is>
      </c>
      <c r="B10" s="9" t="n"/>
      <c r="C10" s="9" t="n"/>
      <c r="D10" s="9" t="n"/>
      <c r="E10" s="9" t="n"/>
      <c r="F10" s="9" t="n"/>
      <c r="H10" s="9" t="n"/>
      <c r="I10" s="9" t="n"/>
      <c r="J10" s="9" t="n"/>
      <c r="K10" s="9" t="n"/>
      <c r="L10" s="9" t="n"/>
      <c r="M10" s="9" t="n"/>
      <c r="N10" t="n">
        <v>2108.6</v>
      </c>
      <c r="P10" s="11" t="n"/>
      <c r="Q10" s="9" t="n"/>
      <c r="R10" s="12" t="n"/>
      <c r="S10" s="11" t="n"/>
      <c r="T10" s="12" t="n"/>
      <c r="V10" t="n">
        <v>2516.8</v>
      </c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 t="n"/>
      <c r="AH10" t="n">
        <v>4625.4</v>
      </c>
    </row>
    <row r="11" ht="15.75" customHeight="1">
      <c r="A11" s="8" t="inlineStr">
        <is>
          <t>KIRKLEES COUNCIL-204312-63046958</t>
        </is>
      </c>
      <c r="B11" s="9" t="n"/>
      <c r="C11" s="9" t="n"/>
      <c r="D11" s="9" t="n"/>
      <c r="E11" s="9" t="n"/>
      <c r="F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T11" s="9" t="n"/>
      <c r="U11" s="9" t="n"/>
      <c r="W11" s="9" t="n"/>
      <c r="X11" s="9" t="n"/>
      <c r="Y11" s="9" t="n"/>
      <c r="Z11" s="9" t="n"/>
      <c r="AA11" s="12" t="n">
        <v>5554.89</v>
      </c>
      <c r="AB11" s="9" t="n"/>
      <c r="AC11" s="9" t="n"/>
      <c r="AD11" s="9" t="n"/>
      <c r="AE11" s="9" t="n"/>
      <c r="AF11" s="12" t="n"/>
      <c r="AG11" s="13" t="n"/>
      <c r="AH11" t="n">
        <v>5554.89</v>
      </c>
    </row>
    <row r="12" ht="15.75" customHeight="1">
      <c r="A12" s="8" t="inlineStr">
        <is>
          <t>LBH PAYMENTS BACS-602210-72430192</t>
        </is>
      </c>
      <c r="B12" s="9" t="n"/>
      <c r="C12" s="9" t="n"/>
      <c r="D12" s="9" t="n"/>
      <c r="E12" s="9" t="n"/>
      <c r="F12" s="9" t="n"/>
      <c r="H12" s="9" t="n"/>
      <c r="I12" s="9" t="n"/>
      <c r="J12" s="9" t="n"/>
      <c r="K12" s="9" t="n"/>
      <c r="L12" s="9" t="n"/>
      <c r="M12" s="9" t="n"/>
      <c r="N12" t="n">
        <v>5040</v>
      </c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 t="n"/>
      <c r="AH12" t="n">
        <v>5040</v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E13" s="9" t="n"/>
      <c r="F13" s="9" t="n"/>
      <c r="H13" s="9" t="n"/>
      <c r="I13" s="9" t="n"/>
      <c r="J13" s="9" t="n"/>
      <c r="K13" s="9" t="n"/>
      <c r="L13" s="9" t="n"/>
      <c r="M13" s="9" t="n"/>
      <c r="N13" s="9" t="n"/>
      <c r="O13" t="n">
        <v>14224.01</v>
      </c>
      <c r="P13" s="9" t="n"/>
      <c r="Q13" s="9" t="n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 t="n"/>
      <c r="AH13" t="n">
        <v>14224.01</v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E14" t="n">
        <v>1413.72</v>
      </c>
      <c r="F14" s="9" t="n"/>
      <c r="H14" s="9" t="n"/>
      <c r="I14" s="9" t="n"/>
      <c r="J14" s="9" t="n"/>
      <c r="K14" s="9" t="n"/>
      <c r="L14" t="n">
        <v>13625.17</v>
      </c>
      <c r="M14" s="9" t="n"/>
      <c r="N14" s="12" t="n"/>
      <c r="O14" s="9" t="n"/>
      <c r="P14" s="9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t="n">
        <v>8073.21</v>
      </c>
      <c r="AG14" s="13" t="n"/>
      <c r="AH14" t="n">
        <v>23112.1</v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E15" s="9" t="n"/>
      <c r="F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>
        <v>3685.52</v>
      </c>
      <c r="Z15" s="9" t="n"/>
      <c r="AA15" s="9" t="n"/>
      <c r="AB15" s="9" t="n"/>
      <c r="AC15" s="9" t="n"/>
      <c r="AD15" s="9" t="n"/>
      <c r="AE15" s="9" t="n"/>
      <c r="AF15" s="9" t="n"/>
      <c r="AG15" s="13" t="n"/>
      <c r="AH15" t="n">
        <v>3685.52</v>
      </c>
    </row>
    <row r="16" ht="15.75" customHeight="1">
      <c r="A16" s="14" t="inlineStr">
        <is>
          <t>SANDWELL MBC-601539-69624135</t>
        </is>
      </c>
      <c r="B16" s="9" t="n"/>
      <c r="C16" s="9" t="n"/>
      <c r="D16" s="9" t="n"/>
      <c r="E16" s="9" t="n"/>
      <c r="F16" s="9" t="n"/>
      <c r="H16" s="9" t="n"/>
      <c r="I16" s="9" t="n"/>
      <c r="J16" s="9" t="n"/>
      <c r="K16" t="n">
        <v>117411.63</v>
      </c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  <c r="V16" s="9" t="n"/>
      <c r="W16" s="9" t="n"/>
      <c r="X16" s="9" t="n"/>
      <c r="Y16" s="9" t="n">
        <v>117902.44</v>
      </c>
      <c r="Z16" s="9" t="n"/>
      <c r="AA16" s="9" t="n"/>
      <c r="AB16" s="9" t="n"/>
      <c r="AC16" s="9" t="n"/>
      <c r="AD16" s="9" t="n"/>
      <c r="AE16" s="9" t="n"/>
      <c r="AF16" s="9" t="n"/>
      <c r="AG16" s="13" t="n"/>
      <c r="AH16" t="n">
        <v>235314.07</v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9" t="n"/>
      <c r="F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31" t="n">
        <v>30000.6</v>
      </c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 t="n"/>
      <c r="AH17" t="n">
        <v>30000.6</v>
      </c>
    </row>
    <row r="18" ht="15.75" customHeight="1">
      <c r="A18" s="15" t="inlineStr">
        <is>
          <t>WALSALL COUNCIL AL-209073-20503495</t>
        </is>
      </c>
      <c r="B18" s="9" t="n"/>
      <c r="C18" s="9" t="n"/>
      <c r="D18" s="9" t="n"/>
      <c r="E18" s="9" t="n"/>
      <c r="F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E18" s="9" t="n"/>
      <c r="AF18" s="12" t="n"/>
      <c r="AG18" s="13" t="n"/>
      <c r="AH18" t="n">
        <v>0</v>
      </c>
    </row>
    <row r="19" ht="15.75" customHeight="1">
      <c r="A19" s="15" t="inlineStr">
        <is>
          <t>WALSALL MBC BARC-209073-10731692</t>
        </is>
      </c>
      <c r="B19" s="9" t="n"/>
      <c r="C19" s="9" t="n"/>
      <c r="D19" s="9" t="n"/>
      <c r="E19" t="n">
        <v>163536.92</v>
      </c>
      <c r="F19" s="9" t="n"/>
      <c r="H19" s="9" t="n"/>
      <c r="I19" s="9" t="n"/>
      <c r="J19" s="9" t="n"/>
      <c r="K19" s="9" t="n"/>
      <c r="L19" s="9" t="n"/>
      <c r="M19" s="9" t="n"/>
      <c r="N19" s="9" t="n"/>
      <c r="O19" t="n">
        <v>3030.53</v>
      </c>
      <c r="P19" s="9" t="n"/>
      <c r="Q19" s="9" t="n"/>
      <c r="R19" s="9" t="n"/>
      <c r="S19" s="9" t="n"/>
      <c r="T19" s="9" t="n"/>
      <c r="U19" s="9" t="n"/>
      <c r="V19" s="9" t="n"/>
      <c r="W19" s="9" t="n"/>
      <c r="X19" s="9" t="n"/>
      <c r="Y19" s="9" t="n"/>
      <c r="Z19" s="9" t="n"/>
      <c r="AA19" s="9" t="n"/>
      <c r="AB19" s="9" t="n"/>
      <c r="AC19" s="9" t="n"/>
      <c r="AD19" s="9" t="n"/>
      <c r="AE19" s="9" t="n"/>
      <c r="AF19" s="9" t="n"/>
      <c r="AG19" s="13" t="n"/>
      <c r="AH19" t="n">
        <v>166567.45</v>
      </c>
    </row>
    <row r="20" ht="15.75" customHeight="1">
      <c r="A20" s="15" t="inlineStr">
        <is>
          <t>WOLVERHAMPTON CC-560069-44470320</t>
        </is>
      </c>
      <c r="B20" s="9" t="n"/>
      <c r="C20" s="9" t="n"/>
      <c r="D20" s="9" t="n"/>
      <c r="E20" s="9" t="n"/>
      <c r="F20" s="9" t="n"/>
      <c r="G20" s="26" t="n">
        <v>104421</v>
      </c>
      <c r="H20" s="9" t="n"/>
      <c r="I20" s="9" t="n"/>
      <c r="J20" s="9" t="n"/>
      <c r="K20" s="9" t="n"/>
      <c r="L20" s="9" t="n"/>
      <c r="M20" s="9" t="n"/>
      <c r="N20" t="n">
        <v>106339.88</v>
      </c>
      <c r="O20" s="9" t="n"/>
      <c r="P20" s="9" t="n"/>
      <c r="Q20" s="9" t="n"/>
      <c r="R20" s="9" t="n"/>
      <c r="S20" s="9" t="n"/>
      <c r="T20" s="9" t="n"/>
      <c r="U20" s="26" t="n">
        <v>103267.88</v>
      </c>
      <c r="V20" s="9" t="n"/>
      <c r="W20" s="9" t="n"/>
      <c r="X20" s="9" t="n"/>
      <c r="Y20" s="9" t="n">
        <v>12147.95</v>
      </c>
      <c r="Z20" s="9" t="n"/>
      <c r="AA20" s="9" t="n"/>
      <c r="AB20" s="9" t="n">
        <v>103970.82</v>
      </c>
      <c r="AC20" s="9" t="n">
        <v>5813.76</v>
      </c>
      <c r="AD20" s="9" t="n"/>
      <c r="AE20" s="9" t="n"/>
      <c r="AF20" s="9" t="n"/>
      <c r="AG20" s="13" t="n"/>
      <c r="AH20" t="n">
        <v>435961.29</v>
      </c>
    </row>
    <row r="21" ht="15.75" customHeight="1">
      <c r="A21" s="15" t="inlineStr">
        <is>
          <t>TLC</t>
        </is>
      </c>
      <c r="B21" s="9" t="n"/>
      <c r="C21" s="9" t="n"/>
      <c r="F21" s="9" t="n"/>
      <c r="G21" s="9" t="n"/>
      <c r="H21" s="9" t="n"/>
      <c r="I21" s="9" t="n"/>
      <c r="J21" s="9" t="n"/>
      <c r="K21" t="n">
        <v>7975</v>
      </c>
      <c r="L21" s="9" t="n"/>
      <c r="M21" s="12" t="n"/>
      <c r="N21" t="n">
        <v>1220</v>
      </c>
      <c r="O21" s="12" t="n"/>
      <c r="P21" s="12" t="n"/>
      <c r="Q21" s="9" t="n"/>
      <c r="S21" s="9" t="n"/>
      <c r="T21" s="9" t="n"/>
      <c r="U21" t="n">
        <v>7460</v>
      </c>
      <c r="W21" s="9" t="n"/>
      <c r="X21" s="9" t="n"/>
      <c r="Y21" s="9" t="n">
        <v>1444.52</v>
      </c>
      <c r="Z21" s="9" t="n"/>
      <c r="AA21" s="9" t="n"/>
      <c r="AB21" s="9" t="n">
        <v>12077</v>
      </c>
      <c r="AC21" s="12" t="n"/>
      <c r="AD21" s="9" t="n"/>
      <c r="AE21" s="9" t="n"/>
      <c r="AF21" s="9" t="n"/>
      <c r="AG21" s="13" t="n"/>
      <c r="AH21" t="n">
        <v>30176.52</v>
      </c>
    </row>
    <row r="22" ht="15.75" customHeight="1">
      <c r="A22" s="15" t="inlineStr">
        <is>
          <t>HB SC</t>
        </is>
      </c>
      <c r="B22" s="16" t="n">
        <v>0</v>
      </c>
      <c r="C22" s="16" t="n">
        <v>0</v>
      </c>
      <c r="D22" s="16" t="n">
        <v>4460.05</v>
      </c>
      <c r="E22" s="16" t="n">
        <v>3153.12</v>
      </c>
      <c r="F22" s="16" t="n">
        <v>3937.58</v>
      </c>
      <c r="G22" s="16" t="n">
        <v>1241.86</v>
      </c>
      <c r="H22" s="16" t="n">
        <v>2726.43</v>
      </c>
      <c r="I22" s="16" t="n">
        <v>0</v>
      </c>
      <c r="J22" s="16" t="n">
        <v>150</v>
      </c>
      <c r="K22" s="16" t="n">
        <v>3930.88</v>
      </c>
      <c r="L22" s="16" t="n">
        <v>7572.040000000003</v>
      </c>
      <c r="M22" s="16" t="n">
        <v>2025.72</v>
      </c>
      <c r="N22" s="16" t="n">
        <v>3801.980000000002</v>
      </c>
      <c r="O22" s="16" t="n">
        <v>4960.359999999999</v>
      </c>
      <c r="P22" s="16" t="n">
        <v>645</v>
      </c>
      <c r="Q22" s="16" t="n">
        <v>0</v>
      </c>
      <c r="R22" s="16" t="n">
        <v>9485.419999999976</v>
      </c>
      <c r="S22" s="16" t="n">
        <v>1510.49</v>
      </c>
      <c r="T22" s="16" t="n">
        <v>2563.55</v>
      </c>
      <c r="U22" s="16" t="n">
        <v>459.14</v>
      </c>
      <c r="V22" s="16" t="n">
        <v>3800.38</v>
      </c>
      <c r="W22" s="16" t="n">
        <v>417.02</v>
      </c>
      <c r="X22" s="16" t="n">
        <v>150</v>
      </c>
      <c r="Y22" s="16" t="n">
        <v>6476.08</v>
      </c>
      <c r="Z22" s="16" t="n">
        <v>2306.89</v>
      </c>
      <c r="AA22" s="16" t="n">
        <v>5217.27</v>
      </c>
      <c r="AB22" s="16" t="n">
        <v>5051.38</v>
      </c>
      <c r="AC22" s="16" t="n">
        <v>40858.53</v>
      </c>
      <c r="AD22" s="16" t="n">
        <v>100</v>
      </c>
      <c r="AE22" s="16" t="n">
        <v>150</v>
      </c>
      <c r="AF22" s="16" t="n">
        <v>6984.56</v>
      </c>
      <c r="AG22" s="13" t="n"/>
      <c r="AH22" t="n">
        <v>124135.73</v>
      </c>
    </row>
    <row r="23" ht="15.75" customHeight="1" thickBot="1">
      <c r="A23" s="15" t="inlineStr">
        <is>
          <t>Total</t>
        </is>
      </c>
      <c r="B23" t="n">
        <v>0</v>
      </c>
      <c r="C23" t="n">
        <v>0</v>
      </c>
      <c r="D23" t="n">
        <v>4460.05</v>
      </c>
      <c r="E23" t="n">
        <v>183658.96</v>
      </c>
      <c r="F23" t="n">
        <v>3937.58</v>
      </c>
      <c r="G23" t="n">
        <v>105662.86</v>
      </c>
      <c r="H23" t="n">
        <v>22352.07</v>
      </c>
      <c r="I23" t="n">
        <v>0</v>
      </c>
      <c r="J23" t="n">
        <v>150</v>
      </c>
      <c r="K23" t="n">
        <v>129317.51</v>
      </c>
      <c r="L23" t="n">
        <v>21197.21</v>
      </c>
      <c r="M23" t="n">
        <v>2025.72</v>
      </c>
      <c r="N23" t="n">
        <v>118510.46</v>
      </c>
      <c r="O23" t="n">
        <v>22214.9</v>
      </c>
      <c r="P23" t="n">
        <v>645</v>
      </c>
      <c r="Q23" t="n">
        <v>0</v>
      </c>
      <c r="R23" t="n">
        <v>103672.42</v>
      </c>
      <c r="S23" t="n">
        <v>1510.49</v>
      </c>
      <c r="T23" t="n">
        <v>2563.55</v>
      </c>
      <c r="U23" t="n">
        <v>111187.02</v>
      </c>
      <c r="V23" t="n">
        <v>19944.38</v>
      </c>
      <c r="W23" t="n">
        <v>417.02</v>
      </c>
      <c r="X23" t="n">
        <v>150</v>
      </c>
      <c r="Y23" t="n">
        <v>157981.35</v>
      </c>
      <c r="Z23" t="n">
        <v>2306.89</v>
      </c>
      <c r="AA23" t="n">
        <v>17033.8</v>
      </c>
      <c r="AB23" t="n">
        <v>121099.2</v>
      </c>
      <c r="AC23" t="n">
        <v>46672.29</v>
      </c>
      <c r="AD23" t="n">
        <v>100</v>
      </c>
      <c r="AE23" t="n">
        <v>150</v>
      </c>
      <c r="AF23" t="n">
        <v>15057.77</v>
      </c>
      <c r="AH23" s="29" t="n"/>
    </row>
    <row r="24" ht="15.75" customHeight="1" thickTop="1">
      <c r="A24" s="15" t="n"/>
    </row>
    <row r="27">
      <c r="A27" s="1" t="n"/>
      <c r="B27" s="2" t="inlineStr">
        <is>
          <t>Aug</t>
        </is>
      </c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1" t="n"/>
      <c r="AF27" s="1" t="n"/>
      <c r="AG27" s="1" t="n"/>
    </row>
    <row r="28">
      <c r="A28" s="1" t="n"/>
      <c r="B28" s="2" t="inlineStr">
        <is>
          <t>Tuesday</t>
        </is>
      </c>
      <c r="C28" s="2" t="inlineStr">
        <is>
          <t>Wednesday</t>
        </is>
      </c>
      <c r="D28" s="2" t="inlineStr">
        <is>
          <t>Thursday</t>
        </is>
      </c>
      <c r="E28" s="2" t="inlineStr">
        <is>
          <t>Friday</t>
        </is>
      </c>
      <c r="F28" s="2" t="inlineStr">
        <is>
          <t>Saturday</t>
        </is>
      </c>
      <c r="G28" s="2" t="inlineStr">
        <is>
          <t>Sunday</t>
        </is>
      </c>
      <c r="H28" s="2" t="inlineStr">
        <is>
          <t>Monday</t>
        </is>
      </c>
      <c r="I28" s="2" t="inlineStr">
        <is>
          <t>Tuesday</t>
        </is>
      </c>
      <c r="J28" s="2" t="inlineStr">
        <is>
          <t>Wednesday</t>
        </is>
      </c>
      <c r="K28" s="2" t="inlineStr">
        <is>
          <t>Thursday</t>
        </is>
      </c>
      <c r="L28" s="2" t="inlineStr">
        <is>
          <t>Friday</t>
        </is>
      </c>
      <c r="M28" s="2" t="inlineStr">
        <is>
          <t>Saturday</t>
        </is>
      </c>
      <c r="N28" s="2" t="inlineStr">
        <is>
          <t>Sunday</t>
        </is>
      </c>
      <c r="O28" s="2" t="inlineStr">
        <is>
          <t>Monday</t>
        </is>
      </c>
      <c r="P28" s="2" t="inlineStr">
        <is>
          <t>Tuesday</t>
        </is>
      </c>
      <c r="Q28" s="2" t="inlineStr">
        <is>
          <t>Wednesday</t>
        </is>
      </c>
      <c r="R28" s="2" t="inlineStr">
        <is>
          <t>Thursday</t>
        </is>
      </c>
      <c r="S28" s="2" t="inlineStr">
        <is>
          <t>Friday</t>
        </is>
      </c>
      <c r="T28" s="2" t="inlineStr">
        <is>
          <t>Saturday</t>
        </is>
      </c>
      <c r="U28" s="2" t="inlineStr">
        <is>
          <t>Sunday</t>
        </is>
      </c>
      <c r="V28" s="2" t="inlineStr">
        <is>
          <t>Monday</t>
        </is>
      </c>
      <c r="W28" s="2" t="inlineStr">
        <is>
          <t>Tuesday</t>
        </is>
      </c>
      <c r="X28" s="2" t="inlineStr">
        <is>
          <t>Wednesday</t>
        </is>
      </c>
      <c r="Y28" s="2" t="inlineStr">
        <is>
          <t>Thursday</t>
        </is>
      </c>
      <c r="Z28" s="2" t="inlineStr">
        <is>
          <t>Friday</t>
        </is>
      </c>
      <c r="AA28" s="2" t="inlineStr">
        <is>
          <t>Saturday</t>
        </is>
      </c>
      <c r="AB28" s="2" t="inlineStr">
        <is>
          <t>Sunday</t>
        </is>
      </c>
      <c r="AC28" s="2" t="inlineStr">
        <is>
          <t>Monday</t>
        </is>
      </c>
      <c r="AD28" s="2" t="inlineStr">
        <is>
          <t>Tuesday</t>
        </is>
      </c>
      <c r="AE28" s="2" t="inlineStr">
        <is>
          <t>Wednesday</t>
        </is>
      </c>
      <c r="AF28" s="2" t="inlineStr">
        <is>
          <t>Thursday</t>
        </is>
      </c>
      <c r="AG28" s="2" t="inlineStr">
        <is>
          <t>Total</t>
        </is>
      </c>
    </row>
    <row r="29">
      <c r="A29" s="1" t="n"/>
      <c r="B29" s="3" t="inlineStr">
        <is>
          <t>1st</t>
        </is>
      </c>
      <c r="C29" s="3" t="inlineStr">
        <is>
          <t>2nd</t>
        </is>
      </c>
      <c r="D29" s="3" t="inlineStr">
        <is>
          <t>3rd</t>
        </is>
      </c>
      <c r="E29" s="3" t="inlineStr">
        <is>
          <t>4th</t>
        </is>
      </c>
      <c r="F29" s="3" t="inlineStr">
        <is>
          <t>5th</t>
        </is>
      </c>
      <c r="G29" s="3" t="inlineStr">
        <is>
          <t>6th</t>
        </is>
      </c>
      <c r="H29" s="4" t="inlineStr">
        <is>
          <t>7th</t>
        </is>
      </c>
      <c r="I29" s="4" t="inlineStr">
        <is>
          <t>8th</t>
        </is>
      </c>
      <c r="J29" s="4" t="inlineStr">
        <is>
          <t>9th</t>
        </is>
      </c>
      <c r="K29" s="4" t="inlineStr">
        <is>
          <t>10th</t>
        </is>
      </c>
      <c r="L29" s="4" t="inlineStr">
        <is>
          <t>11th</t>
        </is>
      </c>
      <c r="M29" s="4" t="inlineStr">
        <is>
          <t>12th</t>
        </is>
      </c>
      <c r="N29" s="4" t="inlineStr">
        <is>
          <t>13th</t>
        </is>
      </c>
      <c r="O29" s="5" t="inlineStr">
        <is>
          <t>14th</t>
        </is>
      </c>
      <c r="P29" s="5" t="inlineStr">
        <is>
          <t>15th</t>
        </is>
      </c>
      <c r="Q29" s="5" t="inlineStr">
        <is>
          <t>16th</t>
        </is>
      </c>
      <c r="R29" s="5" t="inlineStr">
        <is>
          <t>17th</t>
        </is>
      </c>
      <c r="S29" s="5" t="inlineStr">
        <is>
          <t>18th</t>
        </is>
      </c>
      <c r="T29" s="5" t="inlineStr">
        <is>
          <t>19th</t>
        </is>
      </c>
      <c r="U29" s="5" t="inlineStr">
        <is>
          <t>20th</t>
        </is>
      </c>
      <c r="V29" s="6" t="inlineStr">
        <is>
          <t>21st</t>
        </is>
      </c>
      <c r="W29" s="6" t="inlineStr">
        <is>
          <t>22nd</t>
        </is>
      </c>
      <c r="X29" s="6" t="inlineStr">
        <is>
          <t>23rd</t>
        </is>
      </c>
      <c r="Y29" s="6" t="inlineStr">
        <is>
          <t>24th</t>
        </is>
      </c>
      <c r="Z29" s="6" t="inlineStr">
        <is>
          <t>25th</t>
        </is>
      </c>
      <c r="AA29" s="6" t="inlineStr">
        <is>
          <t>26th</t>
        </is>
      </c>
      <c r="AB29" s="6" t="inlineStr">
        <is>
          <t>27th</t>
        </is>
      </c>
      <c r="AC29" s="7" t="inlineStr">
        <is>
          <t>28th</t>
        </is>
      </c>
      <c r="AD29" s="7" t="inlineStr">
        <is>
          <t>29th</t>
        </is>
      </c>
      <c r="AE29" s="7" t="inlineStr">
        <is>
          <t>30th</t>
        </is>
      </c>
      <c r="AF29" s="7" t="n">
        <v>31</v>
      </c>
      <c r="AG29" s="1" t="n"/>
    </row>
    <row r="30" ht="18.75" customHeight="1">
      <c r="A30" s="8" t="inlineStr">
        <is>
          <t>B-HAM CITY COUNCIL-200790-70489166</t>
        </is>
      </c>
      <c r="B30" s="9" t="n"/>
      <c r="C30" s="9" t="n"/>
      <c r="D30" s="9" t="n"/>
      <c r="E30" s="9" t="n"/>
      <c r="F30" s="9" t="n"/>
      <c r="G30" s="12" t="n"/>
      <c r="H30" s="12" t="n"/>
      <c r="I30" s="12" t="n"/>
      <c r="J30" s="12" t="n"/>
      <c r="K30" s="12" t="n"/>
      <c r="L30" s="12" t="n"/>
      <c r="M30" s="12" t="n"/>
      <c r="N30" s="10" t="n"/>
      <c r="O30" s="12" t="n"/>
      <c r="P30" t="n">
        <v>66705.44</v>
      </c>
      <c r="Q30" s="9" t="n"/>
      <c r="R30" s="12" t="n"/>
      <c r="S30" s="9" t="n"/>
      <c r="T30" s="12" t="n"/>
      <c r="U30" s="9" t="n"/>
      <c r="V30" s="12" t="n"/>
      <c r="W30" s="12" t="n"/>
      <c r="X30" s="10" t="n"/>
      <c r="Y30" s="11" t="n"/>
      <c r="Z30" s="9" t="n"/>
      <c r="AB30" s="9" t="n"/>
      <c r="AC30" s="9" t="n"/>
      <c r="AD30" s="9" t="n"/>
      <c r="AE30" s="9" t="n"/>
      <c r="AF30" t="n">
        <v>5041.28</v>
      </c>
      <c r="AG30" s="13">
        <f>SUM(B30:AF30)</f>
        <v/>
      </c>
    </row>
    <row r="31" ht="18.75" customHeight="1">
      <c r="A31" s="8" t="inlineStr">
        <is>
          <t>Accord/Age uk</t>
        </is>
      </c>
      <c r="B31" s="9" t="n"/>
      <c r="C31" s="9" t="n"/>
      <c r="D31" s="9" t="n"/>
      <c r="E31" s="9" t="n"/>
      <c r="F31" s="9" t="n"/>
      <c r="G31" s="12" t="n"/>
      <c r="H31" s="12" t="n"/>
      <c r="I31" s="12" t="n"/>
      <c r="J31" s="12" t="n"/>
      <c r="K31" s="12" t="n"/>
      <c r="L31" s="12" t="n"/>
      <c r="M31" s="12" t="n"/>
      <c r="N31" s="12" t="n"/>
      <c r="O31" s="9" t="n"/>
      <c r="P31" s="11" t="n"/>
      <c r="Q31" s="9" t="n"/>
      <c r="R31" s="12" t="n"/>
      <c r="S31" s="26" t="n">
        <v>2402.4</v>
      </c>
      <c r="T31" s="12" t="n"/>
      <c r="U31" s="11" t="n"/>
      <c r="V31" s="12" t="n"/>
      <c r="W31" s="11" t="n"/>
      <c r="X31" s="9" t="n"/>
      <c r="Y31" s="12" t="n"/>
      <c r="Z31" s="9" t="n"/>
      <c r="AA31" s="12" t="n"/>
      <c r="AB31" s="9" t="n"/>
      <c r="AC31" s="9" t="n"/>
      <c r="AD31" s="9" t="n"/>
      <c r="AE31" s="9" t="n"/>
      <c r="AF31" s="9" t="n"/>
      <c r="AG31" s="13">
        <f>SUM(B31:AF31)</f>
        <v/>
      </c>
    </row>
    <row r="32" ht="15.75" customHeight="1">
      <c r="A32" s="8" t="inlineStr">
        <is>
          <t>Buckingham</t>
        </is>
      </c>
      <c r="B32" s="9" t="n"/>
      <c r="C32" s="9" t="n"/>
      <c r="D32" s="9" t="n"/>
      <c r="E32" t="n">
        <v>4937.64</v>
      </c>
      <c r="F32" s="9" t="n"/>
      <c r="G32" s="9" t="n"/>
      <c r="H32" s="12" t="n"/>
      <c r="I32" s="9" t="n"/>
      <c r="J32" s="9" t="n"/>
      <c r="K32" s="9" t="n"/>
      <c r="L32" s="9" t="n"/>
      <c r="M32" s="9" t="n"/>
      <c r="N32" s="12" t="n"/>
      <c r="O32" s="12" t="n"/>
      <c r="P32" s="9" t="n"/>
      <c r="Q32" s="9" t="n"/>
      <c r="R32" s="9" t="n"/>
      <c r="S32" s="9" t="n"/>
      <c r="T32" s="9" t="n"/>
      <c r="U32" s="9" t="n"/>
      <c r="V32" s="9" t="n"/>
      <c r="W32" s="9" t="n"/>
      <c r="X32" s="9" t="n"/>
      <c r="Y32" s="9" t="n"/>
      <c r="Z32" s="9" t="n"/>
      <c r="AA32" s="9" t="n"/>
      <c r="AB32" s="9" t="n"/>
      <c r="AC32" s="9" t="n"/>
      <c r="AD32" s="9" t="n"/>
      <c r="AE32" s="9" t="n"/>
      <c r="AF32" s="9" t="n"/>
      <c r="AG32" s="13">
        <f>SUM(B32:AF32)</f>
        <v/>
      </c>
    </row>
    <row r="33" ht="15.75" customHeight="1">
      <c r="A33" s="8" t="inlineStr">
        <is>
          <t>Sandwell respite est</t>
        </is>
      </c>
      <c r="B33" s="9" t="n"/>
      <c r="C33" s="9" t="n"/>
      <c r="D33" s="9" t="n"/>
      <c r="E33" t="n">
        <v>9737.6</v>
      </c>
      <c r="F33" s="9" t="n"/>
      <c r="G33" s="9" t="n"/>
      <c r="H33" s="9" t="n"/>
      <c r="I33" s="9" t="n"/>
      <c r="J33" s="9" t="n"/>
      <c r="K33" s="9" t="n"/>
      <c r="L33" s="9" t="n"/>
      <c r="M33" s="9" t="n"/>
      <c r="N33" s="9" t="n"/>
      <c r="O33" s="9" t="n"/>
      <c r="P33" s="9" t="n"/>
      <c r="Q33" s="9" t="n"/>
      <c r="R33" s="9" t="n"/>
      <c r="S33" s="9" t="n"/>
      <c r="T33" s="9" t="n"/>
      <c r="U33" s="9" t="n"/>
      <c r="V33" s="9" t="n"/>
      <c r="W33" s="9" t="n"/>
      <c r="X33" s="9" t="n"/>
      <c r="Y33" s="9" t="n"/>
      <c r="Z33" s="9" t="n"/>
      <c r="AA33" s="9" t="n"/>
      <c r="AB33" s="9" t="n"/>
      <c r="AC33" s="9" t="n"/>
      <c r="AD33" s="9" t="n"/>
      <c r="AE33" s="9" t="n"/>
      <c r="AF33" s="9" t="n"/>
      <c r="AG33" s="13">
        <f>SUM(B33:AF33)</f>
        <v/>
      </c>
    </row>
    <row r="34" ht="15.75" customHeight="1">
      <c r="A34" s="8" t="inlineStr">
        <is>
          <t xml:space="preserve">Wolverhampton respite est </t>
        </is>
      </c>
      <c r="B34" s="9" t="n"/>
      <c r="C34" s="9" t="n"/>
      <c r="D34" s="9" t="n"/>
      <c r="E34" s="9" t="n"/>
      <c r="F34" s="9" t="n"/>
      <c r="G34" s="9" t="n"/>
      <c r="H34" s="9" t="n"/>
      <c r="I34" s="9" t="n"/>
      <c r="J34" s="9" t="n"/>
      <c r="K34" s="9" t="n"/>
      <c r="L34" s="9" t="n"/>
      <c r="M34" s="9" t="n"/>
      <c r="N34" s="9" t="n"/>
      <c r="O34" s="9" t="n"/>
      <c r="P34" s="9" t="n"/>
      <c r="Q34" s="9" t="n"/>
      <c r="R34" s="9" t="n"/>
      <c r="S34" s="9" t="n"/>
      <c r="T34" s="9" t="n"/>
      <c r="U34" s="9" t="n"/>
      <c r="V34" s="26" t="n">
        <v>12111.35</v>
      </c>
      <c r="W34" s="9" t="n"/>
      <c r="X34" s="26" t="n">
        <v>3648</v>
      </c>
      <c r="Y34" s="9" t="n"/>
      <c r="Z34" s="26" t="n">
        <v>2201.6</v>
      </c>
      <c r="AA34" s="9" t="n"/>
      <c r="AB34" s="9" t="n"/>
      <c r="AC34" s="9" t="n"/>
      <c r="AD34" s="9" t="n"/>
      <c r="AE34" s="9" t="n"/>
      <c r="AF34" s="9" t="n"/>
      <c r="AG34" s="13">
        <f>SUM(B34:AF34)</f>
        <v/>
      </c>
    </row>
    <row r="35" ht="15.75" customHeight="1">
      <c r="A35" s="8" t="inlineStr">
        <is>
          <t>Walsall Respite</t>
        </is>
      </c>
      <c r="B35" s="9" t="n"/>
      <c r="C35" s="9" t="n"/>
      <c r="D35" s="9" t="n"/>
      <c r="E35" s="9" t="n"/>
      <c r="F35" s="9" t="n"/>
      <c r="G35" s="12" t="n"/>
      <c r="H35" s="9" t="n"/>
      <c r="I35" s="9" t="n"/>
      <c r="J35" t="n">
        <v>1142.4</v>
      </c>
      <c r="K35" s="9" t="n"/>
      <c r="L35" t="n">
        <v>3454.42</v>
      </c>
      <c r="M35" s="9" t="n"/>
      <c r="N35" s="9" t="n"/>
      <c r="O35" s="9" t="n"/>
      <c r="P35" s="9" t="n"/>
      <c r="Q35" s="9" t="n"/>
      <c r="R35" s="9" t="n"/>
      <c r="S35" s="9" t="n"/>
      <c r="T35" s="9" t="n"/>
      <c r="U35" s="9" t="n"/>
      <c r="V35" s="9" t="n"/>
      <c r="W35" s="9" t="n"/>
      <c r="X35" s="9" t="n"/>
      <c r="Y35" s="9" t="n"/>
      <c r="Z35" s="9" t="n"/>
      <c r="AA35" s="9" t="n"/>
      <c r="AB35" s="9" t="n"/>
      <c r="AC35" s="9" t="n"/>
      <c r="AD35" s="26" t="n">
        <v>15351.2</v>
      </c>
      <c r="AE35" s="9" t="n"/>
      <c r="AF35" s="9" t="n"/>
      <c r="AG35" s="13">
        <f>SUM(B35:AF35)</f>
        <v/>
      </c>
    </row>
    <row r="36" ht="18.75" customHeight="1">
      <c r="A36" s="8" t="inlineStr">
        <is>
          <t>Ideal for All Ltd</t>
        </is>
      </c>
      <c r="B36" s="9" t="n"/>
      <c r="C36" s="9" t="n"/>
      <c r="D36" s="9" t="n"/>
      <c r="E36" s="9" t="n"/>
      <c r="F36" s="9" t="n"/>
      <c r="G36" s="9" t="n"/>
      <c r="H36" s="9" t="n"/>
      <c r="I36" s="9" t="n"/>
      <c r="J36" s="9" t="n"/>
      <c r="L36" s="12" t="n"/>
      <c r="M36" s="11" t="n"/>
      <c r="N36" s="9" t="n"/>
      <c r="O36" t="n">
        <v>3661.88</v>
      </c>
      <c r="R36" s="11" t="n"/>
      <c r="S36" s="12" t="n"/>
      <c r="T36" s="9" t="n"/>
      <c r="U36" s="11" t="n"/>
      <c r="V36" s="12" t="n"/>
      <c r="W36" s="9" t="n"/>
      <c r="X36" s="9" t="n"/>
      <c r="Y36" s="9" t="n"/>
      <c r="Z36" s="9" t="n"/>
      <c r="AA36" s="9" t="n"/>
      <c r="AB36" s="9" t="n"/>
      <c r="AC36" s="9" t="n"/>
      <c r="AD36" s="26" t="n"/>
      <c r="AE36" s="9" t="n"/>
      <c r="AF36" s="9" t="n"/>
      <c r="AG36" s="13">
        <f>SUM(B36:AF36)</f>
        <v/>
      </c>
    </row>
    <row r="37" ht="15.75" customHeight="1">
      <c r="A37" s="8" t="inlineStr">
        <is>
          <t>KIRKLEES COUNCIL-204312-63046958</t>
        </is>
      </c>
      <c r="B37" s="9" t="n"/>
      <c r="C37" s="9" t="n"/>
      <c r="D37" s="9" t="n"/>
      <c r="E37" s="9" t="n"/>
      <c r="F37" s="9" t="n"/>
      <c r="G37" s="9" t="n"/>
      <c r="H37" s="9" t="n"/>
      <c r="I37" s="9" t="n"/>
      <c r="J37" s="9" t="n"/>
      <c r="K37" s="9" t="n"/>
      <c r="L37" s="9" t="n"/>
      <c r="M37" s="9" t="n"/>
      <c r="N37" s="9" t="n"/>
      <c r="Q37" s="9" t="n"/>
      <c r="R37" s="9" t="n"/>
      <c r="T37" s="9" t="n"/>
      <c r="U37" s="9" t="n"/>
      <c r="V37" s="9" t="n"/>
      <c r="W37" s="12" t="n"/>
      <c r="X37" s="9" t="n"/>
      <c r="Y37" t="n">
        <v>5554.89</v>
      </c>
      <c r="Z37" s="9" t="n"/>
      <c r="AA37" s="9" t="n"/>
      <c r="AB37" s="9" t="n"/>
      <c r="AC37" s="9" t="n"/>
      <c r="AD37" s="26" t="n"/>
      <c r="AE37" s="9" t="n"/>
      <c r="AF37" s="12" t="n"/>
      <c r="AG37" s="13">
        <f>SUM(B37:AF37)</f>
        <v/>
      </c>
    </row>
    <row r="38" ht="15.75" customHeight="1">
      <c r="A38" s="8" t="inlineStr">
        <is>
          <t>LBH PAYMENTS BACS-602210-72430192</t>
        </is>
      </c>
      <c r="B38" s="9" t="n"/>
      <c r="C38" s="9" t="n"/>
      <c r="D38" s="9" t="n"/>
      <c r="E38" s="9" t="n"/>
      <c r="F38" s="9" t="n"/>
      <c r="G38" s="9" t="n"/>
      <c r="H38" s="9" t="n"/>
      <c r="I38" s="9" t="n"/>
      <c r="J38" s="9" t="n"/>
      <c r="L38" s="9" t="n"/>
      <c r="M38" s="9" t="n"/>
      <c r="N38" s="9" t="n"/>
      <c r="P38" s="9" t="n"/>
      <c r="Q38" t="n">
        <v>5040</v>
      </c>
      <c r="R38" s="9" t="n"/>
      <c r="S38" s="9" t="n"/>
      <c r="T38" s="9" t="n"/>
      <c r="U38" s="9" t="n"/>
      <c r="V38" s="9" t="n"/>
      <c r="W38" s="9" t="n"/>
      <c r="X38" s="9" t="n"/>
      <c r="Y38" s="9" t="n"/>
      <c r="Z38" s="9" t="n"/>
      <c r="AA38" s="9" t="n"/>
      <c r="AB38" s="9" t="n"/>
      <c r="AC38" s="9" t="n"/>
      <c r="AD38" s="26" t="n"/>
      <c r="AE38" s="9" t="n"/>
      <c r="AF38" s="9" t="n"/>
      <c r="AG38" s="13">
        <f>SUM(B38:AF38)</f>
        <v/>
      </c>
    </row>
    <row r="39" ht="15.75" customHeight="1">
      <c r="A39" s="8" t="inlineStr">
        <is>
          <t>NHS BIRMINGHAM &amp; S-607080-10017097</t>
        </is>
      </c>
      <c r="B39" s="9" t="n"/>
      <c r="C39" s="9" t="n"/>
      <c r="D39" s="9" t="n"/>
      <c r="E39" s="9" t="n"/>
      <c r="F39" s="9" t="n"/>
      <c r="G39" s="9" t="n"/>
      <c r="H39" s="9" t="n"/>
      <c r="I39" s="9" t="n"/>
      <c r="J39" s="9" t="n"/>
      <c r="K39" t="n">
        <v>14698.15</v>
      </c>
      <c r="L39" s="9" t="n"/>
      <c r="M39" s="9" t="n"/>
      <c r="N39" s="9" t="n"/>
      <c r="P39" s="9" t="n"/>
      <c r="Q39" s="12" t="n"/>
      <c r="R39" s="9" t="n"/>
      <c r="S39" s="9" t="n"/>
      <c r="T39" s="9" t="n"/>
      <c r="U39" s="9" t="n"/>
      <c r="V39" s="9" t="n"/>
      <c r="W39" s="9" t="n"/>
      <c r="X39" s="9" t="n"/>
      <c r="Y39" s="9" t="n"/>
      <c r="Z39" s="9" t="n"/>
      <c r="AA39" s="9" t="n"/>
      <c r="AB39" s="9" t="n"/>
      <c r="AC39" s="9" t="n"/>
      <c r="AD39" s="26" t="n"/>
      <c r="AE39" s="9" t="n"/>
      <c r="AF39" s="9" t="n"/>
      <c r="AG39" s="13">
        <f>SUM(B39:AF39)</f>
        <v/>
      </c>
    </row>
    <row r="40" ht="15.75" customHeight="1">
      <c r="A40" s="8" t="inlineStr">
        <is>
          <t>NHS BLACK COUNTRY-607080-10015272</t>
        </is>
      </c>
      <c r="B40" s="9" t="n"/>
      <c r="C40" s="9" t="n"/>
      <c r="D40" s="9" t="n"/>
      <c r="E40" s="9" t="n"/>
      <c r="F40" s="9" t="n"/>
      <c r="G40" s="9" t="n"/>
      <c r="H40" s="9" t="n"/>
      <c r="I40" s="9" t="n"/>
      <c r="J40" s="9" t="n"/>
      <c r="K40" s="9" t="n"/>
      <c r="M40" s="9" t="n"/>
      <c r="N40" s="12" t="n"/>
      <c r="P40" t="n">
        <v>13625.17</v>
      </c>
      <c r="Q40" s="12" t="n"/>
      <c r="R40" s="9" t="n"/>
      <c r="S40" s="9" t="n"/>
      <c r="T40" s="9" t="n"/>
      <c r="U40" s="9" t="n"/>
      <c r="V40" s="9" t="n"/>
      <c r="W40" s="9" t="n"/>
      <c r="X40" s="9" t="n"/>
      <c r="Y40" s="9" t="n"/>
      <c r="Z40" t="n">
        <v>16415.53</v>
      </c>
      <c r="AA40" s="9" t="n"/>
      <c r="AB40" s="9" t="n"/>
      <c r="AC40" s="9" t="n"/>
      <c r="AD40" s="26" t="n"/>
      <c r="AE40" s="9" t="n"/>
      <c r="AF40" s="9" t="n"/>
      <c r="AG40" s="13">
        <f>SUM(B40:AF40)</f>
        <v/>
      </c>
    </row>
    <row r="41" ht="15.75" customHeight="1">
      <c r="A41" s="14" t="inlineStr">
        <is>
          <t>SANDWELL MBC  BEN-601539-69624151</t>
        </is>
      </c>
      <c r="B41" s="9" t="n"/>
      <c r="C41" s="9" t="n"/>
      <c r="D41" s="9" t="n"/>
      <c r="E41" s="9" t="n"/>
      <c r="F41" s="9" t="n"/>
      <c r="G41" s="9" t="n"/>
      <c r="H41" s="9" t="n"/>
      <c r="I41" s="9" t="n"/>
      <c r="J41" s="9" t="n"/>
      <c r="K41" s="9" t="n"/>
      <c r="L41" s="9" t="n"/>
      <c r="M41" s="9" t="n"/>
      <c r="N41" s="9" t="n"/>
      <c r="O41" s="9" t="n"/>
      <c r="P41" s="9" t="n"/>
      <c r="Q41" s="9" t="n"/>
      <c r="R41" s="9" t="n"/>
      <c r="S41" s="9" t="n"/>
      <c r="V41" s="26" t="n">
        <v>3318.24</v>
      </c>
      <c r="W41" s="9" t="n"/>
      <c r="X41" s="9" t="n"/>
      <c r="Y41" s="12" t="n"/>
      <c r="Z41" s="9" t="n"/>
      <c r="AA41" s="9" t="n"/>
      <c r="AB41" s="9" t="n"/>
      <c r="AC41" s="9" t="n"/>
      <c r="AD41" s="26" t="n"/>
      <c r="AE41" s="9" t="n"/>
      <c r="AF41" s="9" t="n"/>
      <c r="AG41" s="13">
        <f>SUM(B41:AF41)</f>
        <v/>
      </c>
    </row>
    <row r="42" ht="15.75" customHeight="1">
      <c r="A42" s="14" t="inlineStr">
        <is>
          <t>SANDWELL MBC-601539-69624135</t>
        </is>
      </c>
      <c r="B42" s="9" t="n"/>
      <c r="C42" s="9" t="n"/>
      <c r="D42" s="12" t="n"/>
      <c r="F42" s="9" t="n"/>
      <c r="G42" s="9" t="n"/>
      <c r="H42" t="n">
        <v>115446.21</v>
      </c>
      <c r="J42" s="9" t="n"/>
      <c r="K42" s="9" t="n"/>
      <c r="L42" s="9" t="n"/>
      <c r="M42" s="9" t="n"/>
      <c r="N42" s="9" t="n"/>
      <c r="O42" s="9" t="n"/>
      <c r="P42" s="9" t="n"/>
      <c r="Q42" s="9" t="n"/>
      <c r="R42" t="n">
        <v>11043.2</v>
      </c>
      <c r="S42" t="n">
        <v>112298.72</v>
      </c>
      <c r="T42" s="9" t="n"/>
      <c r="U42" s="9" t="n"/>
      <c r="V42" s="9" t="n"/>
      <c r="W42" s="9" t="n"/>
      <c r="X42" s="9" t="n"/>
      <c r="Y42" s="9" t="n"/>
      <c r="Z42" s="9" t="n"/>
      <c r="AA42" s="9" t="n"/>
      <c r="AB42" s="9" t="n"/>
      <c r="AC42" s="9" t="n"/>
      <c r="AD42" s="26" t="n"/>
      <c r="AE42" s="9" t="n"/>
      <c r="AF42" s="9" t="n"/>
      <c r="AG42" s="13">
        <f>SUM(B42:AF42)</f>
        <v/>
      </c>
    </row>
    <row r="43" ht="15.75" customHeight="1">
      <c r="A43" s="15" t="inlineStr">
        <is>
          <t>SOLIHULL MBC EXP.-200771-00561525</t>
        </is>
      </c>
      <c r="B43" s="9" t="n"/>
      <c r="C43" s="9" t="n"/>
      <c r="D43" s="9" t="n"/>
      <c r="E43" s="12" t="n"/>
      <c r="F43" s="9" t="n"/>
      <c r="G43" s="9" t="n"/>
      <c r="H43" s="9" t="n"/>
      <c r="I43" s="9" t="n"/>
      <c r="J43" s="9" t="n"/>
      <c r="K43" s="9" t="n"/>
      <c r="M43" s="9" t="n"/>
      <c r="N43" s="9" t="n"/>
      <c r="O43" t="n">
        <v>30000.6</v>
      </c>
      <c r="P43" s="9" t="n"/>
      <c r="Q43" s="9" t="n"/>
      <c r="R43" s="12" t="n"/>
      <c r="S43" s="9" t="n"/>
      <c r="T43" s="9" t="n"/>
      <c r="U43" s="9" t="n"/>
      <c r="V43" s="9" t="n"/>
      <c r="W43" s="9" t="n"/>
      <c r="X43" s="9" t="n"/>
      <c r="Y43" s="9" t="n"/>
      <c r="Z43" s="9" t="n"/>
      <c r="AA43" s="9" t="n"/>
      <c r="AB43" s="9" t="n"/>
      <c r="AC43" s="9" t="n"/>
      <c r="AD43" s="26" t="n"/>
      <c r="AE43" s="9" t="n"/>
      <c r="AF43" s="9" t="n"/>
      <c r="AG43" s="13">
        <f>SUM(B43:AF43)</f>
        <v/>
      </c>
    </row>
    <row r="44" ht="15.75" customHeight="1">
      <c r="A44" s="15" t="inlineStr">
        <is>
          <t>WALSALL MBC BARC-209073-10731692</t>
        </is>
      </c>
      <c r="B44" t="n">
        <v>176253.36</v>
      </c>
      <c r="C44" s="9" t="n"/>
      <c r="D44" s="12" t="n"/>
      <c r="E44" s="12" t="n"/>
      <c r="F44" s="9" t="n"/>
      <c r="G44" s="12" t="n"/>
      <c r="H44" s="9" t="n"/>
      <c r="I44" s="9" t="n"/>
      <c r="J44" s="9" t="n"/>
      <c r="K44" s="9" t="n"/>
      <c r="L44" s="9" t="n"/>
      <c r="M44" s="9" t="n"/>
      <c r="N44" s="9" t="n"/>
      <c r="O44" s="9" t="n"/>
      <c r="P44" s="9" t="n"/>
      <c r="Q44" s="9" t="n"/>
      <c r="R44" s="9" t="n"/>
      <c r="S44" s="9" t="n"/>
      <c r="U44" s="9" t="n"/>
      <c r="V44" s="9" t="n"/>
      <c r="W44" s="9" t="n"/>
      <c r="X44" s="9" t="n"/>
      <c r="Y44" s="12" t="n"/>
      <c r="Z44" s="9" t="n"/>
      <c r="AA44" s="9" t="n"/>
      <c r="AB44" s="9" t="n"/>
      <c r="AD44" s="31" t="n">
        <v>197972.21</v>
      </c>
      <c r="AE44" s="9" t="n"/>
      <c r="AG44" s="13">
        <f>SUM(B44:AF44)</f>
        <v/>
      </c>
    </row>
    <row r="45" ht="15.75" customHeight="1">
      <c r="A45" s="15" t="inlineStr">
        <is>
          <t>WOLVERHAMPTON CC-560069-44470320</t>
        </is>
      </c>
      <c r="B45" s="9" t="n"/>
      <c r="C45" s="9" t="n"/>
      <c r="D45" s="9" t="n"/>
      <c r="E45" t="n">
        <v>103582.88</v>
      </c>
      <c r="F45" s="9" t="n"/>
      <c r="G45" s="9" t="n"/>
      <c r="H45" s="9" t="n"/>
      <c r="I45" s="9" t="n"/>
      <c r="J45" s="9" t="n"/>
      <c r="K45" t="n">
        <v>103970.82</v>
      </c>
      <c r="L45" s="9" t="n"/>
      <c r="M45" s="9" t="n"/>
      <c r="N45" s="9" t="n"/>
      <c r="O45" s="9" t="n"/>
      <c r="P45" s="9" t="n"/>
      <c r="Q45" s="9" t="n"/>
      <c r="R45" t="n">
        <v>102456.94</v>
      </c>
      <c r="S45" s="9" t="n"/>
      <c r="U45" s="9" t="n"/>
      <c r="W45" s="9" t="n"/>
      <c r="Y45" s="26" t="n">
        <v>104747.82</v>
      </c>
      <c r="AA45" s="9" t="n"/>
      <c r="AB45" s="9" t="n"/>
      <c r="AC45" s="9" t="n"/>
      <c r="AD45" s="26" t="n"/>
      <c r="AE45" s="9" t="n"/>
      <c r="AF45" s="9" t="n"/>
      <c r="AG45" s="13">
        <f>SUM(B45:AF45)</f>
        <v/>
      </c>
    </row>
    <row r="46" ht="15.75" customHeight="1">
      <c r="A46" s="15" t="inlineStr">
        <is>
          <t>TLC</t>
        </is>
      </c>
      <c r="B46" s="9" t="n"/>
      <c r="C46" s="9" t="n"/>
      <c r="D46" s="12" t="n"/>
      <c r="E46" s="12" t="n"/>
      <c r="F46" s="9" t="n"/>
      <c r="G46" s="9" t="n"/>
      <c r="H46" s="9" t="n"/>
      <c r="I46" s="9" t="n"/>
      <c r="J46" t="n">
        <v>10611.83</v>
      </c>
      <c r="K46" s="9" t="n"/>
      <c r="L46" s="12" t="n"/>
      <c r="M46" s="12" t="n"/>
      <c r="N46" s="9" t="n"/>
      <c r="O46" s="12" t="n"/>
      <c r="P46" s="12" t="n"/>
      <c r="Q46" s="9" t="n"/>
      <c r="R46" s="9" t="n"/>
      <c r="S46" t="n">
        <v>14214.68</v>
      </c>
      <c r="T46" s="9" t="n"/>
      <c r="U46" s="9" t="n"/>
      <c r="V46" s="9" t="n"/>
      <c r="W46" s="12" t="n"/>
      <c r="X46" s="9" t="n"/>
      <c r="Y46" s="9" t="n"/>
      <c r="Z46" s="9" t="n"/>
      <c r="AA46" s="9" t="n"/>
      <c r="AB46" s="9" t="n"/>
      <c r="AC46" t="n">
        <v>6188</v>
      </c>
      <c r="AD46" s="9" t="n"/>
      <c r="AE46" s="9" t="n"/>
      <c r="AF46" s="9" t="n"/>
      <c r="AG46" s="13">
        <f>SUM(B46:AF46)</f>
        <v/>
      </c>
    </row>
    <row r="47" ht="15.75" customHeight="1">
      <c r="A47" s="15" t="inlineStr">
        <is>
          <t>HB SC</t>
        </is>
      </c>
      <c r="B47" s="16" t="n">
        <v>149169.6</v>
      </c>
      <c r="C47" s="16" t="n">
        <v>2682.58</v>
      </c>
      <c r="D47" s="16" t="n">
        <v>7403.42</v>
      </c>
      <c r="E47" s="16" t="n">
        <v>215948.5399999999</v>
      </c>
      <c r="F47" s="16" t="n">
        <v>0</v>
      </c>
      <c r="G47" s="16" t="n">
        <v>0</v>
      </c>
      <c r="H47" s="16" t="n">
        <v>4911.26</v>
      </c>
      <c r="I47" s="16" t="n">
        <v>2342.27</v>
      </c>
      <c r="J47" s="16" t="n">
        <v>879.85</v>
      </c>
      <c r="K47" s="16" t="n">
        <v>1615.81</v>
      </c>
      <c r="L47" s="16" t="n">
        <v>2734.73</v>
      </c>
      <c r="M47" s="16" t="n">
        <v>20</v>
      </c>
      <c r="N47" s="16" t="n">
        <v>0</v>
      </c>
      <c r="O47" s="16" t="n">
        <v>7077.19</v>
      </c>
      <c r="P47" s="16" t="n">
        <v>4016.68</v>
      </c>
      <c r="Q47" s="16" t="n">
        <v>3231.09</v>
      </c>
      <c r="R47" s="16" t="n">
        <v>2146.54</v>
      </c>
      <c r="S47" s="16" t="n">
        <v>5776.04</v>
      </c>
      <c r="T47" s="16" t="n">
        <v>0</v>
      </c>
      <c r="U47" s="16" t="n">
        <v>0</v>
      </c>
      <c r="V47" s="16" t="n">
        <v>2746.92</v>
      </c>
      <c r="W47" s="16" t="n">
        <v>2349.66</v>
      </c>
      <c r="X47" s="16" t="n">
        <v>4203.98</v>
      </c>
      <c r="Y47" s="16" t="n">
        <v>1358.17</v>
      </c>
      <c r="Z47" s="16" t="n">
        <v>7719.5</v>
      </c>
      <c r="AA47" s="16" t="n">
        <v>0</v>
      </c>
      <c r="AB47" s="16" t="n">
        <v>150</v>
      </c>
      <c r="AC47" s="16" t="n">
        <v>0</v>
      </c>
      <c r="AD47" s="16" t="n">
        <v>6646.55</v>
      </c>
      <c r="AE47" s="16" t="n">
        <v>6308.6</v>
      </c>
      <c r="AF47" s="16" t="n">
        <v>652.3200000000001</v>
      </c>
      <c r="AG47" s="13">
        <f>SUM(B47:AF47)</f>
        <v/>
      </c>
    </row>
    <row r="48" ht="15.75" customHeight="1" thickBot="1">
      <c r="A48" s="15" t="inlineStr">
        <is>
          <t>Total</t>
        </is>
      </c>
      <c r="B48">
        <f>SUM(B30:B47)</f>
        <v/>
      </c>
      <c r="C48">
        <f>SUM(C30:C47)</f>
        <v/>
      </c>
      <c r="D48">
        <f>SUM(D30:D47)</f>
        <v/>
      </c>
      <c r="E48">
        <f>SUM(E30:E47)</f>
        <v/>
      </c>
      <c r="F48">
        <f>SUM(F30:F47)</f>
        <v/>
      </c>
      <c r="G48">
        <f>SUM(G30:G47)</f>
        <v/>
      </c>
      <c r="H48">
        <f>SUM(H30:H47)</f>
        <v/>
      </c>
      <c r="I48">
        <f>SUM(I30:I47)</f>
        <v/>
      </c>
      <c r="J48">
        <f>SUM(J30:J47)</f>
        <v/>
      </c>
      <c r="K48">
        <f>SUM(K30:K47)</f>
        <v/>
      </c>
      <c r="L48">
        <f>SUM(L30:L47)</f>
        <v/>
      </c>
      <c r="M48">
        <f>SUM(M30:M47)</f>
        <v/>
      </c>
      <c r="N48">
        <f>SUM(N30:N47)</f>
        <v/>
      </c>
      <c r="O48">
        <f>SUM(O30:O47)</f>
        <v/>
      </c>
      <c r="P48">
        <f>SUM(P30:P47)</f>
        <v/>
      </c>
      <c r="Q48">
        <f>SUM(Q30:Q47)</f>
        <v/>
      </c>
      <c r="R48">
        <f>SUM(R30:R47)</f>
        <v/>
      </c>
      <c r="S48">
        <f>SUM(S30:S47)</f>
        <v/>
      </c>
      <c r="T48">
        <f>SUM(T30:T47)</f>
        <v/>
      </c>
      <c r="U48">
        <f>SUM(U30:U47)</f>
        <v/>
      </c>
      <c r="V48">
        <f>SUM(V30:V47)</f>
        <v/>
      </c>
      <c r="W48">
        <f>SUM(W30:W47)</f>
        <v/>
      </c>
      <c r="X48">
        <f>SUM(X30:X47)</f>
        <v/>
      </c>
      <c r="Y48">
        <f>SUM(Y30:Y47)</f>
        <v/>
      </c>
      <c r="Z48">
        <f>SUM(Z30:Z47)</f>
        <v/>
      </c>
      <c r="AA48">
        <f>SUM(AA30:AA47)</f>
        <v/>
      </c>
      <c r="AB48">
        <f>SUM(AB30:AB47)</f>
        <v/>
      </c>
      <c r="AC48">
        <f>SUM(AC30:AC47)</f>
        <v/>
      </c>
      <c r="AD48">
        <f>SUM(AD30:AD47)</f>
        <v/>
      </c>
      <c r="AE48">
        <f>SUM(AE30:AE47)</f>
        <v/>
      </c>
      <c r="AF48">
        <f>SUM(AF30:AF47)</f>
        <v/>
      </c>
      <c r="AG48" s="29">
        <f>SUM(AG30:AG47)+B54+E54</f>
        <v/>
      </c>
    </row>
    <row r="49" ht="15.75" customHeight="1" thickTop="1">
      <c r="A49" s="15" t="n"/>
    </row>
    <row r="50">
      <c r="A50" s="15" t="n"/>
    </row>
    <row r="53">
      <c r="A53" s="1" t="n"/>
      <c r="B53" s="2" t="inlineStr">
        <is>
          <t>Sept</t>
        </is>
      </c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2" t="n"/>
      <c r="M53" s="2" t="n"/>
      <c r="N53" s="2" t="n"/>
      <c r="O53" s="2" t="n"/>
      <c r="P53" s="2" t="n"/>
      <c r="Q53" s="2" t="n"/>
      <c r="R53" s="2" t="n"/>
      <c r="S53" s="2" t="n"/>
      <c r="T53" s="2" t="n"/>
      <c r="U53" s="2" t="n"/>
      <c r="V53" s="2" t="n"/>
      <c r="W53" s="2" t="n"/>
      <c r="X53" s="2" t="n"/>
      <c r="Y53" s="2" t="n"/>
      <c r="Z53" s="2" t="n"/>
      <c r="AA53" s="2" t="n"/>
      <c r="AB53" s="2" t="n"/>
      <c r="AC53" s="2" t="n"/>
      <c r="AD53" s="2" t="n"/>
      <c r="AE53" s="1" t="n"/>
      <c r="AF53" s="1" t="n"/>
    </row>
    <row r="54">
      <c r="A54" s="1" t="n"/>
      <c r="B54" s="2" t="inlineStr">
        <is>
          <t>Friday</t>
        </is>
      </c>
      <c r="C54" s="2" t="inlineStr">
        <is>
          <t>Saturday</t>
        </is>
      </c>
      <c r="D54" s="2" t="inlineStr">
        <is>
          <t>Sunday</t>
        </is>
      </c>
      <c r="E54" s="2" t="inlineStr">
        <is>
          <t>Monday</t>
        </is>
      </c>
      <c r="F54" s="2" t="inlineStr">
        <is>
          <t>Tuesday</t>
        </is>
      </c>
      <c r="G54" s="2" t="inlineStr">
        <is>
          <t>Wednesday</t>
        </is>
      </c>
      <c r="H54" s="2" t="inlineStr">
        <is>
          <t>Thursday</t>
        </is>
      </c>
      <c r="I54" s="2" t="inlineStr">
        <is>
          <t>Friday</t>
        </is>
      </c>
      <c r="J54" s="2" t="inlineStr">
        <is>
          <t>Saturday</t>
        </is>
      </c>
      <c r="K54" s="2" t="inlineStr">
        <is>
          <t>Sunday</t>
        </is>
      </c>
      <c r="L54" s="2" t="inlineStr">
        <is>
          <t>Monday</t>
        </is>
      </c>
      <c r="M54" s="2" t="inlineStr">
        <is>
          <t>Tuesday</t>
        </is>
      </c>
      <c r="N54" s="2" t="inlineStr">
        <is>
          <t>Wednesday</t>
        </is>
      </c>
      <c r="O54" s="2" t="inlineStr">
        <is>
          <t>Thursday</t>
        </is>
      </c>
      <c r="P54" s="2" t="inlineStr">
        <is>
          <t>Friday</t>
        </is>
      </c>
      <c r="Q54" s="2" t="inlineStr">
        <is>
          <t>Saturday</t>
        </is>
      </c>
      <c r="R54" s="2" t="inlineStr">
        <is>
          <t>Sunday</t>
        </is>
      </c>
      <c r="S54" s="2" t="inlineStr">
        <is>
          <t>Monday</t>
        </is>
      </c>
      <c r="T54" s="2" t="inlineStr">
        <is>
          <t>Tuesday</t>
        </is>
      </c>
      <c r="U54" s="2" t="inlineStr">
        <is>
          <t>Wednesday</t>
        </is>
      </c>
      <c r="V54" s="2" t="inlineStr">
        <is>
          <t>Thursday</t>
        </is>
      </c>
      <c r="W54" s="2" t="inlineStr">
        <is>
          <t>Friday</t>
        </is>
      </c>
      <c r="X54" s="2" t="inlineStr">
        <is>
          <t>Saturday</t>
        </is>
      </c>
      <c r="Y54" s="2" t="inlineStr">
        <is>
          <t>Sunday</t>
        </is>
      </c>
      <c r="Z54" s="2" t="inlineStr">
        <is>
          <t>Monday</t>
        </is>
      </c>
      <c r="AA54" s="2" t="inlineStr">
        <is>
          <t>Tuesday</t>
        </is>
      </c>
      <c r="AB54" s="2" t="inlineStr">
        <is>
          <t>Wednesday</t>
        </is>
      </c>
      <c r="AC54" s="2" t="inlineStr">
        <is>
          <t>Thursday</t>
        </is>
      </c>
      <c r="AD54" s="2" t="inlineStr">
        <is>
          <t>Friday</t>
        </is>
      </c>
      <c r="AE54" s="2" t="inlineStr">
        <is>
          <t>Saturday</t>
        </is>
      </c>
      <c r="AF54" s="2" t="n"/>
      <c r="AG54" s="2" t="inlineStr">
        <is>
          <t>Total</t>
        </is>
      </c>
    </row>
    <row r="55">
      <c r="A55" s="1" t="n"/>
      <c r="B55" s="7" t="n">
        <v>45170</v>
      </c>
      <c r="C55" s="7" t="n">
        <v>45171</v>
      </c>
      <c r="D55" s="7" t="n">
        <v>45172</v>
      </c>
      <c r="E55" s="54" t="n">
        <v>45173</v>
      </c>
      <c r="F55" s="54" t="n">
        <v>45174</v>
      </c>
      <c r="G55" s="54" t="n">
        <v>45175</v>
      </c>
      <c r="H55" s="54" t="n">
        <v>45176</v>
      </c>
      <c r="I55" s="54" t="n">
        <v>45177</v>
      </c>
      <c r="J55" s="54" t="n">
        <v>45178</v>
      </c>
      <c r="K55" s="54" t="n">
        <v>45179</v>
      </c>
      <c r="L55" s="55" t="n">
        <v>45180</v>
      </c>
      <c r="M55" s="55" t="n">
        <v>45181</v>
      </c>
      <c r="N55" s="55" t="n">
        <v>45182</v>
      </c>
      <c r="O55" s="55" t="n">
        <v>45183</v>
      </c>
      <c r="P55" s="55" t="n">
        <v>45184</v>
      </c>
      <c r="Q55" s="55" t="n">
        <v>45185</v>
      </c>
      <c r="R55" s="55" t="n">
        <v>45186</v>
      </c>
      <c r="S55" s="56" t="n">
        <v>45187</v>
      </c>
      <c r="T55" s="56" t="n">
        <v>45188</v>
      </c>
      <c r="U55" s="56" t="n">
        <v>45189</v>
      </c>
      <c r="V55" s="56" t="n">
        <v>45190</v>
      </c>
      <c r="W55" s="56" t="n">
        <v>45191</v>
      </c>
      <c r="X55" s="56" t="n">
        <v>45192</v>
      </c>
      <c r="Y55" s="56" t="n">
        <v>45193</v>
      </c>
      <c r="Z55" s="57" t="n">
        <v>45194</v>
      </c>
      <c r="AA55" s="57" t="n">
        <v>45195</v>
      </c>
      <c r="AB55" s="57" t="n">
        <v>45196</v>
      </c>
      <c r="AC55" s="57" t="n">
        <v>45197</v>
      </c>
      <c r="AD55" s="57" t="n">
        <v>45198</v>
      </c>
      <c r="AE55" s="57" t="n">
        <v>45199</v>
      </c>
      <c r="AF55" s="3" t="n"/>
      <c r="AG55" s="1" t="n"/>
    </row>
    <row r="56" ht="15.75" customHeight="1">
      <c r="A56" s="8" t="inlineStr">
        <is>
          <t>B-HAM CITY COUNCIL-200790-70489166</t>
        </is>
      </c>
      <c r="B56" s="9" t="n"/>
      <c r="C56" s="9" t="n"/>
      <c r="D56" s="9" t="n"/>
      <c r="E56" s="9" t="n"/>
      <c r="F56" s="9" t="n"/>
      <c r="G56" s="12" t="n"/>
      <c r="H56" s="12" t="n"/>
      <c r="I56" s="12" t="n"/>
      <c r="J56" s="12" t="n"/>
      <c r="K56" s="12" t="n"/>
      <c r="L56" s="12" t="n"/>
      <c r="N56" s="26" t="n">
        <v>65406.76</v>
      </c>
      <c r="O56" s="12" t="n"/>
      <c r="P56" s="9" t="n"/>
      <c r="Q56" s="12" t="n"/>
      <c r="R56" s="9" t="n"/>
      <c r="S56" t="n">
        <v>5018.56</v>
      </c>
      <c r="T56" s="12" t="n"/>
      <c r="U56" s="10" t="n"/>
      <c r="V56" t="n">
        <v>4856.67</v>
      </c>
      <c r="W56" s="9" t="n"/>
      <c r="Y56" s="9" t="n"/>
      <c r="Z56" s="9" t="n"/>
      <c r="AA56" s="9" t="n"/>
      <c r="AB56" s="9" t="n"/>
      <c r="AC56" t="n">
        <v>5041.28</v>
      </c>
      <c r="AD56" s="9" t="n"/>
      <c r="AE56" s="9" t="n"/>
      <c r="AF56" s="9" t="n"/>
      <c r="AG56" s="13">
        <f>SUM(B56:AF56)</f>
        <v/>
      </c>
    </row>
    <row r="57" ht="18.75" customHeight="1">
      <c r="A57" s="8" t="inlineStr">
        <is>
          <t>Accord/Age uk</t>
        </is>
      </c>
      <c r="B57" t="n">
        <v>4080</v>
      </c>
      <c r="C57" s="9" t="n"/>
      <c r="D57" s="9" t="n"/>
      <c r="E57" s="9" t="n"/>
      <c r="F57" s="9" t="n"/>
      <c r="G57" s="12" t="n"/>
      <c r="H57" s="12" t="n"/>
      <c r="I57" s="12" t="n"/>
      <c r="J57" s="12" t="n"/>
      <c r="K57" s="12" t="n"/>
      <c r="L57" s="12" t="n"/>
      <c r="M57" s="11" t="n"/>
      <c r="N57" s="9" t="n"/>
      <c r="O57" s="12" t="n"/>
      <c r="Q57" s="12" t="n"/>
      <c r="R57" s="11" t="n"/>
      <c r="S57" s="12" t="n"/>
      <c r="U57" s="9" t="n"/>
      <c r="V57" s="12" t="n"/>
      <c r="W57" s="9" t="n"/>
      <c r="X57" s="12" t="n"/>
      <c r="Y57" s="9" t="n"/>
      <c r="AA57" s="9" t="n"/>
      <c r="AC57" s="9" t="n"/>
      <c r="AD57" s="9" t="n"/>
      <c r="AE57" s="9" t="n"/>
      <c r="AF57" s="9" t="n"/>
      <c r="AG57" s="13">
        <f>SUM(B57:AF57)</f>
        <v/>
      </c>
    </row>
    <row r="58" ht="15.75" customHeight="1">
      <c r="A58" s="8" t="inlineStr">
        <is>
          <t>Buckingham</t>
        </is>
      </c>
      <c r="B58" t="n">
        <v>4937.64</v>
      </c>
      <c r="C58" s="9" t="n"/>
      <c r="D58" s="9" t="n"/>
      <c r="F58" s="9" t="n"/>
      <c r="G58" s="9" t="n"/>
      <c r="I58" s="9" t="n"/>
      <c r="J58" s="9" t="n"/>
      <c r="K58" s="9" t="n"/>
      <c r="L58" s="9" t="n"/>
      <c r="M58" s="9" t="n"/>
      <c r="N58" s="12" t="n"/>
      <c r="O58" s="12" t="n"/>
      <c r="P58" s="9" t="n"/>
      <c r="Q58" s="9" t="n"/>
      <c r="R58" s="9" t="n"/>
      <c r="S58" s="9" t="n"/>
      <c r="T58" s="9" t="n"/>
      <c r="U58" s="9" t="n"/>
      <c r="V58" s="9" t="n"/>
      <c r="W58" s="9" t="n"/>
      <c r="X58" s="9" t="n"/>
      <c r="Y58" s="9" t="n"/>
      <c r="Z58" s="9" t="n"/>
      <c r="AA58" s="9" t="n"/>
      <c r="AB58" s="9" t="n"/>
      <c r="AC58" s="9" t="n"/>
      <c r="AD58" s="9" t="n"/>
      <c r="AE58" s="9" t="n"/>
      <c r="AF58" s="9" t="n"/>
      <c r="AG58" s="13">
        <f>SUM(B58:AF58)</f>
        <v/>
      </c>
    </row>
    <row r="59" ht="15.75" customHeight="1">
      <c r="A59" s="8" t="inlineStr">
        <is>
          <t>Sandwell respite est</t>
        </is>
      </c>
      <c r="B59" t="n">
        <v>7616</v>
      </c>
      <c r="C59" s="9" t="n"/>
      <c r="D59" s="9" t="n"/>
      <c r="E59" s="9" t="n"/>
      <c r="F59" s="9" t="n"/>
      <c r="G59" s="9" t="n"/>
      <c r="H59" s="9" t="n"/>
      <c r="I59" t="n">
        <v>8161.72</v>
      </c>
      <c r="J59" s="9" t="n"/>
      <c r="K59" s="9" t="n"/>
      <c r="L59" s="9" t="n"/>
      <c r="M59" s="9" t="n"/>
      <c r="N59" s="9" t="n"/>
      <c r="O59" s="9" t="n"/>
      <c r="P59" s="9" t="n"/>
      <c r="Q59" s="9" t="n"/>
      <c r="R59" s="9" t="n"/>
      <c r="S59" s="9" t="n"/>
      <c r="T59" s="9" t="n"/>
      <c r="U59" s="9" t="n"/>
      <c r="V59" s="9" t="n"/>
      <c r="W59" s="9" t="n"/>
      <c r="X59" s="9" t="n"/>
      <c r="Y59" s="9" t="n"/>
      <c r="Z59" t="n">
        <v>7879.71</v>
      </c>
      <c r="AA59" s="9" t="n"/>
      <c r="AB59" s="9" t="n"/>
      <c r="AC59" s="9" t="n"/>
      <c r="AD59" t="n">
        <v>5277.33</v>
      </c>
      <c r="AE59" s="9" t="n"/>
      <c r="AG59" s="13">
        <f>SUM(B59:AF59)</f>
        <v/>
      </c>
    </row>
    <row r="60" ht="15.75" customHeight="1">
      <c r="A60" s="8" t="inlineStr">
        <is>
          <t xml:space="preserve">Wolverhampton respite est </t>
        </is>
      </c>
      <c r="B60" s="9" t="n"/>
      <c r="D60" s="9" t="n"/>
      <c r="E60" t="n">
        <v>2112</v>
      </c>
      <c r="F60" s="9" t="n"/>
      <c r="G60" s="9" t="n"/>
      <c r="H60" s="9" t="n"/>
      <c r="I60" s="9" t="n"/>
      <c r="J60" s="9" t="n"/>
      <c r="K60" s="9" t="n"/>
      <c r="L60" s="9" t="n"/>
      <c r="M60" s="9" t="n"/>
      <c r="N60" s="9" t="n"/>
      <c r="O60" s="9" t="n"/>
      <c r="P60" s="9" t="n"/>
      <c r="Q60" s="9" t="n"/>
      <c r="R60" s="9" t="n"/>
      <c r="S60" t="n">
        <v>11791.12</v>
      </c>
      <c r="T60" s="9" t="n"/>
      <c r="U60" s="9" t="n"/>
      <c r="V60" s="9" t="n"/>
      <c r="W60" t="n">
        <v>2631.2</v>
      </c>
      <c r="X60" s="9" t="n"/>
      <c r="Y60" s="9" t="n"/>
      <c r="Z60" s="9" t="n"/>
      <c r="AA60" s="9" t="n"/>
      <c r="AB60" s="9" t="n"/>
      <c r="AD60" s="9" t="n"/>
      <c r="AG60" s="13">
        <f>SUM(B60:AF60)</f>
        <v/>
      </c>
    </row>
    <row r="61" ht="15.75" customHeight="1">
      <c r="A61" s="8" t="inlineStr">
        <is>
          <t>Walsall Respite</t>
        </is>
      </c>
      <c r="B61" s="9" t="n"/>
      <c r="C61" s="9" t="n"/>
      <c r="D61" s="9" t="n"/>
      <c r="E61" s="9" t="n"/>
      <c r="F61" s="9" t="n"/>
      <c r="G61" t="n">
        <v>1523.2</v>
      </c>
      <c r="H61" s="9" t="n"/>
      <c r="I61" t="n">
        <v>3178.96</v>
      </c>
      <c r="J61" s="9" t="n"/>
      <c r="K61" s="9" t="n"/>
      <c r="L61" s="9" t="n"/>
      <c r="M61" s="9" t="n"/>
      <c r="N61" s="9" t="n"/>
      <c r="O61" s="9" t="n"/>
      <c r="P61" s="9" t="n"/>
      <c r="Q61" s="9" t="n"/>
      <c r="R61" s="9" t="n"/>
      <c r="S61" s="9" t="n"/>
      <c r="T61" s="9" t="n"/>
      <c r="U61" s="9" t="n"/>
      <c r="V61" t="n">
        <v>1140</v>
      </c>
      <c r="W61" s="9" t="n"/>
      <c r="X61" s="9" t="n"/>
      <c r="Y61" s="9" t="n"/>
      <c r="Z61" s="9" t="n"/>
      <c r="AA61" t="n">
        <v>21889.6</v>
      </c>
      <c r="AB61" s="9" t="n"/>
      <c r="AD61" s="9" t="n"/>
      <c r="AG61" s="13">
        <f>SUM(B61:AF61)</f>
        <v/>
      </c>
    </row>
    <row r="62" ht="18.75" customHeight="1">
      <c r="A62" s="8" t="inlineStr">
        <is>
          <t>Ideal for All Ltd</t>
        </is>
      </c>
      <c r="B62" s="9" t="n"/>
      <c r="C62" s="9" t="n"/>
      <c r="D62" s="9" t="n"/>
      <c r="E62" s="9" t="n"/>
      <c r="F62" t="n">
        <v>3144.12</v>
      </c>
      <c r="G62" s="9" t="n"/>
      <c r="H62" s="12" t="n"/>
      <c r="I62" s="12" t="n"/>
      <c r="J62" s="11" t="n"/>
      <c r="K62" s="9" t="n"/>
      <c r="M62" s="11" t="n"/>
      <c r="N62" s="12" t="n"/>
      <c r="O62" s="11" t="n"/>
      <c r="Q62" s="12" t="n"/>
      <c r="R62" s="11" t="n"/>
      <c r="S62" s="12" t="n"/>
      <c r="T62" s="9" t="n"/>
      <c r="V62" s="12" t="n"/>
      <c r="X62" s="9" t="n"/>
      <c r="Y62" s="9" t="n"/>
      <c r="Z62" s="9" t="n"/>
      <c r="AB62" s="9" t="n"/>
      <c r="AD62" s="12" t="n"/>
      <c r="AE62" s="9" t="n"/>
      <c r="AF62" s="9" t="n"/>
      <c r="AG62" s="13">
        <f>SUM(B62:AF62)</f>
        <v/>
      </c>
    </row>
    <row r="63" ht="15.75" customHeight="1">
      <c r="A63" s="8" t="inlineStr">
        <is>
          <t>KIRKLEES COUNCIL-204312-63046958</t>
        </is>
      </c>
      <c r="B63" s="9" t="n"/>
      <c r="C63" s="9" t="n"/>
      <c r="D63" s="9" t="n"/>
      <c r="E63" s="9" t="n"/>
      <c r="F63" s="9" t="n"/>
      <c r="G63" s="9" t="n"/>
      <c r="H63" s="9" t="n"/>
      <c r="I63" s="9" t="n"/>
      <c r="J63" s="9" t="n"/>
      <c r="K63" s="9" t="n"/>
      <c r="L63" s="9" t="n"/>
      <c r="M63" s="12" t="n"/>
      <c r="N63" s="9" t="n"/>
      <c r="O63" s="9" t="n"/>
      <c r="P63" s="12" t="n"/>
      <c r="Q63" s="9" t="n"/>
      <c r="R63" s="9" t="n"/>
      <c r="S63" t="n">
        <v>5375.7</v>
      </c>
      <c r="T63" s="9" t="n"/>
      <c r="U63" s="9" t="n"/>
      <c r="W63" s="9" t="n"/>
      <c r="X63" s="9" t="n"/>
      <c r="Y63" s="9" t="n"/>
      <c r="Z63" s="9" t="n"/>
      <c r="AA63" s="9" t="n"/>
      <c r="AB63" s="9" t="n"/>
      <c r="AC63" s="9" t="n"/>
      <c r="AD63" s="9" t="n"/>
      <c r="AE63" s="9" t="n"/>
      <c r="AF63" s="12" t="n"/>
      <c r="AG63" s="13">
        <f>SUM(B63:AF63)</f>
        <v/>
      </c>
    </row>
    <row r="64" ht="15.75" customHeight="1">
      <c r="A64" s="8" t="inlineStr">
        <is>
          <t>LBH PAYMENTS BACS-602210-72430192</t>
        </is>
      </c>
      <c r="B64" s="9" t="n"/>
      <c r="C64" s="9" t="n"/>
      <c r="D64" s="9" t="n"/>
      <c r="E64" s="9" t="n"/>
      <c r="F64" s="9" t="n"/>
      <c r="G64" s="9" t="n"/>
      <c r="H64" s="31" t="n">
        <v>5040</v>
      </c>
      <c r="I64" s="9" t="n"/>
      <c r="J64" s="9" t="n"/>
      <c r="K64" s="9" t="n"/>
      <c r="L64" s="9" t="n"/>
      <c r="M64" s="9" t="n"/>
      <c r="O64" s="9" t="n"/>
      <c r="P64" s="9" t="n"/>
      <c r="Q64" s="9" t="n"/>
      <c r="R64" s="9" t="n"/>
      <c r="S64" s="9" t="n"/>
      <c r="T64" s="9" t="n"/>
      <c r="U64" s="9" t="n"/>
      <c r="V64" s="9" t="n"/>
      <c r="W64" s="9" t="n"/>
      <c r="X64" s="9" t="n"/>
      <c r="Y64" s="9" t="n"/>
      <c r="Z64" s="9" t="n"/>
      <c r="AA64" s="9" t="n"/>
      <c r="AB64" s="9" t="n"/>
      <c r="AC64" s="9" t="n"/>
      <c r="AD64" s="9" t="n"/>
      <c r="AE64" s="9" t="n"/>
      <c r="AF64" s="9" t="n"/>
      <c r="AG64" s="13">
        <f>SUM(B64:AF64)</f>
        <v/>
      </c>
    </row>
    <row r="65" ht="15.75" customHeight="1">
      <c r="A65" s="8" t="inlineStr">
        <is>
          <t>NHS BIRMINGHAM &amp; S-607080-10017097</t>
        </is>
      </c>
      <c r="B65" s="9" t="n"/>
      <c r="C65" s="9" t="n"/>
      <c r="D65" s="9" t="n"/>
      <c r="E65" s="9" t="n"/>
      <c r="F65" s="9" t="n"/>
      <c r="G65" s="9" t="n"/>
      <c r="H65" s="26" t="n"/>
      <c r="I65" s="9" t="n"/>
      <c r="J65" s="9" t="n"/>
      <c r="K65" s="9" t="n"/>
      <c r="M65" s="9" t="n"/>
      <c r="N65" s="9" t="n"/>
      <c r="P65" t="n">
        <v>7121.63</v>
      </c>
      <c r="Q65" s="9" t="n"/>
      <c r="T65" s="9" t="n"/>
      <c r="U65" s="9" t="n"/>
      <c r="V65" s="9" t="n"/>
      <c r="W65" s="9" t="n"/>
      <c r="X65" s="9" t="n"/>
      <c r="Y65" s="9" t="n"/>
      <c r="Z65" s="9" t="n"/>
      <c r="AA65" s="9" t="n"/>
      <c r="AC65" s="9" t="n"/>
      <c r="AD65" t="n">
        <v>2937.6</v>
      </c>
      <c r="AE65" s="9" t="n"/>
      <c r="AF65" s="9" t="n"/>
      <c r="AG65" s="13">
        <f>SUM(B65:AF65)</f>
        <v/>
      </c>
    </row>
    <row r="66" ht="15.75" customHeight="1">
      <c r="A66" s="8" t="inlineStr">
        <is>
          <t>NHS BLACK COUNTRY-607080-10015272</t>
        </is>
      </c>
      <c r="B66" s="9" t="n"/>
      <c r="C66" s="9" t="n"/>
      <c r="D66" s="9" t="n"/>
      <c r="E66" s="9" t="n"/>
      <c r="F66" s="9" t="n"/>
      <c r="G66" s="9" t="n"/>
      <c r="H66" s="26" t="n"/>
      <c r="J66" s="9" t="n"/>
      <c r="K66" s="12" t="n"/>
      <c r="L66" s="9" t="n"/>
      <c r="M66" s="9" t="n"/>
      <c r="N66" s="9" t="n"/>
      <c r="P66" t="n">
        <v>13185.64</v>
      </c>
      <c r="Q66" s="9" t="n"/>
      <c r="S66" s="12" t="n"/>
      <c r="T66" t="n">
        <v>5331.2</v>
      </c>
      <c r="V66" s="9" t="n"/>
      <c r="W66" s="9" t="n"/>
      <c r="X66" s="9" t="n"/>
      <c r="Y66" s="9" t="n"/>
      <c r="Z66" s="9" t="n"/>
      <c r="AA66" s="9" t="n"/>
      <c r="AC66" s="9" t="n"/>
      <c r="AD66" s="9" t="n"/>
      <c r="AE66" s="9" t="n"/>
      <c r="AF66" s="9" t="n"/>
      <c r="AG66" s="13">
        <f>SUM(B66:AF66)</f>
        <v/>
      </c>
    </row>
    <row r="67" ht="15.75" customHeight="1">
      <c r="A67" s="14" t="inlineStr">
        <is>
          <t>SANDWELL MBC  BEN-601539-69624151</t>
        </is>
      </c>
      <c r="B67" s="9" t="n"/>
      <c r="C67" s="9" t="n"/>
      <c r="D67" s="9" t="n"/>
      <c r="F67" s="9" t="n"/>
      <c r="G67" s="9" t="n"/>
      <c r="H67" s="26" t="n"/>
      <c r="I67" s="9" t="n"/>
      <c r="J67" s="9" t="n"/>
      <c r="K67" s="9" t="n"/>
      <c r="L67" s="9" t="n"/>
      <c r="M67" s="9" t="n"/>
      <c r="N67" s="9" t="n"/>
      <c r="O67" s="9" t="n"/>
      <c r="P67" s="9" t="n"/>
      <c r="Q67" s="9" t="n"/>
      <c r="R67" s="9" t="n"/>
      <c r="S67" t="n">
        <v>3318.24</v>
      </c>
      <c r="T67" s="9" t="n"/>
      <c r="U67" s="9" t="n"/>
      <c r="V67" s="12" t="n"/>
      <c r="W67" s="9" t="n"/>
      <c r="X67" s="9" t="n"/>
      <c r="Y67" s="12" t="n"/>
      <c r="Z67" s="9" t="n"/>
      <c r="AA67" s="9" t="n"/>
      <c r="AB67" s="9" t="n"/>
      <c r="AC67" s="9" t="n"/>
      <c r="AD67" s="9" t="n"/>
      <c r="AE67" s="9" t="n"/>
      <c r="AF67" s="9" t="n"/>
      <c r="AG67" s="13">
        <f>SUM(B67:AF67)</f>
        <v/>
      </c>
    </row>
    <row r="68" ht="15.75" customHeight="1">
      <c r="A68" s="14" t="inlineStr">
        <is>
          <t>SANDWELL MBC-601539-69624135</t>
        </is>
      </c>
      <c r="B68" s="9" t="n"/>
      <c r="C68" s="9" t="n"/>
      <c r="D68" s="12" t="n"/>
      <c r="F68" s="26" t="n">
        <v>193352.55</v>
      </c>
      <c r="H68" s="26" t="n"/>
      <c r="J68" s="9" t="n"/>
      <c r="K68" s="9" t="n"/>
      <c r="L68" s="9" t="n"/>
      <c r="M68" s="9" t="n"/>
      <c r="N68" s="9" t="n"/>
      <c r="O68" s="9" t="n"/>
      <c r="P68" s="9" t="n"/>
      <c r="Q68" s="9" t="n"/>
      <c r="R68" s="9" t="n"/>
      <c r="S68" t="n">
        <v>116337.52</v>
      </c>
      <c r="U68" s="9" t="n"/>
      <c r="W68" s="9" t="n"/>
      <c r="X68" s="9" t="n"/>
      <c r="Z68" s="9" t="n"/>
      <c r="AA68" s="9" t="n"/>
      <c r="AB68" s="9" t="n"/>
      <c r="AC68" s="9" t="n"/>
      <c r="AD68" s="9" t="n"/>
      <c r="AE68" s="9" t="n"/>
      <c r="AG68" s="13">
        <f>SUM(B68:AF68)</f>
        <v/>
      </c>
    </row>
    <row r="69" ht="15.75" customHeight="1">
      <c r="A69" s="15" t="inlineStr">
        <is>
          <t>SOLIHULL MBC EXP.-200771-00561525</t>
        </is>
      </c>
      <c r="B69" s="9" t="n"/>
      <c r="C69" s="9" t="n"/>
      <c r="D69" s="9" t="n"/>
      <c r="E69" s="12" t="n"/>
      <c r="F69" s="9" t="n"/>
      <c r="G69" s="9" t="n"/>
      <c r="H69" s="26" t="n"/>
      <c r="I69" s="9" t="n"/>
      <c r="J69" s="9" t="n"/>
      <c r="K69" s="9" t="n"/>
      <c r="L69" t="n">
        <v>30000.6</v>
      </c>
      <c r="M69" s="9" t="n"/>
      <c r="N69" s="9" t="n"/>
      <c r="O69" s="9" t="n"/>
      <c r="P69" s="9" t="n"/>
      <c r="Q69" s="9" t="n"/>
      <c r="R69" s="12" t="n"/>
      <c r="S69" s="9" t="n"/>
      <c r="T69" s="9" t="n"/>
      <c r="U69" s="9" t="n"/>
      <c r="V69" s="9" t="n"/>
      <c r="W69" s="9" t="n"/>
      <c r="X69" s="9" t="n"/>
      <c r="Y69" s="9" t="n"/>
      <c r="Z69" s="9" t="n"/>
      <c r="AA69" s="9" t="n"/>
      <c r="AB69" s="9" t="n"/>
      <c r="AC69" s="9" t="n"/>
      <c r="AD69" s="9" t="n"/>
      <c r="AE69" s="9" t="n"/>
      <c r="AF69" s="9" t="n"/>
      <c r="AG69" s="13">
        <f>SUM(B69:AF69)</f>
        <v/>
      </c>
    </row>
    <row r="70" ht="15.75" customHeight="1">
      <c r="A70" s="15" t="inlineStr">
        <is>
          <t>WALSALL MBC BARC-209073-10731692</t>
        </is>
      </c>
      <c r="B70" s="9" t="n"/>
      <c r="C70" s="9" t="n"/>
      <c r="D70" s="12" t="n"/>
      <c r="E70" s="12" t="n"/>
      <c r="F70" s="9" t="n"/>
      <c r="G70" s="12" t="n"/>
      <c r="H70" s="26" t="n"/>
      <c r="I70" s="9" t="n"/>
      <c r="J70" s="9" t="n"/>
      <c r="K70" s="9" t="n"/>
      <c r="L70" s="9" t="n"/>
      <c r="M70" s="9" t="n"/>
      <c r="N70" s="9" t="n"/>
      <c r="O70" s="9" t="n"/>
      <c r="P70" s="9" t="n"/>
      <c r="Q70" s="9" t="n"/>
      <c r="R70" s="9" t="n"/>
      <c r="S70" s="9" t="n"/>
      <c r="T70" s="9" t="n"/>
      <c r="U70" s="9" t="n"/>
      <c r="V70" s="9" t="n"/>
      <c r="W70" s="9" t="n"/>
      <c r="X70" s="9" t="n"/>
      <c r="Y70" s="12" t="n"/>
      <c r="AA70" s="31" t="n">
        <v>173794.49</v>
      </c>
      <c r="AB70" s="9" t="n"/>
      <c r="AD70" s="9" t="n"/>
      <c r="AE70" s="9" t="n"/>
      <c r="AF70" s="12" t="n"/>
      <c r="AG70" s="13">
        <f>SUM(B70:AF70)</f>
        <v/>
      </c>
    </row>
    <row r="71" ht="15.75" customHeight="1">
      <c r="A71" s="15" t="inlineStr">
        <is>
          <t>WOLVERHAMPTON CC-560069-44470320</t>
        </is>
      </c>
      <c r="B71" t="n">
        <v>104566.88</v>
      </c>
      <c r="C71" s="9" t="n"/>
      <c r="D71" s="9" t="n"/>
      <c r="E71" s="9" t="n"/>
      <c r="F71" s="9" t="n"/>
      <c r="G71" s="9" t="n"/>
      <c r="H71" s="26" t="n">
        <v>104873.82</v>
      </c>
      <c r="I71" s="9" t="n"/>
      <c r="J71" s="9" t="n"/>
      <c r="K71" s="9" t="n"/>
      <c r="L71" s="9" t="n"/>
      <c r="M71" s="9" t="n"/>
      <c r="N71" s="9" t="n"/>
      <c r="O71" s="26" t="n">
        <v>102722.82</v>
      </c>
      <c r="P71" s="9" t="n"/>
      <c r="Q71" s="9" t="n"/>
      <c r="R71" s="9" t="n"/>
      <c r="T71" s="9" t="n"/>
      <c r="U71" s="9" t="n"/>
      <c r="V71" s="25" t="n">
        <v>104702.82</v>
      </c>
      <c r="W71" t="n">
        <v>26854.5</v>
      </c>
      <c r="Y71" s="9" t="n"/>
      <c r="Z71" s="16" t="n">
        <v>3009.12</v>
      </c>
      <c r="AA71" s="25" t="n">
        <v>40981.09</v>
      </c>
      <c r="AC71" s="26" t="n">
        <v>108072.5</v>
      </c>
      <c r="AE71" s="9" t="n"/>
      <c r="AF71" s="9" t="n"/>
      <c r="AG71" s="13">
        <f>SUM(B71:AF71)</f>
        <v/>
      </c>
    </row>
    <row r="72" ht="15.75" customHeight="1">
      <c r="A72" s="15" t="inlineStr">
        <is>
          <t>TLC</t>
        </is>
      </c>
      <c r="B72" s="9" t="n"/>
      <c r="C72" s="9" t="n"/>
      <c r="D72" s="12" t="n"/>
      <c r="E72" t="n">
        <v>8711.93</v>
      </c>
      <c r="F72" t="n">
        <v>1504.2</v>
      </c>
      <c r="G72" s="9" t="n"/>
      <c r="H72" s="26" t="n">
        <v>1444.52</v>
      </c>
      <c r="I72" s="9" t="n"/>
      <c r="J72" s="9" t="n"/>
      <c r="K72" s="9" t="n"/>
      <c r="L72" s="12" t="n"/>
      <c r="M72" s="12" t="n"/>
      <c r="N72" s="9" t="n"/>
      <c r="O72" s="12" t="n"/>
      <c r="P72" s="12" t="n"/>
      <c r="Q72" s="9" t="n"/>
      <c r="R72" s="9" t="n"/>
      <c r="T72" t="n">
        <v>8861.700000000001</v>
      </c>
      <c r="V72" s="9" t="n"/>
      <c r="Y72" s="9" t="n"/>
      <c r="Z72" s="9" t="n"/>
      <c r="AA72" t="n">
        <v>7735</v>
      </c>
      <c r="AB72" s="12" t="n"/>
      <c r="AC72" s="12" t="n"/>
      <c r="AD72" s="9" t="n"/>
      <c r="AE72" s="9" t="n"/>
      <c r="AF72" s="9" t="n"/>
      <c r="AG72" s="13">
        <f>SUM(B72:AF72)</f>
        <v/>
      </c>
    </row>
    <row r="73" ht="15.75" customHeight="1">
      <c r="A73" s="15" t="inlineStr">
        <is>
          <t>HB SC</t>
        </is>
      </c>
      <c r="B73" s="16" t="n">
        <v>5205.19</v>
      </c>
      <c r="C73" s="16" t="n">
        <v>0</v>
      </c>
      <c r="D73" s="16" t="n">
        <v>0</v>
      </c>
      <c r="E73" s="16" t="n">
        <v>188565.17</v>
      </c>
      <c r="F73" s="16" t="n">
        <v>6512.25</v>
      </c>
      <c r="G73" s="16" t="n">
        <v>3766.68</v>
      </c>
      <c r="H73" s="16" t="n">
        <v>3974.773</v>
      </c>
      <c r="I73" s="16" t="n">
        <v>2715.76</v>
      </c>
      <c r="J73" s="16" t="n">
        <v>0</v>
      </c>
      <c r="K73" s="16" t="n">
        <v>207</v>
      </c>
      <c r="L73" s="16" t="n">
        <v>7009.389999999999</v>
      </c>
      <c r="M73" s="16" t="n">
        <v>2421.51</v>
      </c>
      <c r="N73" s="16" t="n">
        <v>1706.48</v>
      </c>
      <c r="O73" s="16" t="n">
        <v>1586.789999999994</v>
      </c>
      <c r="P73" s="16">
        <f>7322.34+460.6</f>
        <v/>
      </c>
      <c r="Q73" s="16" t="n">
        <v>291.6</v>
      </c>
      <c r="R73" s="16" t="n">
        <v>140</v>
      </c>
      <c r="S73" s="16" t="n">
        <v>3918.670000000028</v>
      </c>
      <c r="T73" s="16" t="n">
        <v>1903.67</v>
      </c>
      <c r="U73" t="n">
        <v>2811.05</v>
      </c>
      <c r="V73" s="16" t="n">
        <v>1440.84</v>
      </c>
      <c r="W73" s="16" t="n">
        <v>4897.899999999999</v>
      </c>
      <c r="X73" s="16" t="n">
        <v>0</v>
      </c>
      <c r="Y73" s="16" t="n">
        <v>0</v>
      </c>
      <c r="Z73" s="16" t="n">
        <v>6300.38</v>
      </c>
      <c r="AA73" s="16" t="n">
        <v>3309.07</v>
      </c>
      <c r="AB73" s="16" t="n">
        <v>8423.02</v>
      </c>
      <c r="AC73" s="16" t="n">
        <v>4017.09</v>
      </c>
      <c r="AD73" s="16" t="n">
        <v>13330.5</v>
      </c>
      <c r="AE73" s="16" t="n">
        <v>0</v>
      </c>
      <c r="AF73" s="16" t="n"/>
      <c r="AG73" s="13">
        <f>SUM(B73:AF73)</f>
        <v/>
      </c>
    </row>
    <row r="74" ht="15.75" customHeight="1" thickBot="1">
      <c r="A74" s="53" t="inlineStr">
        <is>
          <t>Total</t>
        </is>
      </c>
      <c r="B74" s="29">
        <f>SUM(B56:B73)</f>
        <v/>
      </c>
      <c r="C74" s="29">
        <f>SUM(C56:C73)</f>
        <v/>
      </c>
      <c r="D74" s="29">
        <f>SUM(D56:D73)</f>
        <v/>
      </c>
      <c r="E74" s="29">
        <f>SUM(E56:E73)</f>
        <v/>
      </c>
      <c r="F74" s="29">
        <f>SUM(F56:F73)</f>
        <v/>
      </c>
      <c r="G74" s="29">
        <f>SUM(G56:G73)</f>
        <v/>
      </c>
      <c r="H74" s="29">
        <f>SUM(H56:H73)</f>
        <v/>
      </c>
      <c r="I74" s="29">
        <f>SUM(I56:I73)</f>
        <v/>
      </c>
      <c r="J74" s="29">
        <f>SUM(J56:J73)</f>
        <v/>
      </c>
      <c r="K74" s="29">
        <f>SUM(K56:K73)</f>
        <v/>
      </c>
      <c r="L74" s="29">
        <f>SUM(L56:L73)</f>
        <v/>
      </c>
      <c r="M74" s="29">
        <f>SUM(M56:M73)</f>
        <v/>
      </c>
      <c r="N74" s="29">
        <f>SUM(N56:N73)</f>
        <v/>
      </c>
      <c r="O74" s="29">
        <f>SUM(O56:O73)</f>
        <v/>
      </c>
      <c r="P74" s="29">
        <f>SUM(P56:P73)</f>
        <v/>
      </c>
      <c r="Q74" s="29">
        <f>SUM(Q56:Q73)</f>
        <v/>
      </c>
      <c r="R74" s="29">
        <f>SUM(R56:R73)</f>
        <v/>
      </c>
      <c r="S74" s="29">
        <f>SUM(S56:S73)</f>
        <v/>
      </c>
      <c r="T74" s="29">
        <f>SUM(T56:T73)</f>
        <v/>
      </c>
      <c r="U74" s="29">
        <f>SUM(U56:U73)</f>
        <v/>
      </c>
      <c r="V74" s="29">
        <f>SUM(V56:V73)</f>
        <v/>
      </c>
      <c r="W74" s="29">
        <f>SUM(W56:W73)</f>
        <v/>
      </c>
      <c r="X74" s="29">
        <f>SUM(X56:X73)</f>
        <v/>
      </c>
      <c r="Y74" s="29">
        <f>SUM(Y56:Y73)</f>
        <v/>
      </c>
      <c r="Z74" s="29">
        <f>SUM(Z56:Z73)</f>
        <v/>
      </c>
      <c r="AA74" s="29">
        <f>SUM(AA56:AA73)</f>
        <v/>
      </c>
      <c r="AB74" s="29">
        <f>SUM(AB56:AB73)</f>
        <v/>
      </c>
      <c r="AC74" s="29">
        <f>SUM(AC56:AC73)</f>
        <v/>
      </c>
      <c r="AD74" s="29">
        <f>SUM(AD56:AD73)</f>
        <v/>
      </c>
      <c r="AE74" s="29">
        <f>SUM(AE56:AE73)</f>
        <v/>
      </c>
      <c r="AF74" s="29" t="n"/>
      <c r="AG74" s="29">
        <f>SUM(AG56:AG73)+F80</f>
        <v/>
      </c>
    </row>
    <row r="75" ht="16.5" customHeight="1" thickTop="1">
      <c r="A75" s="15" t="n"/>
      <c r="B75" s="16" t="n"/>
      <c r="C75" s="16" t="n"/>
      <c r="D75" s="16" t="n"/>
      <c r="E75" s="16" t="n"/>
      <c r="F75" s="16" t="n"/>
      <c r="G75" s="16" t="n"/>
      <c r="H75" s="16" t="n"/>
      <c r="I75" s="16" t="n"/>
      <c r="J75" s="16" t="n"/>
      <c r="K75" s="16" t="n"/>
      <c r="L75" s="16" t="n"/>
      <c r="M75" s="16" t="n"/>
      <c r="N75" s="16" t="n"/>
      <c r="O75" s="16" t="n"/>
      <c r="P75" s="16" t="n"/>
      <c r="Q75" s="16" t="n"/>
      <c r="R75" s="16" t="n"/>
      <c r="S75" s="16" t="n"/>
      <c r="T75" s="16" t="n"/>
      <c r="U75" s="16" t="n"/>
      <c r="V75" s="16" t="n"/>
      <c r="W75" s="16" t="n"/>
      <c r="X75" s="16" t="n"/>
      <c r="Y75" s="16" t="n"/>
      <c r="Z75" s="16" t="n"/>
      <c r="AA75" s="16" t="n"/>
      <c r="AB75" s="16" t="n"/>
      <c r="AC75" s="16" t="n"/>
      <c r="AD75" s="16" t="n"/>
      <c r="AE75" s="16" t="n"/>
      <c r="AF75" s="16" t="n"/>
      <c r="AG75" s="13" t="n"/>
    </row>
    <row r="76" ht="15.75" customHeight="1">
      <c r="A76" s="15" t="n"/>
      <c r="B76" s="16" t="n"/>
      <c r="C76" s="16" t="n"/>
      <c r="D76" s="16" t="n"/>
      <c r="E76" s="16" t="n"/>
      <c r="F76" s="16" t="n"/>
      <c r="G76" s="16" t="n"/>
      <c r="H76" s="16" t="n"/>
      <c r="I76" s="16" t="n"/>
      <c r="J76" s="16" t="n"/>
      <c r="K76" s="16" t="n"/>
      <c r="L76" s="16" t="n"/>
      <c r="M76" s="16" t="n"/>
      <c r="N76" s="16" t="n"/>
      <c r="O76" s="16" t="n"/>
      <c r="P76" s="16" t="n"/>
      <c r="Q76" s="16" t="n"/>
      <c r="R76" s="16" t="n"/>
      <c r="S76" s="16" t="n"/>
      <c r="T76" s="16" t="n"/>
      <c r="U76" s="16" t="n"/>
      <c r="V76" s="16" t="n"/>
      <c r="W76" s="16" t="n"/>
      <c r="X76" s="16" t="n"/>
      <c r="Y76" s="16" t="n"/>
      <c r="Z76" s="16" t="n"/>
      <c r="AA76" s="16" t="n"/>
      <c r="AB76" s="16" t="n"/>
      <c r="AC76" s="16" t="n"/>
      <c r="AD76" s="16" t="n"/>
      <c r="AE76" s="16" t="n"/>
      <c r="AF76" s="16" t="n"/>
      <c r="AG76" s="13" t="n"/>
    </row>
    <row r="77" ht="15.75" customHeight="1">
      <c r="A77" s="15" t="n"/>
      <c r="B77" s="16" t="n"/>
      <c r="C77" s="16" t="n"/>
      <c r="D77" s="16" t="n"/>
      <c r="E77" s="16" t="n"/>
      <c r="F77" s="16" t="n"/>
      <c r="G77" s="16" t="n"/>
      <c r="H77" s="16" t="n"/>
      <c r="I77" s="16" t="n"/>
      <c r="J77" s="16" t="n"/>
      <c r="K77" s="16" t="n"/>
      <c r="L77" s="16" t="n"/>
      <c r="M77" s="16" t="n"/>
      <c r="N77" s="16" t="n"/>
      <c r="O77" s="16" t="n"/>
      <c r="P77" s="16" t="n"/>
      <c r="Q77" s="16" t="n"/>
      <c r="R77" s="16" t="n"/>
      <c r="S77" s="16" t="n"/>
      <c r="T77" s="16" t="n"/>
      <c r="U77" s="16" t="n"/>
      <c r="V77" s="16" t="n"/>
      <c r="W77" s="16" t="n"/>
      <c r="X77" s="16" t="n"/>
      <c r="Y77" s="16" t="n"/>
      <c r="Z77" s="16" t="n"/>
      <c r="AA77" s="16" t="n"/>
      <c r="AB77" s="16" t="n"/>
      <c r="AC77" s="16" t="n"/>
      <c r="AD77" s="16" t="n"/>
      <c r="AE77" s="16" t="n"/>
      <c r="AF77" s="16" t="n"/>
      <c r="AG77" s="13" t="n"/>
    </row>
    <row r="78">
      <c r="A78" s="1" t="n"/>
      <c r="B78" s="2" t="inlineStr">
        <is>
          <t>Oct</t>
        </is>
      </c>
      <c r="C78" s="2" t="n"/>
      <c r="D78" s="2" t="n"/>
      <c r="E78" s="2" t="n"/>
      <c r="F78" s="2" t="n"/>
      <c r="G78" s="2" t="n"/>
      <c r="H78" s="2" t="n"/>
      <c r="I78" s="2" t="n"/>
      <c r="J78" s="2" t="n"/>
      <c r="K78" s="2" t="n"/>
      <c r="L78" s="2" t="n"/>
      <c r="M78" s="2" t="n"/>
      <c r="N78" s="2" t="n"/>
      <c r="O78" s="2" t="n"/>
      <c r="P78" s="2" t="n"/>
      <c r="Q78" s="2" t="n"/>
      <c r="R78" s="2" t="n"/>
      <c r="S78" s="2" t="n"/>
      <c r="T78" s="2" t="n"/>
      <c r="U78" s="2" t="n"/>
      <c r="V78" s="2" t="n"/>
      <c r="W78" s="2" t="n"/>
      <c r="X78" s="2" t="n"/>
      <c r="Y78" s="2" t="n"/>
      <c r="Z78" s="2" t="n"/>
      <c r="AA78" s="2" t="n"/>
      <c r="AB78" s="2" t="n"/>
      <c r="AC78" s="2" t="n"/>
      <c r="AD78" s="2" t="n"/>
      <c r="AE78" s="1" t="n"/>
      <c r="AF78" s="1" t="n"/>
      <c r="AG78" s="1" t="n"/>
    </row>
    <row r="79">
      <c r="A79" s="1" t="n"/>
      <c r="B79" s="2" t="inlineStr">
        <is>
          <t>Sunday</t>
        </is>
      </c>
      <c r="C79" s="2" t="inlineStr">
        <is>
          <t>Monday</t>
        </is>
      </c>
      <c r="D79" s="2" t="inlineStr">
        <is>
          <t>Tuesday</t>
        </is>
      </c>
      <c r="E79" s="2" t="inlineStr">
        <is>
          <t>Wednesday</t>
        </is>
      </c>
      <c r="F79" s="2" t="inlineStr">
        <is>
          <t>Thursday</t>
        </is>
      </c>
      <c r="G79" s="2" t="inlineStr">
        <is>
          <t>Friday</t>
        </is>
      </c>
      <c r="H79" s="2" t="inlineStr">
        <is>
          <t>Saturday</t>
        </is>
      </c>
      <c r="I79" s="2" t="inlineStr">
        <is>
          <t>Sunday</t>
        </is>
      </c>
      <c r="J79" s="2" t="inlineStr">
        <is>
          <t>Monday</t>
        </is>
      </c>
      <c r="K79" s="2" t="inlineStr">
        <is>
          <t>Tuesday</t>
        </is>
      </c>
      <c r="L79" s="2" t="inlineStr">
        <is>
          <t>Wednesday</t>
        </is>
      </c>
      <c r="M79" s="2" t="inlineStr">
        <is>
          <t>Thursday</t>
        </is>
      </c>
      <c r="N79" s="2" t="inlineStr">
        <is>
          <t>Friday</t>
        </is>
      </c>
      <c r="O79" s="2" t="inlineStr">
        <is>
          <t>Saturday</t>
        </is>
      </c>
      <c r="P79" s="2" t="inlineStr">
        <is>
          <t>Sunday</t>
        </is>
      </c>
      <c r="Q79" s="2" t="inlineStr">
        <is>
          <t>Monday</t>
        </is>
      </c>
      <c r="R79" s="2" t="inlineStr">
        <is>
          <t>Tuesday</t>
        </is>
      </c>
      <c r="S79" s="2" t="inlineStr">
        <is>
          <t>Wednesday</t>
        </is>
      </c>
      <c r="T79" s="2" t="inlineStr">
        <is>
          <t>Thursday</t>
        </is>
      </c>
      <c r="U79" s="2" t="inlineStr">
        <is>
          <t>Friday</t>
        </is>
      </c>
      <c r="V79" s="2" t="inlineStr">
        <is>
          <t>Saturday</t>
        </is>
      </c>
      <c r="W79" s="2" t="inlineStr">
        <is>
          <t>Sunday</t>
        </is>
      </c>
      <c r="X79" s="2" t="inlineStr">
        <is>
          <t>Monday</t>
        </is>
      </c>
      <c r="Y79" s="2" t="inlineStr">
        <is>
          <t>Tuesday</t>
        </is>
      </c>
      <c r="Z79" s="2" t="inlineStr">
        <is>
          <t>Wednesday</t>
        </is>
      </c>
      <c r="AA79" s="2" t="inlineStr">
        <is>
          <t>Thursday</t>
        </is>
      </c>
      <c r="AB79" s="2" t="inlineStr">
        <is>
          <t>Friday</t>
        </is>
      </c>
      <c r="AC79" s="2" t="inlineStr">
        <is>
          <t>Saturday</t>
        </is>
      </c>
      <c r="AD79" s="2" t="inlineStr">
        <is>
          <t>Sunday</t>
        </is>
      </c>
      <c r="AE79" s="2" t="inlineStr">
        <is>
          <t>Monday</t>
        </is>
      </c>
      <c r="AF79" s="2" t="inlineStr">
        <is>
          <t>Tuesday</t>
        </is>
      </c>
      <c r="AG79" s="2" t="inlineStr">
        <is>
          <t>Total</t>
        </is>
      </c>
    </row>
    <row r="80">
      <c r="A80" s="1" t="n"/>
      <c r="B80" s="3" t="n">
        <v>45200</v>
      </c>
      <c r="C80" s="4" t="inlineStr">
        <is>
          <t>2nd</t>
        </is>
      </c>
      <c r="D80" s="4" t="inlineStr">
        <is>
          <t>3rd</t>
        </is>
      </c>
      <c r="E80" s="4" t="inlineStr">
        <is>
          <t>4th</t>
        </is>
      </c>
      <c r="F80" s="4" t="inlineStr">
        <is>
          <t>5th</t>
        </is>
      </c>
      <c r="G80" s="4" t="inlineStr">
        <is>
          <t>6th</t>
        </is>
      </c>
      <c r="H80" s="4" t="inlineStr">
        <is>
          <t>7th</t>
        </is>
      </c>
      <c r="I80" s="4" t="inlineStr">
        <is>
          <t>8th</t>
        </is>
      </c>
      <c r="J80" s="5" t="inlineStr">
        <is>
          <t>9th</t>
        </is>
      </c>
      <c r="K80" s="5" t="inlineStr">
        <is>
          <t>10th</t>
        </is>
      </c>
      <c r="L80" s="5" t="inlineStr">
        <is>
          <t>11th</t>
        </is>
      </c>
      <c r="M80" s="5" t="inlineStr">
        <is>
          <t>12th</t>
        </is>
      </c>
      <c r="N80" s="5" t="inlineStr">
        <is>
          <t>13th</t>
        </is>
      </c>
      <c r="O80" s="5" t="inlineStr">
        <is>
          <t>14th</t>
        </is>
      </c>
      <c r="P80" s="5" t="inlineStr">
        <is>
          <t>15th</t>
        </is>
      </c>
      <c r="Q80" s="6" t="inlineStr">
        <is>
          <t>16th</t>
        </is>
      </c>
      <c r="R80" s="6" t="inlineStr">
        <is>
          <t>17th</t>
        </is>
      </c>
      <c r="S80" s="6" t="inlineStr">
        <is>
          <t>18th</t>
        </is>
      </c>
      <c r="T80" s="6" t="inlineStr">
        <is>
          <t>19th</t>
        </is>
      </c>
      <c r="U80" s="6" t="inlineStr">
        <is>
          <t>20th</t>
        </is>
      </c>
      <c r="V80" s="6" t="inlineStr">
        <is>
          <t>21st</t>
        </is>
      </c>
      <c r="W80" s="6" t="inlineStr">
        <is>
          <t>22nd</t>
        </is>
      </c>
      <c r="X80" s="7" t="inlineStr">
        <is>
          <t>23rd</t>
        </is>
      </c>
      <c r="Y80" s="7" t="inlineStr">
        <is>
          <t>24th</t>
        </is>
      </c>
      <c r="Z80" s="7" t="inlineStr">
        <is>
          <t>25th</t>
        </is>
      </c>
      <c r="AA80" s="7" t="inlineStr">
        <is>
          <t>26th</t>
        </is>
      </c>
      <c r="AB80" s="7" t="inlineStr">
        <is>
          <t>27th</t>
        </is>
      </c>
      <c r="AC80" s="7" t="inlineStr">
        <is>
          <t>28th</t>
        </is>
      </c>
      <c r="AD80" s="7" t="inlineStr">
        <is>
          <t>29th</t>
        </is>
      </c>
      <c r="AE80" s="4" t="inlineStr">
        <is>
          <t>30th</t>
        </is>
      </c>
      <c r="AF80" s="4" t="inlineStr">
        <is>
          <t>31st</t>
        </is>
      </c>
      <c r="AG80" s="1" t="n"/>
    </row>
    <row r="81" ht="15.75" customHeight="1">
      <c r="A81" s="8" t="inlineStr">
        <is>
          <t>B-HAM CITY COUNCIL-200790-70489166</t>
        </is>
      </c>
      <c r="B81" s="9" t="n"/>
      <c r="C81" s="9" t="n"/>
      <c r="D81" s="9" t="n"/>
      <c r="E81" s="9" t="n"/>
      <c r="G81" s="9" t="n"/>
      <c r="H81" s="9" t="n"/>
      <c r="I81" s="9" t="n"/>
      <c r="J81" s="9" t="n"/>
      <c r="K81" t="n">
        <v>65406.76</v>
      </c>
      <c r="L81" s="9" t="n"/>
      <c r="M81" s="12" t="n"/>
      <c r="N81" s="9" t="n"/>
      <c r="O81" s="12" t="n"/>
      <c r="P81" s="9" t="n"/>
      <c r="Q81" s="12" t="n"/>
      <c r="R81" s="12" t="n"/>
      <c r="S81" t="n">
        <v>11896.09</v>
      </c>
      <c r="T81" s="12" t="n"/>
      <c r="U81" s="9" t="n"/>
      <c r="V81" s="9" t="n"/>
      <c r="W81" s="9" t="n"/>
      <c r="X81" s="9" t="n"/>
      <c r="Y81" s="9" t="n"/>
      <c r="Z81" s="9" t="n"/>
      <c r="AA81" s="26" t="n">
        <v>5041.28</v>
      </c>
      <c r="AB81" s="9" t="n"/>
      <c r="AC81" s="9" t="n"/>
      <c r="AD81" s="9" t="n"/>
      <c r="AE81" s="9" t="n"/>
      <c r="AF81" s="9" t="n"/>
      <c r="AG81" s="13">
        <f>SUM(B81:AF81)</f>
        <v/>
      </c>
    </row>
    <row r="82" ht="15.75" customHeight="1">
      <c r="A82" s="8" t="inlineStr">
        <is>
          <t>Accord/Age uk</t>
        </is>
      </c>
      <c r="B82" s="9" t="n"/>
      <c r="C82" s="9" t="n"/>
      <c r="D82" s="9" t="n"/>
      <c r="E82" s="9" t="n"/>
      <c r="F82" s="9" t="n"/>
      <c r="G82" s="9" t="n"/>
      <c r="H82" s="9" t="n"/>
      <c r="I82" s="9" t="n"/>
      <c r="K82" s="9" t="n"/>
      <c r="L82" s="9" t="n"/>
      <c r="N82" s="9" t="n"/>
      <c r="O82" s="9" t="n"/>
      <c r="P82" s="9" t="n"/>
      <c r="R82" s="9" t="n"/>
      <c r="S82" s="9" t="n"/>
      <c r="T82" s="9" t="n"/>
      <c r="V82" s="9" t="n"/>
      <c r="W82" s="9" t="n"/>
      <c r="X82" s="9" t="n"/>
      <c r="Y82" s="9" t="n"/>
      <c r="Z82" s="9" t="n"/>
      <c r="AA82" s="31" t="n"/>
      <c r="AB82" s="9" t="n"/>
      <c r="AC82" s="9" t="n"/>
      <c r="AD82" s="9" t="n"/>
      <c r="AE82" s="12" t="n"/>
      <c r="AF82" s="9" t="n"/>
      <c r="AG82" s="13">
        <f>SUM(B82:AF82)</f>
        <v/>
      </c>
    </row>
    <row r="83" ht="15.75" customHeight="1">
      <c r="A83" s="8" t="inlineStr">
        <is>
          <t>Buckingham</t>
        </is>
      </c>
      <c r="B83" s="9" t="n"/>
      <c r="C83" s="12" t="n"/>
      <c r="D83" s="9" t="n"/>
      <c r="E83" s="9" t="n"/>
      <c r="G83" s="9" t="n"/>
      <c r="H83" s="9" t="n"/>
      <c r="I83" s="9" t="n"/>
      <c r="K83" s="9" t="n"/>
      <c r="L83" s="12" t="n"/>
      <c r="N83" s="9" t="n"/>
      <c r="O83" s="9" t="n"/>
      <c r="P83" s="9" t="n"/>
      <c r="R83" s="9" t="n"/>
      <c r="S83" s="9" t="n"/>
      <c r="T83" s="9" t="n"/>
      <c r="V83" s="9" t="n"/>
      <c r="W83" s="9" t="n"/>
      <c r="X83" s="9" t="n"/>
      <c r="Z83" s="9" t="n"/>
      <c r="AA83" s="31" t="n"/>
      <c r="AB83" t="n">
        <v>4937.64</v>
      </c>
      <c r="AC83" s="9" t="n"/>
      <c r="AD83" s="9" t="n"/>
      <c r="AE83" s="9" t="n"/>
      <c r="AF83" s="9" t="n"/>
      <c r="AG83" s="13">
        <f>SUM(B83:AF83)</f>
        <v/>
      </c>
    </row>
    <row r="84" ht="15.75" customHeight="1">
      <c r="A84" s="8" t="inlineStr">
        <is>
          <t>Sandwell respite est</t>
        </is>
      </c>
      <c r="B84" s="9" t="n"/>
      <c r="C84" s="9" t="n"/>
      <c r="D84" s="9" t="n"/>
      <c r="G84" s="9" t="n"/>
      <c r="H84" s="9" t="n"/>
      <c r="I84" s="9" t="n"/>
      <c r="K84" s="9" t="n"/>
      <c r="L84" s="9" t="n"/>
      <c r="N84" s="9" t="n"/>
      <c r="O84" s="9" t="n"/>
      <c r="P84" s="9" t="n"/>
      <c r="Q84" t="n">
        <v>1088</v>
      </c>
      <c r="R84" s="9" t="n"/>
      <c r="S84" s="9" t="n"/>
      <c r="T84" s="9" t="n"/>
      <c r="V84" s="9" t="n"/>
      <c r="W84" s="9" t="n"/>
      <c r="X84" s="9" t="n"/>
      <c r="Y84" s="9" t="n"/>
      <c r="Z84" s="9" t="n"/>
      <c r="AA84" s="31" t="n"/>
      <c r="AB84" t="n">
        <v>11723.2</v>
      </c>
      <c r="AC84" s="9" t="n"/>
      <c r="AD84" s="9" t="n"/>
      <c r="AE84" s="9" t="n"/>
      <c r="AF84" s="9" t="n"/>
      <c r="AG84" s="13">
        <f>SUM(B84:AF84)</f>
        <v/>
      </c>
    </row>
    <row r="85" ht="15.75" customHeight="1">
      <c r="A85" s="8" t="inlineStr">
        <is>
          <t xml:space="preserve">Wolverhampton respite est </t>
        </is>
      </c>
      <c r="B85" s="9" t="n"/>
      <c r="C85" s="9" t="n"/>
      <c r="D85" s="9" t="n"/>
      <c r="F85" s="9" t="n"/>
      <c r="G85" s="9" t="n"/>
      <c r="H85" s="9" t="n"/>
      <c r="I85" s="9" t="n"/>
      <c r="J85" s="9" t="n"/>
      <c r="K85" s="9" t="n"/>
      <c r="L85" s="9" t="n"/>
      <c r="M85" s="9" t="n"/>
      <c r="N85" s="9" t="n"/>
      <c r="O85" s="9" t="n"/>
      <c r="P85" s="9" t="n"/>
      <c r="Q85" t="n">
        <v>11782.03</v>
      </c>
      <c r="R85" s="9" t="n"/>
      <c r="S85" s="9" t="n"/>
      <c r="T85" s="9" t="n"/>
      <c r="U85" t="n">
        <v>10606.72</v>
      </c>
      <c r="V85" s="9" t="n"/>
      <c r="W85" s="9" t="n"/>
      <c r="X85" s="9" t="n"/>
      <c r="Y85" s="9" t="n"/>
      <c r="Z85" s="9" t="n"/>
      <c r="AA85" s="26" t="n"/>
      <c r="AB85" s="9" t="n"/>
      <c r="AC85" s="9" t="n"/>
      <c r="AD85" s="9" t="n"/>
      <c r="AE85" s="9" t="n"/>
      <c r="AF85" s="9" t="n"/>
      <c r="AG85" s="13">
        <f>SUM(B85:AF85)</f>
        <v/>
      </c>
    </row>
    <row r="86" ht="15.75" customHeight="1">
      <c r="A86" s="8" t="inlineStr">
        <is>
          <t>Walsall Respite</t>
        </is>
      </c>
      <c r="B86" s="9" t="n"/>
      <c r="C86" s="9" t="n"/>
      <c r="D86" s="9" t="n"/>
      <c r="F86" s="9" t="n"/>
      <c r="G86" t="n">
        <v>3178.96</v>
      </c>
      <c r="H86" s="9" t="n"/>
      <c r="I86" s="9" t="n"/>
      <c r="J86" s="9" t="n"/>
      <c r="K86" s="9" t="n"/>
      <c r="L86" s="9" t="n"/>
      <c r="M86" s="9" t="n"/>
      <c r="N86" s="9" t="n"/>
      <c r="O86" s="9" t="n"/>
      <c r="P86" s="9" t="n"/>
      <c r="Q86" s="9" t="n"/>
      <c r="R86" s="9" t="n"/>
      <c r="S86" s="9" t="n"/>
      <c r="T86" s="9" t="n"/>
      <c r="U86" s="9" t="n"/>
      <c r="V86" s="9" t="n"/>
      <c r="W86" s="9" t="n"/>
      <c r="X86" s="9" t="n"/>
      <c r="Y86" s="26" t="n">
        <v>17047.2</v>
      </c>
      <c r="Z86" s="9" t="n"/>
      <c r="AA86" s="26" t="n"/>
      <c r="AB86" s="9" t="n"/>
      <c r="AC86" s="9" t="n"/>
      <c r="AD86" s="9" t="n"/>
      <c r="AE86" s="9" t="n"/>
      <c r="AF86" s="12" t="n"/>
      <c r="AG86" s="13">
        <f>SUM(B86:AF86)</f>
        <v/>
      </c>
    </row>
    <row r="87" ht="18.75" customHeight="1">
      <c r="A87" s="8" t="inlineStr">
        <is>
          <t>Ideal for All Ltd</t>
        </is>
      </c>
      <c r="B87" s="9" t="n"/>
      <c r="C87" s="12" t="n"/>
      <c r="D87" s="12" t="n"/>
      <c r="F87" s="11" t="n"/>
      <c r="G87" s="12" t="n"/>
      <c r="H87" s="9" t="n"/>
      <c r="I87" s="12" t="n"/>
      <c r="J87" t="n">
        <v>3556.45</v>
      </c>
      <c r="K87" s="11" t="n"/>
      <c r="L87" s="9" t="n"/>
      <c r="M87" s="12" t="n"/>
      <c r="N87" s="11" t="n"/>
      <c r="O87" s="12" t="n"/>
      <c r="P87" s="11" t="n"/>
      <c r="Q87" s="12" t="n"/>
      <c r="R87" s="12" t="n"/>
      <c r="S87" s="11" t="n"/>
      <c r="T87" s="12" t="n"/>
      <c r="U87" s="9" t="n"/>
      <c r="V87" s="12" t="n"/>
      <c r="W87" s="12" t="n"/>
      <c r="X87" s="12" t="n"/>
      <c r="Y87" s="26" t="n"/>
      <c r="Z87" s="9" t="n"/>
      <c r="AA87" s="26" t="n"/>
      <c r="AB87" s="12" t="n"/>
      <c r="AC87" s="9" t="n"/>
      <c r="AD87" s="12" t="n"/>
      <c r="AE87" s="12" t="n"/>
      <c r="AF87" s="9" t="n"/>
      <c r="AG87" s="13">
        <f>SUM(B87:AF87)</f>
        <v/>
      </c>
    </row>
    <row r="88" ht="15.75" customHeight="1">
      <c r="A88" s="8" t="inlineStr">
        <is>
          <t>KIRKLEES COUNCIL-204312-63046958</t>
        </is>
      </c>
      <c r="B88" s="9" t="n"/>
      <c r="C88" s="9" t="n"/>
      <c r="D88" s="9" t="n"/>
      <c r="F88" s="9" t="n"/>
      <c r="G88" s="9" t="n"/>
      <c r="H88" s="9" t="n"/>
      <c r="I88" s="9" t="n"/>
      <c r="J88" s="9" t="n"/>
      <c r="K88" s="9" t="n"/>
      <c r="L88" s="9" t="n"/>
      <c r="M88" s="9" t="n"/>
      <c r="N88" s="12" t="n"/>
      <c r="O88" s="9" t="n"/>
      <c r="P88" s="9" t="n"/>
      <c r="Q88" s="12" t="n"/>
      <c r="R88" s="9" t="n"/>
      <c r="S88" s="9" t="n"/>
      <c r="U88" s="9" t="n"/>
      <c r="V88" s="9" t="n"/>
      <c r="W88" s="12" t="n"/>
      <c r="X88" s="9" t="n"/>
      <c r="Y88" s="31" t="n"/>
      <c r="Z88" s="9" t="n"/>
      <c r="AA88" s="26" t="n"/>
      <c r="AC88" s="9" t="n"/>
      <c r="AD88" s="9" t="n"/>
      <c r="AE88" s="12" t="n"/>
      <c r="AF88" s="9" t="n"/>
      <c r="AG88" s="13">
        <f>SUM(B88:AF88)</f>
        <v/>
      </c>
    </row>
    <row r="89" ht="15.75" customHeight="1">
      <c r="A89" s="8" t="inlineStr">
        <is>
          <t>LBH PAYMENTS BACS-602210-72430192</t>
        </is>
      </c>
      <c r="B89" s="9" t="n"/>
      <c r="C89" s="12" t="n"/>
      <c r="D89" s="9" t="n"/>
      <c r="F89" t="n">
        <v>5040</v>
      </c>
      <c r="G89" s="9" t="n"/>
      <c r="H89" s="9" t="n"/>
      <c r="I89" s="12" t="n"/>
      <c r="J89" s="9" t="n"/>
      <c r="K89" s="9" t="n"/>
      <c r="L89" s="9" t="n"/>
      <c r="M89" s="9" t="n"/>
      <c r="N89" s="9" t="n"/>
      <c r="O89" s="12" t="n"/>
      <c r="P89" s="9" t="n"/>
      <c r="Q89" s="9" t="n"/>
      <c r="R89" s="9" t="n"/>
      <c r="S89" s="9" t="n"/>
      <c r="T89" s="9" t="n"/>
      <c r="U89" s="9" t="n"/>
      <c r="V89" s="9" t="n"/>
      <c r="W89" s="9" t="n"/>
      <c r="X89" s="9" t="n"/>
      <c r="Y89" s="26" t="n"/>
      <c r="Z89" s="9" t="n"/>
      <c r="AA89" s="26" t="n"/>
      <c r="AB89" s="9" t="n"/>
      <c r="AC89" s="9" t="n"/>
      <c r="AD89" s="9" t="n"/>
      <c r="AE89" s="9" t="n"/>
      <c r="AF89" s="9" t="n"/>
      <c r="AG89" s="13">
        <f>SUM(B89:AF89)</f>
        <v/>
      </c>
    </row>
    <row r="90" ht="15.75" customHeight="1">
      <c r="A90" s="8" t="inlineStr">
        <is>
          <t>NHS BIRMINGHAM &amp; S-607080-10017097</t>
        </is>
      </c>
      <c r="B90" s="9" t="n"/>
      <c r="C90" s="9" t="n"/>
      <c r="D90" s="9" t="n"/>
      <c r="F90" s="9" t="n"/>
      <c r="G90" s="9" t="n"/>
      <c r="H90" s="9" t="n"/>
      <c r="I90" s="9" t="n"/>
      <c r="J90" s="9" t="n"/>
      <c r="K90" s="9" t="n"/>
      <c r="L90" s="9" t="n"/>
      <c r="M90" s="12" t="n"/>
      <c r="N90" t="n">
        <v>6201.34</v>
      </c>
      <c r="O90" s="9" t="n"/>
      <c r="P90" s="12" t="n"/>
      <c r="Q90" s="12" t="n"/>
      <c r="R90" s="9" t="n"/>
      <c r="S90" s="9" t="n"/>
      <c r="T90" s="9" t="n"/>
      <c r="U90" s="9" t="n"/>
      <c r="V90" s="9" t="n"/>
      <c r="W90" s="9" t="n"/>
      <c r="X90" s="9" t="n"/>
      <c r="Y90" s="26" t="n"/>
      <c r="Z90" s="12" t="n"/>
      <c r="AA90" s="26" t="n"/>
      <c r="AC90" s="9" t="n"/>
      <c r="AD90" s="9" t="n"/>
      <c r="AE90" s="12" t="n"/>
      <c r="AF90" s="9" t="n"/>
      <c r="AG90" s="13">
        <f>SUM(B90:AF90)</f>
        <v/>
      </c>
    </row>
    <row r="91" ht="15.75" customHeight="1">
      <c r="A91" s="8" t="inlineStr">
        <is>
          <t>NHS BLACK COUNTRY-607080-10015272</t>
        </is>
      </c>
      <c r="B91" s="9" t="n"/>
      <c r="C91" s="9" t="n"/>
      <c r="D91" s="9" t="n"/>
      <c r="F91" s="9" t="n"/>
      <c r="G91" s="9" t="n"/>
      <c r="H91" s="9" t="n"/>
      <c r="I91" s="9" t="n"/>
      <c r="J91" s="12" t="n"/>
      <c r="K91" s="9" t="n"/>
      <c r="L91" s="12" t="n"/>
      <c r="M91" s="9" t="n"/>
      <c r="N91" t="n">
        <v>13625.17</v>
      </c>
      <c r="O91" s="9" t="n"/>
      <c r="P91" s="12" t="n"/>
      <c r="Q91" s="12" t="n"/>
      <c r="R91" t="n">
        <v>24757.85</v>
      </c>
      <c r="S91" s="12" t="n"/>
      <c r="T91" s="9" t="n"/>
      <c r="U91" t="n">
        <v>1468.8</v>
      </c>
      <c r="V91" s="9" t="n"/>
      <c r="W91" s="9" t="n"/>
      <c r="X91" s="9" t="n"/>
      <c r="Y91" s="26" t="n"/>
      <c r="Z91" s="12" t="n"/>
      <c r="AA91" s="26" t="n"/>
      <c r="AB91" s="9" t="n"/>
      <c r="AC91" s="9" t="n"/>
      <c r="AD91" s="9" t="n"/>
      <c r="AE91" s="9" t="n"/>
      <c r="AF91" s="9" t="n"/>
      <c r="AG91" s="13">
        <f>SUM(B91:AF91)</f>
        <v/>
      </c>
    </row>
    <row r="92" ht="15.75" customHeight="1">
      <c r="A92" s="14" t="inlineStr">
        <is>
          <t>SANDWELL MBC  BEN-601539-69624151</t>
        </is>
      </c>
      <c r="B92" s="9" t="n"/>
      <c r="C92" s="9" t="n"/>
      <c r="D92" s="9" t="n"/>
      <c r="F92" s="9" t="n"/>
      <c r="G92" s="9" t="n"/>
      <c r="H92" s="9" t="n"/>
      <c r="I92" s="9" t="n"/>
      <c r="J92" s="9" t="n"/>
      <c r="K92" s="9" t="n"/>
      <c r="L92" s="9" t="n"/>
      <c r="M92" s="9" t="n"/>
      <c r="N92" s="9" t="n"/>
      <c r="O92" s="9" t="n"/>
      <c r="P92" s="9" t="n"/>
      <c r="Q92" s="31" t="n">
        <v>3318.24</v>
      </c>
      <c r="R92" s="9" t="n"/>
      <c r="S92" s="9" t="n"/>
      <c r="T92" s="12" t="n"/>
      <c r="U92" s="9" t="n"/>
      <c r="V92" s="12" t="n"/>
      <c r="W92" s="9" t="n"/>
      <c r="X92" s="9" t="n"/>
      <c r="Y92" s="31" t="n"/>
      <c r="Z92" s="9" t="n"/>
      <c r="AA92" s="26" t="n"/>
      <c r="AB92" s="9" t="n"/>
      <c r="AC92" s="9" t="n"/>
      <c r="AD92" s="9" t="n"/>
      <c r="AE92" s="9" t="n"/>
      <c r="AF92" s="9" t="n"/>
      <c r="AG92" s="13">
        <f>SUM(B92:AF92)</f>
        <v/>
      </c>
    </row>
    <row r="93" ht="15.75" customHeight="1">
      <c r="A93" s="14" t="inlineStr">
        <is>
          <t>SANDWELL MBC-601539-69624135</t>
        </is>
      </c>
      <c r="B93" s="9" t="n"/>
      <c r="C93" s="9" t="n"/>
      <c r="D93" s="12" t="n"/>
      <c r="F93" t="n">
        <v>116337.52</v>
      </c>
      <c r="G93" s="9" t="n"/>
      <c r="H93" s="9" t="n"/>
      <c r="I93" s="12" t="n"/>
      <c r="J93" s="12" t="n"/>
      <c r="K93" s="9" t="n"/>
      <c r="L93" s="9" t="n"/>
      <c r="M93" s="9" t="n"/>
      <c r="N93" s="9" t="n"/>
      <c r="O93" s="9" t="n"/>
      <c r="P93" s="9" t="n"/>
      <c r="Q93">
        <f>72926.52-Q84</f>
        <v/>
      </c>
      <c r="R93" s="9" t="n"/>
      <c r="S93" s="12" t="n"/>
      <c r="T93" s="9" t="n"/>
      <c r="U93" s="9" t="n"/>
      <c r="V93" s="9" t="n"/>
      <c r="W93" s="9" t="n"/>
      <c r="X93" s="12" t="n"/>
      <c r="Y93" s="26" t="n">
        <v>7842.79</v>
      </c>
      <c r="Z93" s="9" t="n"/>
      <c r="AA93" s="26" t="n"/>
      <c r="AB93" s="9" t="n"/>
      <c r="AC93" s="9" t="n"/>
      <c r="AD93" s="9" t="n"/>
      <c r="AE93" t="n">
        <v>102631.84</v>
      </c>
      <c r="AG93" s="13">
        <f>SUM(B93:AE93)</f>
        <v/>
      </c>
    </row>
    <row r="94" ht="15.75" customHeight="1">
      <c r="A94" s="15" t="inlineStr">
        <is>
          <t>SOLIHULL MBC EXP.-200771-00561525</t>
        </is>
      </c>
      <c r="B94" s="9" t="n"/>
      <c r="C94" s="9" t="n"/>
      <c r="D94" s="9" t="n"/>
      <c r="E94" s="12" t="n"/>
      <c r="F94" s="9" t="n"/>
      <c r="G94" s="9" t="n"/>
      <c r="H94" s="9" t="n"/>
      <c r="I94" s="9" t="n"/>
      <c r="J94" s="31" t="n">
        <v>30000.6</v>
      </c>
      <c r="K94" s="9" t="n"/>
      <c r="L94" s="12" t="n"/>
      <c r="M94" s="9" t="n"/>
      <c r="N94" s="9" t="n"/>
      <c r="O94" s="9" t="n"/>
      <c r="P94" s="9" t="n"/>
      <c r="Q94" s="9" t="n"/>
      <c r="R94" s="12" t="n"/>
      <c r="S94" s="9" t="n"/>
      <c r="T94" s="9" t="n"/>
      <c r="U94" s="9" t="n"/>
      <c r="V94" s="9" t="n"/>
      <c r="W94" s="9" t="n"/>
      <c r="X94" s="12" t="n"/>
      <c r="Y94" s="26" t="n"/>
      <c r="Z94" s="9" t="n"/>
      <c r="AA94" s="26" t="n"/>
      <c r="AB94" s="9" t="n"/>
      <c r="AC94" s="9" t="n"/>
      <c r="AD94" s="9" t="n"/>
      <c r="AE94" s="9" t="n"/>
      <c r="AF94" s="9" t="n"/>
      <c r="AG94" s="13">
        <f>SUM(B94:AF94)</f>
        <v/>
      </c>
    </row>
    <row r="95" ht="15.75" customHeight="1">
      <c r="A95" s="15" t="inlineStr">
        <is>
          <t>WALSALL MBC BARC-209073-10731692</t>
        </is>
      </c>
      <c r="B95" s="9" t="n"/>
      <c r="C95" s="9" t="n"/>
      <c r="D95" s="12" t="n"/>
      <c r="E95" s="12" t="n"/>
      <c r="F95" s="9" t="n"/>
      <c r="H95" s="9" t="n"/>
      <c r="I95" s="9" t="n"/>
      <c r="J95" s="9" t="n"/>
      <c r="K95" s="9" t="n"/>
      <c r="L95" s="9" t="n"/>
      <c r="M95" s="9" t="n"/>
      <c r="N95" s="9" t="n"/>
      <c r="O95" s="9" t="n"/>
      <c r="P95" s="9" t="n"/>
      <c r="Q95" s="9" t="n"/>
      <c r="R95" s="9" t="n"/>
      <c r="S95" s="9" t="n"/>
      <c r="T95" s="9" t="n"/>
      <c r="U95" s="9" t="n"/>
      <c r="V95" s="9" t="n"/>
      <c r="W95" s="9" t="n"/>
      <c r="Y95" s="26" t="n">
        <v>159119.4</v>
      </c>
      <c r="Z95" s="9" t="n"/>
      <c r="AA95" s="26" t="n"/>
      <c r="AB95" s="9" t="n"/>
      <c r="AC95" s="12" t="n"/>
      <c r="AD95" s="9" t="n"/>
      <c r="AE95" s="9" t="n"/>
      <c r="AF95" s="12" t="n"/>
      <c r="AG95" s="13">
        <f>SUM(B95:AF95)</f>
        <v/>
      </c>
    </row>
    <row r="96" ht="15.75" customHeight="1">
      <c r="A96" s="15" t="inlineStr">
        <is>
          <t>WOLVERHAMPTON CC-560069-44470320</t>
        </is>
      </c>
      <c r="B96" s="9" t="n"/>
      <c r="C96" s="9" t="n"/>
      <c r="D96" s="9" t="n"/>
      <c r="E96" s="9" t="n"/>
      <c r="F96" t="n">
        <v>110246</v>
      </c>
      <c r="G96" s="9" t="n"/>
      <c r="H96" s="9" t="n"/>
      <c r="I96" s="9" t="n"/>
      <c r="J96" s="9" t="n"/>
      <c r="K96" s="9" t="n"/>
      <c r="L96" s="9" t="n"/>
      <c r="M96" s="26" t="n">
        <v>103871.82</v>
      </c>
      <c r="N96" s="9" t="n"/>
      <c r="O96" s="9" t="n"/>
      <c r="P96" s="9" t="n"/>
      <c r="Q96" s="9" t="n"/>
      <c r="R96" s="9" t="n"/>
      <c r="S96" s="9" t="n"/>
      <c r="T96" s="26" t="n">
        <v>106409.94</v>
      </c>
      <c r="U96" s="9" t="n"/>
      <c r="V96" s="9" t="n"/>
      <c r="W96" s="9" t="n"/>
      <c r="X96" s="9" t="n"/>
      <c r="Y96" s="26" t="n"/>
      <c r="Z96" s="9" t="n"/>
      <c r="AA96" s="26" t="n">
        <v>110945.94</v>
      </c>
      <c r="AB96" s="9" t="n"/>
      <c r="AC96" s="9" t="n"/>
      <c r="AD96" s="9" t="n"/>
      <c r="AE96" s="9" t="n"/>
      <c r="AF96" s="9" t="n"/>
      <c r="AG96" s="13">
        <f>SUM(B96:AF96)</f>
        <v/>
      </c>
    </row>
    <row r="97" ht="15.75" customHeight="1">
      <c r="A97" s="15" t="inlineStr">
        <is>
          <t>TLC</t>
        </is>
      </c>
      <c r="B97" t="n">
        <v>8529.25</v>
      </c>
      <c r="C97" s="9" t="n"/>
      <c r="D97" s="12" t="n"/>
      <c r="E97" s="12" t="n"/>
      <c r="F97" t="n">
        <v>1438.8</v>
      </c>
      <c r="G97" s="9" t="n"/>
      <c r="H97" s="9" t="n"/>
      <c r="I97" s="9" t="n"/>
      <c r="J97" s="9" t="n"/>
      <c r="M97" s="12" t="n"/>
      <c r="O97" s="12" t="n"/>
      <c r="P97" s="12" t="n"/>
      <c r="Q97" s="12" t="n"/>
      <c r="S97" s="12" t="n"/>
      <c r="T97" s="9" t="n"/>
      <c r="U97" s="9" t="n"/>
      <c r="V97" s="9" t="n"/>
      <c r="W97" s="9" t="n"/>
      <c r="Y97" s="9" t="n"/>
      <c r="Z97" t="n">
        <v>8660.049999999999</v>
      </c>
      <c r="AA97" s="26" t="n">
        <v>6188</v>
      </c>
      <c r="AB97" s="9" t="n"/>
      <c r="AD97" s="9" t="n"/>
      <c r="AE97" t="n">
        <v>7831.65</v>
      </c>
      <c r="AF97" s="12" t="n"/>
      <c r="AG97" s="13">
        <f>SUM(B97:AF97)</f>
        <v/>
      </c>
    </row>
    <row r="98" ht="15.75" customHeight="1">
      <c r="A98" s="15" t="inlineStr">
        <is>
          <t>HB SC</t>
        </is>
      </c>
      <c r="B98" s="16" t="n">
        <v>200</v>
      </c>
      <c r="C98" s="16" t="n">
        <v>5436.93</v>
      </c>
      <c r="D98" s="16" t="n">
        <v>3596.8</v>
      </c>
      <c r="E98" s="16" t="n">
        <v>3197.29</v>
      </c>
      <c r="F98" s="16" t="n">
        <v>2654.82</v>
      </c>
      <c r="G98" s="16" t="n">
        <v>4040.59</v>
      </c>
      <c r="H98" s="16" t="n">
        <v>0</v>
      </c>
      <c r="I98" s="16" t="n">
        <v>0</v>
      </c>
      <c r="J98" s="16" t="n">
        <v>5869.149999999999</v>
      </c>
      <c r="K98" s="16" t="n">
        <v>1481.359999999993</v>
      </c>
      <c r="L98" s="16" t="n">
        <v>2255.65</v>
      </c>
      <c r="M98" s="16" t="n">
        <v>760.45</v>
      </c>
      <c r="N98" s="16" t="n">
        <v>6160.33</v>
      </c>
      <c r="O98" s="16" t="n">
        <v>150</v>
      </c>
      <c r="P98" s="16" t="n">
        <v>0</v>
      </c>
      <c r="Q98" s="16" t="n">
        <v>5604.090000000002</v>
      </c>
      <c r="R98" s="16" t="n">
        <v>1724.98</v>
      </c>
      <c r="S98" s="16" t="n">
        <v>5580.670000000006</v>
      </c>
      <c r="T98" s="16" t="n">
        <v>2423.070000000007</v>
      </c>
      <c r="U98" t="n">
        <v>8251.490000000003</v>
      </c>
      <c r="V98" s="16" t="n">
        <v>860.5599999999999</v>
      </c>
      <c r="W98" s="16" t="n">
        <v>411.67</v>
      </c>
      <c r="X98" s="16" t="n">
        <v>6492.54</v>
      </c>
      <c r="Y98" s="16" t="n">
        <v>2652.289999999987</v>
      </c>
      <c r="Z98" s="16" t="n">
        <v>132247.63</v>
      </c>
      <c r="AA98" s="16" t="n">
        <v>23253.57000000001</v>
      </c>
      <c r="AB98" s="16" t="n">
        <v>5466.87</v>
      </c>
      <c r="AC98" s="16" t="n">
        <v>240</v>
      </c>
      <c r="AD98" s="16" t="n">
        <v>0</v>
      </c>
      <c r="AE98" s="16" t="n">
        <v>11635.38</v>
      </c>
      <c r="AF98" s="16" t="n">
        <v>3509.61</v>
      </c>
      <c r="AG98" s="13">
        <f>SUM(B98:AF98)</f>
        <v/>
      </c>
    </row>
    <row r="99" ht="16.5" customHeight="1" thickBot="1">
      <c r="A99" s="53" t="inlineStr">
        <is>
          <t>Total</t>
        </is>
      </c>
      <c r="B99" s="29">
        <f>SUM(B81:B98)</f>
        <v/>
      </c>
      <c r="C99" s="29">
        <f>SUM(C81:C98)</f>
        <v/>
      </c>
      <c r="D99" s="29">
        <f>SUM(D81:D98)</f>
        <v/>
      </c>
      <c r="E99" s="29">
        <f>SUM(E81:E98)</f>
        <v/>
      </c>
      <c r="F99" s="29">
        <f>SUM(F82:F98)</f>
        <v/>
      </c>
      <c r="G99" s="29">
        <f>SUM(G81:G98)</f>
        <v/>
      </c>
      <c r="H99" s="29">
        <f>SUM(H81:H98)</f>
        <v/>
      </c>
      <c r="I99" s="29">
        <f>SUM(I81:I98)</f>
        <v/>
      </c>
      <c r="J99" s="29">
        <f>SUM(J81:J98)</f>
        <v/>
      </c>
      <c r="K99" s="29">
        <f>SUM(K81:K98)</f>
        <v/>
      </c>
      <c r="L99" s="29">
        <f>SUM(L81:L98)</f>
        <v/>
      </c>
      <c r="M99" s="29">
        <f>SUM(M81:M98)</f>
        <v/>
      </c>
      <c r="N99" s="29">
        <f>SUM(N81:N98)</f>
        <v/>
      </c>
      <c r="O99" s="29">
        <f>SUM(O81:O98)</f>
        <v/>
      </c>
      <c r="P99" s="29">
        <f>SUM(P81:P98)</f>
        <v/>
      </c>
      <c r="Q99" s="29">
        <f>SUM(Q81:Q98)</f>
        <v/>
      </c>
      <c r="R99" s="29">
        <f>SUM(R81:R98)</f>
        <v/>
      </c>
      <c r="S99" s="29">
        <f>SUM(S81:S98)</f>
        <v/>
      </c>
      <c r="T99" s="29">
        <f>SUM(T81:T98)</f>
        <v/>
      </c>
      <c r="U99" s="29">
        <f>SUM(U81:U98)</f>
        <v/>
      </c>
      <c r="V99" s="29">
        <f>SUM(V81:V98)</f>
        <v/>
      </c>
      <c r="W99" s="29">
        <f>SUM(W81:W98)</f>
        <v/>
      </c>
      <c r="X99" s="29">
        <f>SUM(X81:X98)</f>
        <v/>
      </c>
      <c r="Y99" s="29">
        <f>SUM(Y81:Y98)</f>
        <v/>
      </c>
      <c r="Z99" s="29">
        <f>SUM(Z81:Z98)</f>
        <v/>
      </c>
      <c r="AA99" s="29">
        <f>SUM(AA81:AA98)</f>
        <v/>
      </c>
      <c r="AB99" s="29">
        <f>SUM(AB81:AB98)</f>
        <v/>
      </c>
      <c r="AC99" s="29">
        <f>SUM(AC81:AC98)</f>
        <v/>
      </c>
      <c r="AD99" s="29">
        <f>SUM(AD81:AD98)</f>
        <v/>
      </c>
      <c r="AE99" s="29">
        <f>SUM(AE81:AE98)</f>
        <v/>
      </c>
      <c r="AF99" s="29">
        <f>SUM(AF81:AF98)</f>
        <v/>
      </c>
      <c r="AG99" s="22">
        <f>SUM(AG81:AG98)+Z105</f>
        <v/>
      </c>
    </row>
    <row r="100" ht="15.75" customHeight="1" thickTop="1"/>
    <row r="103">
      <c r="A103" s="1" t="n"/>
      <c r="B103" s="2" t="inlineStr">
        <is>
          <t>Nov</t>
        </is>
      </c>
      <c r="C103" s="2" t="n"/>
      <c r="D103" s="2" t="n"/>
      <c r="E103" s="2" t="n"/>
      <c r="F103" s="2" t="n"/>
      <c r="G103" s="2" t="n"/>
      <c r="H103" s="2" t="n"/>
      <c r="I103" s="2" t="n"/>
      <c r="J103" s="2" t="n"/>
      <c r="K103" s="2" t="n"/>
      <c r="L103" s="2" t="n"/>
      <c r="M103" s="2" t="n"/>
      <c r="N103" s="2" t="n"/>
      <c r="O103" s="2" t="n"/>
      <c r="P103" s="2" t="n"/>
      <c r="Q103" s="2" t="n"/>
      <c r="R103" s="2" t="n"/>
      <c r="S103" s="2" t="n"/>
      <c r="T103" s="2" t="n"/>
      <c r="U103" s="2" t="n"/>
      <c r="V103" s="2" t="n"/>
      <c r="W103" s="2" t="n"/>
      <c r="X103" s="2" t="n"/>
      <c r="Y103" s="2" t="n"/>
      <c r="Z103" s="2" t="n"/>
      <c r="AA103" s="2" t="n"/>
      <c r="AB103" s="2" t="n"/>
      <c r="AC103" s="2" t="n"/>
      <c r="AD103" s="2" t="n"/>
      <c r="AE103" s="1" t="n"/>
      <c r="AF103" s="1" t="n"/>
      <c r="AG103" s="1" t="n"/>
    </row>
    <row r="104">
      <c r="A104" s="1" t="n"/>
      <c r="B104" s="2" t="inlineStr">
        <is>
          <t>Wednesday</t>
        </is>
      </c>
      <c r="C104" s="2" t="inlineStr">
        <is>
          <t>Thursday</t>
        </is>
      </c>
      <c r="D104" s="2" t="inlineStr">
        <is>
          <t>Friday</t>
        </is>
      </c>
      <c r="E104" s="2" t="inlineStr">
        <is>
          <t>Saturday</t>
        </is>
      </c>
      <c r="F104" s="2" t="inlineStr">
        <is>
          <t>Sunday</t>
        </is>
      </c>
      <c r="G104" s="2" t="inlineStr">
        <is>
          <t>Monday</t>
        </is>
      </c>
      <c r="H104" s="2" t="inlineStr">
        <is>
          <t>Tuesday</t>
        </is>
      </c>
      <c r="I104" s="2" t="inlineStr">
        <is>
          <t>Wednesday</t>
        </is>
      </c>
      <c r="J104" s="2" t="inlineStr">
        <is>
          <t>Thursday</t>
        </is>
      </c>
      <c r="K104" s="2" t="inlineStr">
        <is>
          <t>Friday</t>
        </is>
      </c>
      <c r="L104" s="2" t="inlineStr">
        <is>
          <t>Saturday</t>
        </is>
      </c>
      <c r="M104" s="2" t="inlineStr">
        <is>
          <t>Sunday</t>
        </is>
      </c>
      <c r="N104" s="2" t="inlineStr">
        <is>
          <t>Monday</t>
        </is>
      </c>
      <c r="O104" s="2" t="inlineStr">
        <is>
          <t>Tuesday</t>
        </is>
      </c>
      <c r="P104" s="2" t="inlineStr">
        <is>
          <t>Wednesday</t>
        </is>
      </c>
      <c r="Q104" s="2" t="inlineStr">
        <is>
          <t>Thursday</t>
        </is>
      </c>
      <c r="R104" s="2" t="inlineStr">
        <is>
          <t>Friday</t>
        </is>
      </c>
      <c r="S104" s="2" t="inlineStr">
        <is>
          <t>Saturday</t>
        </is>
      </c>
      <c r="T104" s="2" t="inlineStr">
        <is>
          <t>Sunday</t>
        </is>
      </c>
      <c r="U104" s="2" t="inlineStr">
        <is>
          <t>Monday</t>
        </is>
      </c>
      <c r="V104" s="2" t="inlineStr">
        <is>
          <t>Tuesday</t>
        </is>
      </c>
      <c r="W104" s="2" t="inlineStr">
        <is>
          <t>Wednesday</t>
        </is>
      </c>
      <c r="X104" s="2" t="inlineStr">
        <is>
          <t>Thursday</t>
        </is>
      </c>
      <c r="Y104" s="2" t="inlineStr">
        <is>
          <t>Friday</t>
        </is>
      </c>
      <c r="Z104" s="2" t="inlineStr">
        <is>
          <t>Saturday</t>
        </is>
      </c>
      <c r="AA104" s="2" t="inlineStr">
        <is>
          <t>Sunday</t>
        </is>
      </c>
      <c r="AB104" s="2" t="inlineStr">
        <is>
          <t>Monday</t>
        </is>
      </c>
      <c r="AC104" s="2" t="inlineStr">
        <is>
          <t>Tuesday</t>
        </is>
      </c>
      <c r="AD104" s="2" t="inlineStr">
        <is>
          <t>Wednesday</t>
        </is>
      </c>
      <c r="AE104" s="2" t="inlineStr">
        <is>
          <t>Thursday</t>
        </is>
      </c>
      <c r="AF104" s="2" t="n"/>
      <c r="AG104" s="2" t="inlineStr">
        <is>
          <t>Total</t>
        </is>
      </c>
    </row>
    <row r="105">
      <c r="A105" s="1" t="n"/>
      <c r="B105" s="4" t="inlineStr">
        <is>
          <t>1st</t>
        </is>
      </c>
      <c r="C105" s="4" t="inlineStr">
        <is>
          <t>2nd</t>
        </is>
      </c>
      <c r="D105" s="4" t="inlineStr">
        <is>
          <t>3rd</t>
        </is>
      </c>
      <c r="E105" s="4" t="inlineStr">
        <is>
          <t>4th</t>
        </is>
      </c>
      <c r="F105" s="4" t="inlineStr">
        <is>
          <t>5th</t>
        </is>
      </c>
      <c r="G105" s="3" t="inlineStr">
        <is>
          <t>6th</t>
        </is>
      </c>
      <c r="H105" s="3" t="inlineStr">
        <is>
          <t>7th</t>
        </is>
      </c>
      <c r="I105" s="3" t="inlineStr">
        <is>
          <t>8th</t>
        </is>
      </c>
      <c r="J105" s="3" t="inlineStr">
        <is>
          <t>9th</t>
        </is>
      </c>
      <c r="K105" s="3" t="inlineStr">
        <is>
          <t>10th</t>
        </is>
      </c>
      <c r="L105" s="3" t="inlineStr">
        <is>
          <t>11th</t>
        </is>
      </c>
      <c r="M105" s="3" t="inlineStr">
        <is>
          <t>12th</t>
        </is>
      </c>
      <c r="N105" s="5" t="inlineStr">
        <is>
          <t>13th</t>
        </is>
      </c>
      <c r="O105" s="5" t="inlineStr">
        <is>
          <t>14th</t>
        </is>
      </c>
      <c r="P105" s="5" t="inlineStr">
        <is>
          <t>15th</t>
        </is>
      </c>
      <c r="Q105" s="5" t="inlineStr">
        <is>
          <t>16th</t>
        </is>
      </c>
      <c r="R105" s="5" t="inlineStr">
        <is>
          <t>17th</t>
        </is>
      </c>
      <c r="S105" s="5" t="inlineStr">
        <is>
          <t>18th</t>
        </is>
      </c>
      <c r="T105" s="5" t="inlineStr">
        <is>
          <t>19th</t>
        </is>
      </c>
      <c r="U105" s="6" t="inlineStr">
        <is>
          <t>20th</t>
        </is>
      </c>
      <c r="V105" s="6" t="inlineStr">
        <is>
          <t>21st</t>
        </is>
      </c>
      <c r="W105" s="6" t="inlineStr">
        <is>
          <t>22nd</t>
        </is>
      </c>
      <c r="X105" s="6" t="inlineStr">
        <is>
          <t>23rd</t>
        </is>
      </c>
      <c r="Y105" s="6" t="inlineStr">
        <is>
          <t>24th</t>
        </is>
      </c>
      <c r="Z105" s="6" t="inlineStr">
        <is>
          <t>25th</t>
        </is>
      </c>
      <c r="AA105" s="6" t="inlineStr">
        <is>
          <t>26th</t>
        </is>
      </c>
      <c r="AB105" s="7" t="inlineStr">
        <is>
          <t>27th</t>
        </is>
      </c>
      <c r="AC105" s="7" t="inlineStr">
        <is>
          <t>28th</t>
        </is>
      </c>
      <c r="AD105" s="7" t="inlineStr">
        <is>
          <t>29th</t>
        </is>
      </c>
      <c r="AE105" s="7" t="inlineStr">
        <is>
          <t>30th</t>
        </is>
      </c>
      <c r="AF105" s="7" t="n"/>
      <c r="AG105" s="1" t="n"/>
    </row>
    <row r="106" ht="15.75" customHeight="1">
      <c r="A106" s="8" t="inlineStr">
        <is>
          <t>B-HAM CITY COUNCIL-200790-70489166</t>
        </is>
      </c>
      <c r="D106" s="9" t="n"/>
      <c r="E106" s="9" t="n"/>
      <c r="F106" s="9" t="n"/>
      <c r="G106" s="9" t="n"/>
      <c r="I106" s="9" t="n"/>
      <c r="J106" t="n">
        <v>64186.4</v>
      </c>
      <c r="K106" s="9" t="n"/>
      <c r="L106" s="12" t="n"/>
      <c r="M106" s="9" t="n"/>
      <c r="N106" s="12" t="n"/>
      <c r="O106" s="12" t="n"/>
      <c r="Q106" s="12" t="n"/>
      <c r="R106" s="31" t="n"/>
      <c r="S106" s="26" t="n"/>
      <c r="T106" s="26" t="n"/>
      <c r="U106" s="26" t="n"/>
      <c r="V106" s="26" t="n"/>
      <c r="W106" s="9" t="n"/>
      <c r="X106" t="n">
        <v>5041.28</v>
      </c>
      <c r="Y106" s="9" t="n"/>
      <c r="Z106" s="9" t="n"/>
      <c r="AA106" s="9" t="n"/>
      <c r="AB106" s="9" t="n"/>
      <c r="AC106" s="9" t="n"/>
      <c r="AD106" s="9" t="n"/>
      <c r="AE106" s="9" t="n"/>
      <c r="AF106" s="9" t="n"/>
      <c r="AG106" s="13">
        <f>SUM(B106:AE106)</f>
        <v/>
      </c>
    </row>
    <row r="107" ht="15.75" customHeight="1">
      <c r="A107" s="8" t="inlineStr">
        <is>
          <t>Accord/Age uk</t>
        </is>
      </c>
      <c r="C107" s="9" t="n"/>
      <c r="D107" s="9" t="n"/>
      <c r="E107" s="9" t="n"/>
      <c r="F107" s="9" t="n"/>
      <c r="H107" s="9" t="n"/>
      <c r="I107" s="9" t="n"/>
      <c r="J107" s="12" t="n"/>
      <c r="K107" s="9" t="n"/>
      <c r="L107" s="9" t="n"/>
      <c r="M107" s="9" t="n"/>
      <c r="N107" s="12" t="n"/>
      <c r="O107" s="9" t="n"/>
      <c r="P107" s="9" t="n"/>
      <c r="Q107" s="9" t="n"/>
      <c r="R107" s="31" t="n"/>
      <c r="S107" s="26" t="n"/>
      <c r="T107" s="26" t="n"/>
      <c r="U107" s="26" t="n"/>
      <c r="V107" s="31" t="n"/>
      <c r="W107" s="9" t="n"/>
      <c r="Y107" s="9" t="n"/>
      <c r="Z107" s="9" t="n"/>
      <c r="AA107" s="9" t="n"/>
      <c r="AD107" s="9" t="n"/>
      <c r="AE107" s="12" t="n">
        <v>4080</v>
      </c>
      <c r="AF107" s="9" t="n"/>
      <c r="AG107" s="13">
        <f>SUM(B107:AE107)</f>
        <v/>
      </c>
    </row>
    <row r="108" ht="15.75" customHeight="1">
      <c r="A108" s="8" t="inlineStr">
        <is>
          <t>Buckingham</t>
        </is>
      </c>
      <c r="D108" s="9" t="n"/>
      <c r="E108" s="9" t="n"/>
      <c r="F108" s="9" t="n"/>
      <c r="H108" s="9" t="n"/>
      <c r="I108" s="12" t="n"/>
      <c r="J108" s="12" t="n"/>
      <c r="K108" s="9" t="n"/>
      <c r="L108" s="9" t="n"/>
      <c r="M108" s="9" t="n"/>
      <c r="N108" s="12" t="n"/>
      <c r="O108" s="9" t="n"/>
      <c r="P108" s="9" t="n"/>
      <c r="Q108" s="9" t="n"/>
      <c r="R108" s="31" t="n"/>
      <c r="S108" s="26" t="n"/>
      <c r="T108" s="26" t="n"/>
      <c r="U108" s="26" t="n"/>
      <c r="V108" s="31" t="n"/>
      <c r="W108" s="9" t="n"/>
      <c r="X108" s="12" t="n"/>
      <c r="Y108" t="n">
        <v>4937.64</v>
      </c>
      <c r="Z108" s="9" t="n"/>
      <c r="AA108" s="9" t="n"/>
      <c r="AB108" s="9" t="n"/>
      <c r="AC108" s="12" t="n"/>
      <c r="AD108" s="9" t="n"/>
      <c r="AE108" s="9" t="n"/>
      <c r="AF108" s="9" t="n"/>
      <c r="AG108" s="13">
        <f>SUM(B108:AE108)</f>
        <v/>
      </c>
    </row>
    <row r="109" ht="15.75" customHeight="1">
      <c r="A109" s="8" t="inlineStr">
        <is>
          <t>Sandwell respite est</t>
        </is>
      </c>
      <c r="D109" s="9" t="n"/>
      <c r="E109" s="9" t="n"/>
      <c r="F109" s="9" t="n"/>
      <c r="H109" s="9" t="n"/>
      <c r="I109" s="9" t="n"/>
      <c r="J109" s="12" t="n"/>
      <c r="K109" s="9" t="n"/>
      <c r="L109" s="9" t="n"/>
      <c r="M109" s="9" t="n"/>
      <c r="N109" s="12" t="n"/>
      <c r="O109" s="9" t="n"/>
      <c r="P109" s="9" t="n"/>
      <c r="Q109" s="9" t="n"/>
      <c r="R109" s="31" t="n"/>
      <c r="S109" s="26" t="n"/>
      <c r="T109" s="26" t="n"/>
      <c r="U109" s="26" t="n"/>
      <c r="V109" s="26" t="n"/>
      <c r="W109" s="9" t="n"/>
      <c r="X109" s="12" t="n"/>
      <c r="Y109" t="n">
        <v>6201.6</v>
      </c>
      <c r="Z109" s="9" t="n"/>
      <c r="AA109" s="9" t="n"/>
      <c r="AB109" s="9" t="n"/>
      <c r="AC109" t="n">
        <v>8040.2</v>
      </c>
      <c r="AD109" s="9" t="n"/>
      <c r="AE109" s="9" t="n"/>
      <c r="AF109" s="9" t="n"/>
      <c r="AG109" s="13">
        <f>SUM(B109:AF109)</f>
        <v/>
      </c>
    </row>
    <row r="110" ht="15.75" customHeight="1">
      <c r="A110" s="8" t="inlineStr">
        <is>
          <t xml:space="preserve">Wolverhampton respite est </t>
        </is>
      </c>
      <c r="C110" s="9" t="n"/>
      <c r="D110" s="9" t="n"/>
      <c r="E110" s="9" t="n"/>
      <c r="F110" s="9" t="n"/>
      <c r="G110" s="9" t="n"/>
      <c r="H110" s="9" t="n"/>
      <c r="I110" s="9" t="n"/>
      <c r="J110" s="9" t="n"/>
      <c r="K110" s="9" t="n"/>
      <c r="L110" s="9" t="n"/>
      <c r="M110" s="9" t="n"/>
      <c r="N110" t="n">
        <v>11791.12</v>
      </c>
      <c r="O110" s="9" t="n"/>
      <c r="P110" s="9" t="n"/>
      <c r="R110" s="31" t="n">
        <v>5893.71</v>
      </c>
      <c r="S110" s="26" t="n"/>
      <c r="T110" s="26" t="n"/>
      <c r="U110" s="26" t="n"/>
      <c r="V110" s="26" t="n"/>
      <c r="W110" s="9" t="n"/>
      <c r="X110" s="9" t="n"/>
      <c r="Y110" s="9" t="n"/>
      <c r="Z110" s="9" t="n"/>
      <c r="AA110" s="9" t="n"/>
      <c r="AB110" s="9" t="n"/>
      <c r="AC110" s="9" t="n"/>
      <c r="AD110" s="9" t="n"/>
      <c r="AE110" s="9" t="n"/>
      <c r="AF110" s="9">
        <f>20000-N110-Q110</f>
        <v/>
      </c>
      <c r="AG110" s="13">
        <f>SUM(B110:AF110)</f>
        <v/>
      </c>
    </row>
    <row r="111" ht="15.75" customHeight="1">
      <c r="A111" s="8" t="inlineStr">
        <is>
          <t>Walsall Respite</t>
        </is>
      </c>
      <c r="C111" s="9" t="n"/>
      <c r="D111" t="n">
        <v>3178.96</v>
      </c>
      <c r="E111" s="9" t="n"/>
      <c r="F111" s="9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9" t="n"/>
      <c r="P111" s="9" t="n"/>
      <c r="Q111" s="9" t="n"/>
      <c r="R111" s="26" t="n"/>
      <c r="S111" s="26" t="n"/>
      <c r="T111" s="26" t="n"/>
      <c r="U111" s="31" t="n"/>
      <c r="V111" s="26" t="n">
        <v>18905.4</v>
      </c>
      <c r="W111" s="9" t="n"/>
      <c r="X111" s="9" t="n"/>
      <c r="Y111" s="9" t="n"/>
      <c r="Z111" s="9" t="n"/>
      <c r="AA111" s="9" t="n"/>
      <c r="AB111" s="9" t="n"/>
      <c r="AC111" s="12" t="n"/>
      <c r="AD111" s="9" t="n">
        <v>18904.4</v>
      </c>
      <c r="AE111" s="9" t="n"/>
      <c r="AF111" s="9" t="n"/>
      <c r="AG111" s="13">
        <f>SUM(B111:AF111)</f>
        <v/>
      </c>
    </row>
    <row r="112" ht="18.75" customHeight="1">
      <c r="A112" s="8" t="inlineStr">
        <is>
          <t>Ideal for All Ltd</t>
        </is>
      </c>
      <c r="C112" s="11" t="n"/>
      <c r="D112" t="n">
        <v>2402.4</v>
      </c>
      <c r="E112" s="9" t="n"/>
      <c r="F112" s="12" t="n"/>
      <c r="G112" t="n">
        <v>3556.45</v>
      </c>
      <c r="H112" s="11" t="n"/>
      <c r="I112" s="9" t="n"/>
      <c r="J112" s="12" t="n"/>
      <c r="K112" s="11" t="n"/>
      <c r="L112" s="12" t="n"/>
      <c r="M112" s="11" t="n"/>
      <c r="N112" s="12" t="n"/>
      <c r="O112" s="12" t="n"/>
      <c r="P112" s="11" t="n"/>
      <c r="Q112" s="12" t="n"/>
      <c r="R112" s="31" t="n">
        <v>2516.8</v>
      </c>
      <c r="S112" s="31" t="n"/>
      <c r="T112" s="31" t="n"/>
      <c r="U112" s="31" t="n"/>
      <c r="V112" s="26" t="n"/>
      <c r="W112" s="9" t="n"/>
      <c r="X112" s="9" t="n"/>
      <c r="Y112" s="12" t="n"/>
      <c r="Z112" s="9" t="n"/>
      <c r="AA112" s="12" t="n"/>
      <c r="AB112" s="12" t="n"/>
      <c r="AC112" s="9" t="n"/>
      <c r="AD112" s="9" t="n"/>
      <c r="AE112" s="9" t="n"/>
      <c r="AF112" s="9" t="n"/>
      <c r="AG112" s="13">
        <f>SUM(B112:AE112)</f>
        <v/>
      </c>
    </row>
    <row r="113" ht="15.75" customHeight="1">
      <c r="A113" s="8" t="inlineStr">
        <is>
          <t>KIRKLEES COUNCIL-204312-63046958</t>
        </is>
      </c>
      <c r="C113" s="9" t="n"/>
      <c r="D113" s="9" t="n"/>
      <c r="E113" s="9" t="n"/>
      <c r="F113" s="9" t="n"/>
      <c r="G113" s="9" t="n"/>
      <c r="H113" s="9" t="n"/>
      <c r="I113" s="9" t="n"/>
      <c r="J113" s="9" t="n"/>
      <c r="K113" s="12" t="n"/>
      <c r="L113" s="9" t="n"/>
      <c r="M113" s="9" t="n"/>
      <c r="N113" s="12" t="n"/>
      <c r="O113" t="n">
        <v>5554.89</v>
      </c>
      <c r="P113" s="12" t="n"/>
      <c r="Q113" s="12" t="n"/>
      <c r="R113" s="26" t="n"/>
      <c r="S113" s="26" t="n"/>
      <c r="T113" s="31" t="n"/>
      <c r="U113" s="26" t="n"/>
      <c r="V113" s="31" t="n"/>
      <c r="W113" s="9" t="n"/>
      <c r="X113" s="9" t="n"/>
      <c r="Y113" s="12" t="n"/>
      <c r="Z113" s="9" t="n"/>
      <c r="AA113" s="9" t="n"/>
      <c r="AB113" s="12" t="n"/>
      <c r="AC113" s="9" t="n"/>
      <c r="AD113" s="9" t="n"/>
      <c r="AE113" s="9" t="n"/>
      <c r="AF113" s="12" t="n"/>
      <c r="AG113" s="13">
        <f>SUM(B113:AE113)</f>
        <v/>
      </c>
    </row>
    <row r="114" ht="15.75" customHeight="1">
      <c r="A114" s="8" t="inlineStr">
        <is>
          <t>LBH PAYMENTS BACS-602210-72430192</t>
        </is>
      </c>
      <c r="C114" t="n">
        <v>5040</v>
      </c>
      <c r="D114" s="9" t="n"/>
      <c r="E114" s="9" t="n"/>
      <c r="F114" s="12" t="n"/>
      <c r="G114" s="9" t="n"/>
      <c r="H114" s="9" t="n"/>
      <c r="I114" s="9" t="n"/>
      <c r="J114" s="9" t="n"/>
      <c r="K114" s="9" t="n"/>
      <c r="L114" s="12" t="n"/>
      <c r="M114" s="9" t="n"/>
      <c r="N114" s="9" t="n"/>
      <c r="O114" s="9" t="n"/>
      <c r="P114" s="9" t="n"/>
      <c r="Q114" s="9" t="n"/>
      <c r="R114" s="26" t="n"/>
      <c r="S114" s="26" t="n"/>
      <c r="T114" s="26" t="n"/>
      <c r="U114" s="26" t="n"/>
      <c r="V114" s="26" t="n"/>
      <c r="W114" s="9" t="n"/>
      <c r="X114" s="9" t="n"/>
      <c r="Y114" s="9" t="n"/>
      <c r="Z114" s="9" t="n"/>
      <c r="AA114" s="9" t="n"/>
      <c r="AB114" s="9" t="n"/>
      <c r="AC114" s="9" t="n"/>
      <c r="AD114" s="9" t="n"/>
      <c r="AE114" s="9" t="n"/>
      <c r="AF114" s="9" t="n"/>
      <c r="AG114" s="13">
        <f>SUM(B114:AE114)</f>
        <v/>
      </c>
    </row>
    <row r="115" ht="15.75" customHeight="1">
      <c r="A115" s="8" t="inlineStr">
        <is>
          <t>NHS BIRMINGHAM &amp; S-607080-10017097</t>
        </is>
      </c>
      <c r="C115" s="9" t="n"/>
      <c r="D115" s="9" t="n"/>
      <c r="E115" s="9" t="n"/>
      <c r="F115" s="9" t="n"/>
      <c r="G115" s="9" t="n"/>
      <c r="H115" s="9" t="n"/>
      <c r="I115" s="9" t="n"/>
      <c r="J115" t="n">
        <v>7636.98</v>
      </c>
      <c r="K115" s="12" t="n"/>
      <c r="L115" s="9" t="n"/>
      <c r="M115" s="12" t="n"/>
      <c r="N115" s="12" t="n"/>
      <c r="O115" s="9" t="n"/>
      <c r="P115" s="9" t="n"/>
      <c r="Q115" s="9" t="n"/>
      <c r="R115" s="26" t="n"/>
      <c r="S115" s="26" t="n"/>
      <c r="T115" s="26" t="n"/>
      <c r="U115" s="26" t="n"/>
      <c r="V115" s="26" t="n"/>
      <c r="W115" s="12" t="n"/>
      <c r="X115" t="n">
        <v>7099.34</v>
      </c>
      <c r="Z115" s="9" t="n"/>
      <c r="AA115" s="9" t="n"/>
      <c r="AB115" s="12" t="n"/>
      <c r="AC115" s="9" t="n"/>
      <c r="AD115" s="9" t="n"/>
      <c r="AE115" s="9" t="n"/>
      <c r="AF115" s="9" t="n"/>
      <c r="AG115" s="13">
        <f>SUM(B115:AE115)</f>
        <v/>
      </c>
    </row>
    <row r="116" ht="15.75" customHeight="1">
      <c r="A116" s="8" t="inlineStr">
        <is>
          <t>NHS BLACK COUNTRY-607080-10015272</t>
        </is>
      </c>
      <c r="C116" s="9" t="n"/>
      <c r="D116" s="9" t="n"/>
      <c r="E116" s="9" t="n"/>
      <c r="F116" s="9" t="n"/>
      <c r="G116" s="12" t="n"/>
      <c r="H116" s="9" t="n"/>
      <c r="I116" s="12" t="n"/>
      <c r="J116" s="9" t="n"/>
      <c r="L116" s="9" t="n"/>
      <c r="M116" s="12" t="n"/>
      <c r="N116" s="12" t="n"/>
      <c r="P116" t="n">
        <v>13185.64</v>
      </c>
      <c r="Q116" s="12" t="n"/>
      <c r="R116" s="31" t="n"/>
      <c r="S116" s="26" t="n"/>
      <c r="T116" s="26" t="n"/>
      <c r="U116" s="31" t="n"/>
      <c r="V116" s="26" t="n"/>
      <c r="W116" s="12" t="n"/>
      <c r="X116" s="9" t="n"/>
      <c r="Y116" t="n">
        <v>3304.8</v>
      </c>
      <c r="Z116" s="9" t="n"/>
      <c r="AA116" s="9" t="n"/>
      <c r="AB116" s="9" t="n"/>
      <c r="AC116" t="n">
        <v>8073.21</v>
      </c>
      <c r="AD116" s="9" t="n"/>
      <c r="AE116" s="9" t="n"/>
      <c r="AF116" s="9" t="n"/>
      <c r="AG116" s="13">
        <f>SUM(B116:AE116)</f>
        <v/>
      </c>
    </row>
    <row r="117" ht="15.75" customHeight="1">
      <c r="A117" s="14" t="inlineStr">
        <is>
          <t>SANDWELL MBC  BEN-601539-69624151</t>
        </is>
      </c>
      <c r="C117" s="9" t="n"/>
      <c r="D117" s="9" t="n"/>
      <c r="E117" s="9" t="n"/>
      <c r="F117" s="9" t="n"/>
      <c r="G117" s="9" t="n"/>
      <c r="H117" s="9" t="n"/>
      <c r="I117" s="26" t="n"/>
      <c r="J117" s="26" t="n"/>
      <c r="K117" s="26" t="n"/>
      <c r="L117" s="26" t="n"/>
      <c r="M117" s="26" t="n"/>
      <c r="N117" s="31" t="n">
        <v>3042.78</v>
      </c>
      <c r="O117" s="9" t="n"/>
      <c r="P117" s="9" t="n"/>
      <c r="Q117" s="12" t="n"/>
      <c r="R117" s="26" t="n"/>
      <c r="S117" s="31" t="n"/>
      <c r="T117" s="26" t="n"/>
      <c r="U117" s="26" t="n"/>
      <c r="V117" s="31" t="n"/>
      <c r="W117" s="9" t="n"/>
      <c r="X117" s="9" t="n"/>
      <c r="Y117" s="9" t="n"/>
      <c r="Z117" s="9" t="n"/>
      <c r="AA117" s="9" t="n"/>
      <c r="AB117" s="9" t="n"/>
      <c r="AC117" s="9" t="n"/>
      <c r="AD117" s="9" t="n"/>
      <c r="AE117" s="9" t="n"/>
      <c r="AF117" s="9" t="n"/>
      <c r="AG117" s="13">
        <f>SUM(B117:AE117)</f>
        <v/>
      </c>
    </row>
    <row r="118" ht="15.75" customHeight="1">
      <c r="A118" s="14" t="inlineStr">
        <is>
          <t>SANDWELL MBC-601539-69624135</t>
        </is>
      </c>
      <c r="C118" s="9" t="n"/>
      <c r="D118" s="9" t="n"/>
      <c r="E118" s="9" t="n"/>
      <c r="F118" s="9" t="n"/>
      <c r="H118" s="9" t="n"/>
      <c r="I118" s="26" t="n"/>
      <c r="J118" s="26" t="n"/>
      <c r="K118" s="26" t="n"/>
      <c r="L118" s="26" t="n"/>
      <c r="M118" s="26" t="n"/>
      <c r="N118" s="31" t="n">
        <v>114049.44</v>
      </c>
      <c r="O118" s="9" t="n"/>
      <c r="P118" s="9" t="n"/>
      <c r="Q118" s="9" t="n"/>
      <c r="R118" s="26" t="n"/>
      <c r="S118" s="26" t="n"/>
      <c r="T118" s="26" t="n"/>
      <c r="U118" s="31" t="n"/>
      <c r="V118" s="26" t="n"/>
      <c r="W118" s="9" t="n"/>
      <c r="X118" s="9" t="n"/>
      <c r="Y118" s="9" t="n"/>
      <c r="Z118" s="9" t="n"/>
      <c r="AA118" s="9" t="n"/>
      <c r="AB118" t="n">
        <v>114049.44</v>
      </c>
      <c r="AC118" s="12" t="n"/>
      <c r="AD118" s="9" t="n"/>
      <c r="AE118" s="9" t="n"/>
      <c r="AF118" s="9" t="n"/>
      <c r="AG118" s="13">
        <f>SUM(B118:AE118)</f>
        <v/>
      </c>
    </row>
    <row r="119" ht="15.75" customHeight="1">
      <c r="A119" s="15" t="inlineStr">
        <is>
          <t>SOLIHULL MBC EXP.-200771-00561525</t>
        </is>
      </c>
      <c r="G119" s="31" t="n">
        <v>30000.6</v>
      </c>
      <c r="H119" s="9" t="n"/>
      <c r="I119" s="31" t="n"/>
      <c r="J119" s="26" t="n"/>
      <c r="K119" s="26" t="n"/>
      <c r="L119" s="26" t="n"/>
      <c r="M119" s="26" t="n"/>
      <c r="N119" s="26" t="n"/>
      <c r="O119" s="12" t="n"/>
      <c r="P119" s="9" t="n"/>
      <c r="Q119" s="9" t="n"/>
      <c r="R119" s="26" t="n"/>
      <c r="S119" s="26" t="n"/>
      <c r="T119" s="26" t="n"/>
      <c r="U119" s="31" t="n"/>
      <c r="V119" s="26" t="n"/>
      <c r="W119" s="9" t="n"/>
      <c r="X119" s="9" t="n"/>
      <c r="Y119" s="9" t="n"/>
      <c r="Z119" s="9" t="n"/>
      <c r="AA119" s="9" t="n"/>
      <c r="AB119" s="9" t="n"/>
      <c r="AC119" s="9" t="n"/>
      <c r="AD119" s="9" t="n"/>
      <c r="AE119" s="9" t="n"/>
      <c r="AF119" s="9" t="n"/>
      <c r="AG119" s="13">
        <f>SUM(B119:AE119)</f>
        <v/>
      </c>
    </row>
    <row r="120" ht="15.75" customHeight="1">
      <c r="A120" s="15" t="inlineStr">
        <is>
          <t>WALSALL MBC BARC-209073-10731692</t>
        </is>
      </c>
      <c r="G120" s="9" t="n"/>
      <c r="H120" s="9" t="n"/>
      <c r="I120" s="26" t="n"/>
      <c r="J120" s="26" t="n"/>
      <c r="K120" s="26" t="n"/>
      <c r="L120" s="26" t="n"/>
      <c r="M120" s="26" t="n"/>
      <c r="N120" s="26" t="n"/>
      <c r="O120" s="9" t="n"/>
      <c r="P120" s="9" t="n"/>
      <c r="Q120" s="9" t="n"/>
      <c r="R120" s="26" t="n"/>
      <c r="S120" s="26" t="n"/>
      <c r="T120" s="26" t="n"/>
      <c r="U120" s="31" t="n"/>
      <c r="V120" s="26" t="n">
        <v>160614.48</v>
      </c>
      <c r="W120" s="9" t="n"/>
      <c r="X120" s="9" t="n"/>
      <c r="Y120" s="9" t="n"/>
      <c r="Z120" s="12" t="n"/>
      <c r="AA120" s="9" t="n"/>
      <c r="AB120" s="9" t="n"/>
      <c r="AC120" s="12" t="n"/>
      <c r="AD120" s="9" t="n"/>
      <c r="AE120" s="9" t="n"/>
      <c r="AF120" s="9" t="n"/>
      <c r="AG120" s="13">
        <f>SUM(B120:AE120)</f>
        <v/>
      </c>
    </row>
    <row r="121" ht="15.75" customHeight="1">
      <c r="A121" s="15" t="inlineStr">
        <is>
          <t>WOLVERHAMPTON CC-560069-44470320</t>
        </is>
      </c>
      <c r="C121" t="n">
        <v>106968.12</v>
      </c>
      <c r="D121" s="9" t="n"/>
      <c r="E121" s="9" t="n"/>
      <c r="F121" s="9" t="n"/>
      <c r="G121" s="9" t="n"/>
      <c r="H121" s="9" t="n"/>
      <c r="I121" s="26" t="n"/>
      <c r="J121" s="31" t="n">
        <v>103422</v>
      </c>
      <c r="K121" s="26" t="n"/>
      <c r="L121" s="26" t="n"/>
      <c r="M121" s="26" t="n"/>
      <c r="N121" s="26" t="n"/>
      <c r="O121" s="9" t="n"/>
      <c r="P121" s="9" t="n"/>
      <c r="Q121" s="26" t="n">
        <v>107520.24</v>
      </c>
      <c r="R121" s="31" t="n"/>
      <c r="S121" s="26" t="n"/>
      <c r="T121" s="26" t="n"/>
      <c r="U121" s="26" t="n"/>
      <c r="V121" s="26" t="n"/>
      <c r="W121" s="9" t="n"/>
      <c r="X121" t="n">
        <v>105014.82</v>
      </c>
      <c r="Y121" s="9" t="n"/>
      <c r="Z121" s="9" t="n"/>
      <c r="AA121" s="9" t="n"/>
      <c r="AB121" s="9" t="n"/>
      <c r="AC121" s="9" t="n"/>
      <c r="AD121" s="9" t="n"/>
      <c r="AE121" s="9" t="n">
        <v>106000</v>
      </c>
      <c r="AF121" s="9" t="n"/>
      <c r="AG121" s="13">
        <f>SUM(B121:AE121)</f>
        <v/>
      </c>
    </row>
    <row r="122" ht="15.75" customHeight="1">
      <c r="A122" s="15" t="inlineStr">
        <is>
          <t>TLC</t>
        </is>
      </c>
      <c r="C122" s="9" t="n"/>
      <c r="D122" s="12" t="n"/>
      <c r="F122" s="9" t="n"/>
      <c r="G122" s="9" t="n"/>
      <c r="H122" s="9" t="n"/>
      <c r="I122" s="31" t="n"/>
      <c r="J122" s="31" t="n"/>
      <c r="K122" s="31" t="n">
        <v>1177.2</v>
      </c>
      <c r="L122" s="31" t="n"/>
      <c r="M122" s="31" t="n"/>
      <c r="N122" s="31" t="n"/>
      <c r="R122" s="31" t="n">
        <v>8327.6</v>
      </c>
      <c r="S122" s="31" t="n"/>
      <c r="T122" s="26" t="n"/>
      <c r="U122" s="31" t="n"/>
      <c r="V122" s="26" t="n"/>
      <c r="W122" s="12" t="n"/>
      <c r="X122" s="12" t="n"/>
      <c r="Y122" s="9" t="n"/>
      <c r="Z122" s="9" t="n"/>
      <c r="AA122" t="n">
        <v>6188</v>
      </c>
      <c r="AB122" s="9" t="n"/>
      <c r="AC122" s="12" t="n"/>
      <c r="AD122" s="9" t="n"/>
      <c r="AE122" s="9" t="n">
        <v>1744</v>
      </c>
      <c r="AF122" s="9" t="n"/>
      <c r="AG122" s="13">
        <f>SUM(B122:AE122)</f>
        <v/>
      </c>
    </row>
    <row r="123" ht="15.75" customHeight="1">
      <c r="A123" s="15" t="inlineStr">
        <is>
          <t>HB SC</t>
        </is>
      </c>
      <c r="B123" s="16">
        <f>23930.16-20000</f>
        <v/>
      </c>
      <c r="C123" s="16">
        <f>91199.14-90000</f>
        <v/>
      </c>
      <c r="D123" s="16" t="n">
        <v>6634.27</v>
      </c>
      <c r="E123" s="16" t="n">
        <v>0</v>
      </c>
      <c r="F123" s="16" t="n">
        <v>0</v>
      </c>
      <c r="G123" s="16" t="n">
        <v>5005.009999999999</v>
      </c>
      <c r="H123" s="16" t="n">
        <v>1023.67</v>
      </c>
      <c r="I123" s="16" t="n">
        <v>2037.43</v>
      </c>
      <c r="J123" s="16" t="n">
        <v>945.739999999998</v>
      </c>
      <c r="K123" s="16" t="n">
        <v>3651.86</v>
      </c>
      <c r="L123" s="16" t="n">
        <v>250</v>
      </c>
      <c r="M123" s="16" t="n">
        <v>0</v>
      </c>
      <c r="N123" s="16" t="n">
        <v>5184</v>
      </c>
      <c r="O123" s="16" t="n">
        <v>2157.340000000001</v>
      </c>
      <c r="P123" t="n">
        <v>4952.499999999996</v>
      </c>
      <c r="Q123" t="n">
        <v>12315.23</v>
      </c>
      <c r="R123" s="16" t="n">
        <v>5877.739999999999</v>
      </c>
      <c r="S123" s="16" t="n">
        <v>1091</v>
      </c>
      <c r="T123" s="16" t="n">
        <v>0</v>
      </c>
      <c r="U123" s="16" t="n">
        <v>2983.76</v>
      </c>
      <c r="V123" s="16" t="n">
        <v>2173.029999999999</v>
      </c>
      <c r="W123" s="16" t="n">
        <v>1220.63</v>
      </c>
      <c r="X123" s="16" t="n">
        <v>4145.24</v>
      </c>
      <c r="Y123" s="16" t="n">
        <v>6770.250000000003</v>
      </c>
      <c r="Z123" s="16" t="n">
        <v>756.87</v>
      </c>
      <c r="AA123" s="16" t="n">
        <v>20</v>
      </c>
      <c r="AB123" t="n">
        <v>10852.50999999999</v>
      </c>
      <c r="AC123" s="16" t="n">
        <v>8390.34</v>
      </c>
      <c r="AD123" s="10" t="n">
        <v>2350</v>
      </c>
      <c r="AE123" s="10" t="n">
        <v>2350</v>
      </c>
      <c r="AF123" s="16" t="n"/>
      <c r="AG123" s="13">
        <f>SUM(B123:AE123)</f>
        <v/>
      </c>
    </row>
    <row r="124" ht="16.5" customHeight="1" thickBot="1">
      <c r="A124" s="53" t="inlineStr">
        <is>
          <t>Total</t>
        </is>
      </c>
      <c r="B124" s="29">
        <f>SUM(B106:B123)</f>
        <v/>
      </c>
      <c r="C124" s="29">
        <f>SUM(C106:C123)</f>
        <v/>
      </c>
      <c r="D124" s="29">
        <f>SUM(D106:D123)</f>
        <v/>
      </c>
      <c r="E124" s="29">
        <f>SUM(E106:E123)</f>
        <v/>
      </c>
      <c r="F124" s="29">
        <f>SUM(F106:F123)</f>
        <v/>
      </c>
      <c r="G124" s="29">
        <f>SUM(G106:G123)</f>
        <v/>
      </c>
      <c r="H124" s="29">
        <f>SUM(H106:H123)</f>
        <v/>
      </c>
      <c r="I124" s="29">
        <f>SUM(I106:I123)</f>
        <v/>
      </c>
      <c r="J124" s="29">
        <f>SUM(J106:J123)</f>
        <v/>
      </c>
      <c r="K124" s="29">
        <f>SUM(K106:K123)</f>
        <v/>
      </c>
      <c r="L124" s="29">
        <f>SUM(L106:L123)</f>
        <v/>
      </c>
      <c r="M124" s="29">
        <f>SUM(M106:M123)</f>
        <v/>
      </c>
      <c r="N124" s="29">
        <f>SUM(N106:N123)</f>
        <v/>
      </c>
      <c r="O124" s="29">
        <f>SUM(O106:O123)</f>
        <v/>
      </c>
      <c r="P124" s="29">
        <f>SUM(P106:P123)</f>
        <v/>
      </c>
      <c r="Q124" s="29">
        <f>SUM(Q106:Q123)</f>
        <v/>
      </c>
      <c r="R124" s="58">
        <f>SUM(R106:R123)</f>
        <v/>
      </c>
      <c r="S124" s="58">
        <f>SUM(S106:S123)</f>
        <v/>
      </c>
      <c r="T124" s="58">
        <f>SUM(T106:T123)</f>
        <v/>
      </c>
      <c r="U124" s="58">
        <f>SUM(U106:U123)</f>
        <v/>
      </c>
      <c r="V124" s="58">
        <f>SUM(V106:V123)</f>
        <v/>
      </c>
      <c r="W124" s="29">
        <f>SUM(W106:W123)</f>
        <v/>
      </c>
      <c r="X124" s="29">
        <f>SUM(X106:X123)</f>
        <v/>
      </c>
      <c r="Y124" s="29">
        <f>SUM(Y106:Y123)</f>
        <v/>
      </c>
      <c r="Z124" s="29">
        <f>SUM(Z106:Z123)</f>
        <v/>
      </c>
      <c r="AA124" s="29">
        <f>SUM(AA106:AA123)</f>
        <v/>
      </c>
      <c r="AB124" s="29">
        <f>SUM(AB106:AB123)</f>
        <v/>
      </c>
      <c r="AC124" s="29">
        <f>SUM(AC106:AC123)</f>
        <v/>
      </c>
      <c r="AD124" s="29">
        <f>SUM(AD106:AD123)</f>
        <v/>
      </c>
      <c r="AE124" s="29">
        <f>SUM(AE106:AE123)</f>
        <v/>
      </c>
      <c r="AG124" s="22">
        <f>SUM(AG106:AG123)</f>
        <v/>
      </c>
    </row>
    <row r="125" ht="15.75" customHeight="1" thickTop="1">
      <c r="A125" s="15" t="inlineStr">
        <is>
          <t>Ruunning Total</t>
        </is>
      </c>
      <c r="B125">
        <f>B124</f>
        <v/>
      </c>
      <c r="C125">
        <f>B125+C124</f>
        <v/>
      </c>
      <c r="D125">
        <f>C125+D124</f>
        <v/>
      </c>
      <c r="E125">
        <f>D125+E124</f>
        <v/>
      </c>
      <c r="F125">
        <f>E125+F124</f>
        <v/>
      </c>
      <c r="G125">
        <f>F125+G124</f>
        <v/>
      </c>
      <c r="H125">
        <f>G125+H124</f>
        <v/>
      </c>
      <c r="I125">
        <f>H125+I124</f>
        <v/>
      </c>
      <c r="J125">
        <f>I125+J124</f>
        <v/>
      </c>
      <c r="K125">
        <f>J125+K124</f>
        <v/>
      </c>
      <c r="L125">
        <f>K125+L124</f>
        <v/>
      </c>
      <c r="M125">
        <f>L125+M124</f>
        <v/>
      </c>
      <c r="N125">
        <f>M125+N124</f>
        <v/>
      </c>
      <c r="O125">
        <f>N125+O124</f>
        <v/>
      </c>
      <c r="P125">
        <f>O125+P124</f>
        <v/>
      </c>
      <c r="Q125">
        <f>P125+Q124</f>
        <v/>
      </c>
      <c r="R125">
        <f>Q125+R124</f>
        <v/>
      </c>
      <c r="S125">
        <f>R125+S124</f>
        <v/>
      </c>
      <c r="T125">
        <f>S125+T124</f>
        <v/>
      </c>
      <c r="U125">
        <f>T125+U124</f>
        <v/>
      </c>
      <c r="V125">
        <f>U125+V124</f>
        <v/>
      </c>
      <c r="W125">
        <f>V125+W124</f>
        <v/>
      </c>
      <c r="X125">
        <f>W125+X124</f>
        <v/>
      </c>
      <c r="Y125">
        <f>X125+Y124</f>
        <v/>
      </c>
      <c r="Z125">
        <f>Y125+Z124</f>
        <v/>
      </c>
      <c r="AA125">
        <f>Z125+AA124</f>
        <v/>
      </c>
      <c r="AB125">
        <f>AA125+AB124</f>
        <v/>
      </c>
      <c r="AC125">
        <f>AB125+AC124</f>
        <v/>
      </c>
      <c r="AD125">
        <f>AC125+AD124</f>
        <v/>
      </c>
      <c r="AE125">
        <f>AD125+AE124</f>
        <v/>
      </c>
    </row>
    <row r="128">
      <c r="A128" s="1" t="n"/>
      <c r="B128" s="2" t="inlineStr">
        <is>
          <t>Dec</t>
        </is>
      </c>
      <c r="C128" s="2" t="n"/>
      <c r="D128" s="2" t="n"/>
      <c r="E128" s="2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U128" s="2" t="n"/>
      <c r="V128" s="2" t="n"/>
      <c r="W128" s="2" t="n"/>
      <c r="X128" s="2" t="n"/>
      <c r="Y128" s="2" t="n"/>
      <c r="Z128" s="2" t="n"/>
      <c r="AA128" s="2" t="n"/>
      <c r="AB128" s="2" t="n"/>
      <c r="AC128" s="2" t="n"/>
      <c r="AD128" s="2" t="n"/>
      <c r="AE128" s="1" t="n"/>
      <c r="AF128" s="1" t="n"/>
      <c r="AG128" s="1" t="n"/>
    </row>
    <row r="129">
      <c r="A129" s="1" t="n"/>
      <c r="B129" s="2" t="inlineStr">
        <is>
          <t>Friday</t>
        </is>
      </c>
      <c r="C129" s="2" t="inlineStr">
        <is>
          <t>Saturday</t>
        </is>
      </c>
      <c r="D129" s="2" t="inlineStr">
        <is>
          <t>Sunday</t>
        </is>
      </c>
      <c r="E129" s="2" t="inlineStr">
        <is>
          <t>Monday</t>
        </is>
      </c>
      <c r="F129" s="2" t="inlineStr">
        <is>
          <t>Tuesday</t>
        </is>
      </c>
      <c r="G129" s="2" t="inlineStr">
        <is>
          <t>Wednesday</t>
        </is>
      </c>
      <c r="H129" s="2" t="inlineStr">
        <is>
          <t>Thursday</t>
        </is>
      </c>
      <c r="I129" s="2" t="inlineStr">
        <is>
          <t>Friday</t>
        </is>
      </c>
      <c r="J129" s="2" t="inlineStr">
        <is>
          <t>Saturday</t>
        </is>
      </c>
      <c r="K129" s="2" t="inlineStr">
        <is>
          <t>Sunday</t>
        </is>
      </c>
      <c r="L129" s="2" t="inlineStr">
        <is>
          <t>Monday</t>
        </is>
      </c>
      <c r="M129" s="2" t="inlineStr">
        <is>
          <t>Tuesday</t>
        </is>
      </c>
      <c r="N129" s="2" t="inlineStr">
        <is>
          <t>Wednesday</t>
        </is>
      </c>
      <c r="O129" s="2" t="inlineStr">
        <is>
          <t>Thursday</t>
        </is>
      </c>
      <c r="P129" s="2" t="inlineStr">
        <is>
          <t>Friday</t>
        </is>
      </c>
      <c r="Q129" s="2" t="inlineStr">
        <is>
          <t>Saturday</t>
        </is>
      </c>
      <c r="R129" s="2" t="inlineStr">
        <is>
          <t>Sunday</t>
        </is>
      </c>
      <c r="S129" s="2" t="inlineStr">
        <is>
          <t>Monday</t>
        </is>
      </c>
      <c r="T129" s="2" t="inlineStr">
        <is>
          <t>Tuesday</t>
        </is>
      </c>
      <c r="U129" s="2" t="inlineStr">
        <is>
          <t>Wednesday</t>
        </is>
      </c>
      <c r="V129" s="2" t="inlineStr">
        <is>
          <t>Thursday</t>
        </is>
      </c>
      <c r="W129" s="2" t="inlineStr">
        <is>
          <t>Friday</t>
        </is>
      </c>
      <c r="X129" s="2" t="inlineStr">
        <is>
          <t>Saturday</t>
        </is>
      </c>
      <c r="Y129" s="2" t="inlineStr">
        <is>
          <t>Sunday</t>
        </is>
      </c>
      <c r="Z129" s="2" t="inlineStr">
        <is>
          <t>Monday</t>
        </is>
      </c>
      <c r="AA129" s="2" t="inlineStr">
        <is>
          <t>Tuesday</t>
        </is>
      </c>
      <c r="AB129" s="2" t="inlineStr">
        <is>
          <t>Wednesday</t>
        </is>
      </c>
      <c r="AC129" s="2" t="inlineStr">
        <is>
          <t>Thursday</t>
        </is>
      </c>
      <c r="AD129" s="2" t="inlineStr">
        <is>
          <t>Friday</t>
        </is>
      </c>
      <c r="AE129" s="2" t="inlineStr">
        <is>
          <t>Saturday</t>
        </is>
      </c>
      <c r="AF129" s="2" t="inlineStr">
        <is>
          <t>Sunday</t>
        </is>
      </c>
      <c r="AG129" s="2" t="inlineStr">
        <is>
          <t>Total</t>
        </is>
      </c>
    </row>
    <row r="130">
      <c r="A130" s="1" t="n"/>
      <c r="B130" s="7" t="inlineStr">
        <is>
          <t>1st</t>
        </is>
      </c>
      <c r="C130" s="7" t="inlineStr">
        <is>
          <t>2nd</t>
        </is>
      </c>
      <c r="D130" s="7" t="inlineStr">
        <is>
          <t>3rd</t>
        </is>
      </c>
      <c r="E130" s="4" t="inlineStr">
        <is>
          <t>4th</t>
        </is>
      </c>
      <c r="F130" s="4" t="inlineStr">
        <is>
          <t>5th</t>
        </is>
      </c>
      <c r="G130" s="4" t="inlineStr">
        <is>
          <t>6th</t>
        </is>
      </c>
      <c r="H130" s="4" t="inlineStr">
        <is>
          <t>7th</t>
        </is>
      </c>
      <c r="I130" s="4" t="inlineStr">
        <is>
          <t>8th</t>
        </is>
      </c>
      <c r="J130" s="4" t="inlineStr">
        <is>
          <t>9th</t>
        </is>
      </c>
      <c r="K130" s="4" t="inlineStr">
        <is>
          <t>10th</t>
        </is>
      </c>
      <c r="L130" s="5" t="inlineStr">
        <is>
          <t>11th</t>
        </is>
      </c>
      <c r="M130" s="5" t="inlineStr">
        <is>
          <t>12th</t>
        </is>
      </c>
      <c r="N130" s="5" t="inlineStr">
        <is>
          <t>13th</t>
        </is>
      </c>
      <c r="O130" s="5" t="inlineStr">
        <is>
          <t>14th</t>
        </is>
      </c>
      <c r="P130" s="5" t="inlineStr">
        <is>
          <t>15th</t>
        </is>
      </c>
      <c r="Q130" s="5" t="inlineStr">
        <is>
          <t>16th</t>
        </is>
      </c>
      <c r="R130" s="5" t="inlineStr">
        <is>
          <t>17th</t>
        </is>
      </c>
      <c r="S130" s="6" t="inlineStr">
        <is>
          <t>18th</t>
        </is>
      </c>
      <c r="T130" s="6" t="inlineStr">
        <is>
          <t>19th</t>
        </is>
      </c>
      <c r="U130" s="6" t="inlineStr">
        <is>
          <t>20th</t>
        </is>
      </c>
      <c r="V130" s="6" t="inlineStr">
        <is>
          <t>21st</t>
        </is>
      </c>
      <c r="W130" s="6" t="inlineStr">
        <is>
          <t>22nd</t>
        </is>
      </c>
      <c r="X130" s="6" t="inlineStr">
        <is>
          <t>23rd</t>
        </is>
      </c>
      <c r="Y130" s="6" t="inlineStr">
        <is>
          <t>24th</t>
        </is>
      </c>
      <c r="Z130" s="7" t="inlineStr">
        <is>
          <t>25th</t>
        </is>
      </c>
      <c r="AA130" s="7" t="inlineStr">
        <is>
          <t>26th</t>
        </is>
      </c>
      <c r="AB130" s="7" t="inlineStr">
        <is>
          <t>27th</t>
        </is>
      </c>
      <c r="AC130" s="7" t="inlineStr">
        <is>
          <t>28th</t>
        </is>
      </c>
      <c r="AD130" s="7" t="inlineStr">
        <is>
          <t>29th</t>
        </is>
      </c>
      <c r="AE130" s="7" t="inlineStr">
        <is>
          <t>30th</t>
        </is>
      </c>
      <c r="AF130" s="7" t="inlineStr">
        <is>
          <t>31st</t>
        </is>
      </c>
      <c r="AG130" s="1" t="n"/>
    </row>
    <row r="131" ht="15.75" customHeight="1">
      <c r="A131" s="8" t="inlineStr">
        <is>
          <t>B-HAM CITY COUNCIL-200790-70489166</t>
        </is>
      </c>
      <c r="B131" s="59" t="n"/>
      <c r="C131" s="59" t="n"/>
      <c r="D131" s="59" t="n"/>
      <c r="E131" s="59" t="n"/>
      <c r="F131" t="n">
        <v>64186.4</v>
      </c>
      <c r="G131" t="n">
        <v>1220.36</v>
      </c>
      <c r="H131" s="12" t="n"/>
      <c r="I131" s="9" t="n"/>
      <c r="J131" s="12" t="n"/>
      <c r="K131" s="9" t="n"/>
      <c r="L131" s="12" t="n"/>
      <c r="M131" s="12" t="n"/>
      <c r="N131" s="31" t="n"/>
      <c r="O131" s="31" t="n">
        <v>3896.04</v>
      </c>
      <c r="P131" s="31" t="n"/>
      <c r="Q131" s="9" t="n"/>
      <c r="R131" s="9" t="n"/>
      <c r="S131" t="n">
        <v>1298.68</v>
      </c>
      <c r="T131" s="26" t="n"/>
      <c r="U131" s="9" t="n"/>
      <c r="V131" t="n">
        <v>5041.28</v>
      </c>
      <c r="W131" t="n">
        <v>7335.99</v>
      </c>
      <c r="X131" s="9" t="n"/>
      <c r="Y131" s="9" t="n"/>
      <c r="Z131" s="9" t="n"/>
      <c r="AA131" s="9" t="n"/>
      <c r="AB131" s="9" t="n"/>
      <c r="AC131" s="9" t="n"/>
      <c r="AD131" s="9" t="n"/>
      <c r="AE131" s="60" t="n"/>
      <c r="AF131" s="60" t="n"/>
      <c r="AG131" s="13">
        <f>SUM(B131:AF131)</f>
        <v/>
      </c>
    </row>
    <row r="132" ht="15.75" customHeight="1">
      <c r="A132" s="8" t="inlineStr">
        <is>
          <t>Accord/Age uk</t>
        </is>
      </c>
      <c r="B132" s="9" t="n"/>
      <c r="C132" s="9" t="n"/>
      <c r="D132" s="9" t="n"/>
      <c r="E132" s="9" t="n"/>
      <c r="F132" s="9" t="n"/>
      <c r="G132" s="9" t="n"/>
      <c r="H132" s="12" t="n"/>
      <c r="I132" s="9" t="n"/>
      <c r="J132" s="9" t="n"/>
      <c r="K132" s="9" t="n"/>
      <c r="L132" s="12" t="n"/>
      <c r="M132" s="9" t="n"/>
      <c r="N132" s="26" t="n"/>
      <c r="O132" s="26" t="n"/>
      <c r="P132" s="31" t="n"/>
      <c r="Q132" s="9" t="n"/>
      <c r="R132" s="9" t="n"/>
      <c r="S132" s="9" t="n"/>
      <c r="T132" s="31" t="n"/>
      <c r="U132" s="9" t="n"/>
      <c r="V132" s="12" t="n"/>
      <c r="W132" s="9" t="n"/>
      <c r="X132" s="9" t="n"/>
      <c r="Y132" s="9" t="n"/>
      <c r="Z132" s="12" t="n"/>
      <c r="AA132" s="12" t="n"/>
      <c r="AB132" s="9" t="n"/>
      <c r="AD132" s="9" t="n"/>
      <c r="AE132" s="33" t="n"/>
      <c r="AF132" s="32" t="n"/>
      <c r="AG132" s="13">
        <f>SUM(B132:AF132)</f>
        <v/>
      </c>
    </row>
    <row r="133" ht="15.75" customHeight="1">
      <c r="A133" s="8" t="inlineStr">
        <is>
          <t>Buckingham</t>
        </is>
      </c>
      <c r="B133" s="9" t="n"/>
      <c r="C133" s="9" t="n"/>
      <c r="D133" s="9" t="n"/>
      <c r="E133" s="9" t="n"/>
      <c r="F133" s="9" t="n"/>
      <c r="G133" s="9" t="n"/>
      <c r="H133" s="12" t="n"/>
      <c r="I133" s="9" t="n"/>
      <c r="J133" s="9" t="n"/>
      <c r="K133" s="9" t="n"/>
      <c r="L133" s="12" t="n"/>
      <c r="M133" s="9" t="n"/>
      <c r="N133" s="26" t="n"/>
      <c r="O133" s="26" t="n"/>
      <c r="P133" s="31" t="n"/>
      <c r="Q133" s="9" t="n"/>
      <c r="R133" s="9" t="n"/>
      <c r="S133" s="9" t="n"/>
      <c r="T133" s="31" t="n"/>
      <c r="U133" s="9" t="n"/>
      <c r="V133" s="12" t="n"/>
      <c r="W133" t="n">
        <v>4937.64</v>
      </c>
      <c r="X133" s="9" t="n"/>
      <c r="Y133" s="9" t="n"/>
      <c r="Z133" s="9" t="n"/>
      <c r="AA133" s="12" t="n"/>
      <c r="AB133" s="9" t="n"/>
      <c r="AC133" s="9" t="n"/>
      <c r="AD133" s="9" t="n"/>
      <c r="AE133" s="32" t="n"/>
      <c r="AF133" s="32" t="n"/>
      <c r="AG133" s="13">
        <f>SUM(B133:AF133)</f>
        <v/>
      </c>
    </row>
    <row r="134" ht="15.75" customHeight="1">
      <c r="A134" s="8" t="inlineStr">
        <is>
          <t>Sandwell respite est</t>
        </is>
      </c>
      <c r="B134" s="9" t="n"/>
      <c r="C134" s="9" t="n"/>
      <c r="D134" s="9" t="n"/>
      <c r="E134" s="9" t="n"/>
      <c r="F134" s="9" t="n"/>
      <c r="G134" s="9" t="n"/>
      <c r="H134" s="9" t="n"/>
      <c r="I134" t="n">
        <v>1482.4</v>
      </c>
      <c r="J134" s="9" t="n"/>
      <c r="K134" s="9" t="n"/>
      <c r="L134" s="9" t="n"/>
      <c r="M134" s="9" t="n"/>
      <c r="N134" s="26" t="n"/>
      <c r="O134" s="26" t="n"/>
      <c r="P134" s="26" t="n"/>
      <c r="Q134" s="9" t="n"/>
      <c r="R134" s="9" t="n"/>
      <c r="S134" s="9" t="n"/>
      <c r="T134" s="31" t="n">
        <v>7156.39</v>
      </c>
      <c r="U134" t="n">
        <v>1088</v>
      </c>
      <c r="V134" s="9" t="n"/>
      <c r="X134" s="9" t="n"/>
      <c r="Y134" s="9" t="n"/>
      <c r="Z134" s="9" t="n"/>
      <c r="AA134" s="9" t="n"/>
      <c r="AB134" s="9" t="n"/>
      <c r="AC134" s="9" t="n"/>
      <c r="AD134" s="9" t="n"/>
      <c r="AE134" s="32" t="n"/>
      <c r="AF134" s="32" t="n"/>
      <c r="AG134" s="13">
        <f>SUM(B134:AF134)</f>
        <v/>
      </c>
    </row>
    <row r="135" ht="15.75" customHeight="1">
      <c r="A135" s="8" t="inlineStr">
        <is>
          <t xml:space="preserve">Wolverhampton respite est </t>
        </is>
      </c>
      <c r="B135" s="9" t="n"/>
      <c r="C135" s="9" t="n"/>
      <c r="D135" s="9" t="n"/>
      <c r="E135" s="9" t="n"/>
      <c r="F135" s="9" t="n"/>
      <c r="G135" s="9" t="n"/>
      <c r="H135" s="9" t="n"/>
      <c r="I135" s="9" t="n"/>
      <c r="J135" s="9" t="n"/>
      <c r="K135" s="9" t="n"/>
      <c r="L135" t="n">
        <v>11423.84</v>
      </c>
      <c r="M135" s="9" t="n"/>
      <c r="N135" s="26" t="n"/>
      <c r="O135" s="26" t="n"/>
      <c r="P135" s="26" t="n">
        <v>20861.36</v>
      </c>
      <c r="Q135" s="9" t="n"/>
      <c r="R135" s="9" t="n"/>
      <c r="S135" s="9" t="n"/>
      <c r="T135" s="26" t="n"/>
      <c r="V135" s="9" t="n"/>
      <c r="X135" s="9" t="n"/>
      <c r="Y135" s="9" t="n"/>
      <c r="Z135" s="9" t="n"/>
      <c r="AA135" s="9" t="n"/>
      <c r="AB135" s="9" t="n"/>
      <c r="AC135" s="9" t="n"/>
      <c r="AD135" s="9" t="n"/>
      <c r="AE135" s="32" t="n"/>
      <c r="AF135" s="32" t="n"/>
      <c r="AG135" s="13">
        <f>SUM(B135:AF135)</f>
        <v/>
      </c>
    </row>
    <row r="136" ht="15.75" customHeight="1">
      <c r="A136" s="8" t="inlineStr">
        <is>
          <t>Walsall Respite</t>
        </is>
      </c>
      <c r="B136" t="n">
        <v>2811.68</v>
      </c>
      <c r="C136" s="9" t="n"/>
      <c r="D136" s="9" t="n"/>
      <c r="E136" s="9" t="n"/>
      <c r="F136" s="9" t="n"/>
      <c r="G136" s="9" t="n"/>
      <c r="H136" s="9" t="n"/>
      <c r="I136" s="9" t="n"/>
      <c r="J136" s="9" t="n"/>
      <c r="K136" s="9" t="n"/>
      <c r="L136" s="9" t="n"/>
      <c r="M136" s="9" t="n"/>
      <c r="N136" s="26" t="n"/>
      <c r="O136" s="26" t="n"/>
      <c r="P136" s="26" t="n"/>
      <c r="Q136" s="9" t="n"/>
      <c r="R136" s="9" t="n"/>
      <c r="S136" s="9" t="n"/>
      <c r="T136" s="26" t="n">
        <v>21152</v>
      </c>
      <c r="U136" s="9" t="n"/>
      <c r="X136" s="9" t="n"/>
      <c r="Y136" s="9" t="n"/>
      <c r="Z136" s="9" t="n"/>
      <c r="AA136" s="9" t="n"/>
      <c r="AB136" s="9" t="n"/>
      <c r="AC136" t="n">
        <v>2938.24</v>
      </c>
      <c r="AD136" s="9" t="n"/>
      <c r="AE136" s="32" t="n"/>
      <c r="AF136" s="32" t="n"/>
      <c r="AG136" s="13">
        <f>SUM(B136:AF136)</f>
        <v/>
      </c>
    </row>
    <row r="137" ht="18.75" customHeight="1">
      <c r="A137" s="8" t="inlineStr">
        <is>
          <t>Ideal for All Ltd</t>
        </is>
      </c>
      <c r="B137" s="9" t="n"/>
      <c r="C137" s="9" t="n"/>
      <c r="D137" s="9" t="n"/>
      <c r="E137" t="n">
        <v>3216.15</v>
      </c>
      <c r="F137" s="12" t="n"/>
      <c r="G137" s="9" t="n"/>
      <c r="H137" s="12" t="n"/>
      <c r="I137" s="12" t="n"/>
      <c r="J137" s="11" t="n"/>
      <c r="K137" s="9" t="n"/>
      <c r="L137" s="12" t="n"/>
      <c r="M137" s="11" t="n"/>
      <c r="N137" s="31" t="n"/>
      <c r="O137" s="31" t="n"/>
      <c r="P137" s="31" t="n"/>
      <c r="Q137" s="12" t="n"/>
      <c r="R137" s="11" t="n"/>
      <c r="T137" s="31" t="n"/>
      <c r="U137" s="12" t="n"/>
      <c r="X137" s="9" t="inlineStr"/>
      <c r="Y137" s="9" t="inlineStr"/>
      <c r="Z137" s="9" t="inlineStr"/>
      <c r="AC137" s="9" t="inlineStr"/>
      <c r="AD137" s="9" t="inlineStr"/>
      <c r="AE137" s="33" t="n"/>
      <c r="AF137" s="33" t="n"/>
      <c r="AG137" s="13">
        <f>SUM(B137:AF137)</f>
        <v/>
      </c>
    </row>
    <row r="138" ht="15.75" customHeight="1">
      <c r="A138" s="8" t="inlineStr">
        <is>
          <t>KIRKLEES COUNCIL-204312-63046958</t>
        </is>
      </c>
      <c r="B138" s="9" t="n"/>
      <c r="C138" s="9" t="n"/>
      <c r="D138" s="9" t="n"/>
      <c r="E138" s="9" t="n"/>
      <c r="F138" s="9" t="n"/>
      <c r="G138" t="n">
        <v>5375.7</v>
      </c>
      <c r="H138" s="9" t="n"/>
      <c r="I138" s="9" t="n"/>
      <c r="J138" s="9" t="n"/>
      <c r="K138" s="9" t="n"/>
      <c r="L138" s="9" t="n"/>
      <c r="M138" s="12" t="n"/>
      <c r="N138" s="26" t="n"/>
      <c r="O138" s="26" t="n"/>
      <c r="P138" s="31" t="n"/>
      <c r="R138" s="12" t="n"/>
      <c r="S138" s="12" t="n"/>
      <c r="T138" s="26" t="n"/>
      <c r="V138" s="9" t="inlineStr"/>
      <c r="X138" s="9" t="inlineStr"/>
      <c r="Y138" s="9" t="inlineStr"/>
      <c r="Z138" s="9" t="inlineStr"/>
      <c r="AC138" s="9" t="inlineStr"/>
      <c r="AD138" s="9" t="inlineStr"/>
      <c r="AE138" s="33" t="n"/>
      <c r="AF138" s="32" t="n"/>
      <c r="AG138" s="13">
        <f>SUM(B138:AF138)</f>
        <v/>
      </c>
    </row>
    <row r="139" ht="15.75" customHeight="1">
      <c r="A139" s="8" t="inlineStr">
        <is>
          <t>LBH PAYMENTS BACS-602210-72430192</t>
        </is>
      </c>
      <c r="B139" s="9" t="n"/>
      <c r="C139" s="9" t="n"/>
      <c r="D139" s="9" t="n"/>
      <c r="E139" s="12" t="n"/>
      <c r="F139" s="9" t="n"/>
      <c r="G139" s="9" t="n"/>
      <c r="H139" s="12" t="n"/>
      <c r="I139" s="9" t="n"/>
      <c r="J139" s="9" t="n"/>
      <c r="K139" s="9" t="n"/>
      <c r="L139" s="9" t="n"/>
      <c r="N139" s="31" t="n"/>
      <c r="O139" s="26" t="n"/>
      <c r="P139" s="31" t="n"/>
      <c r="Q139" s="9" t="n"/>
      <c r="R139" s="9" t="n"/>
      <c r="T139" s="26" t="n"/>
      <c r="U139" s="9" t="n"/>
      <c r="V139" s="9" t="inlineStr"/>
      <c r="X139" s="9" t="inlineStr"/>
      <c r="Y139" s="9" t="inlineStr"/>
      <c r="Z139" s="9" t="inlineStr"/>
      <c r="AC139" s="9" t="inlineStr"/>
      <c r="AD139" s="31" t="n">
        <v>5040</v>
      </c>
      <c r="AE139" s="33" t="n"/>
      <c r="AF139" s="32" t="n"/>
      <c r="AG139" s="13">
        <f>SUM(B139:AF139)</f>
        <v/>
      </c>
    </row>
    <row r="140" ht="15.75" customHeight="1">
      <c r="A140" s="8" t="inlineStr">
        <is>
          <t>NHS BIRMINGHAM &amp; S-607080-10017097</t>
        </is>
      </c>
      <c r="B140" s="9" t="n"/>
      <c r="C140" s="9" t="n"/>
      <c r="D140" s="9" t="n"/>
      <c r="E140" s="9" t="n"/>
      <c r="F140" s="9" t="n"/>
      <c r="G140" s="9" t="n"/>
      <c r="H140" s="9" t="n"/>
      <c r="I140" s="9" t="n"/>
      <c r="J140" s="9" t="n"/>
      <c r="K140" s="9" t="n"/>
      <c r="L140" s="9" t="inlineStr"/>
      <c r="N140" s="31" t="n"/>
      <c r="O140" s="26" t="inlineStr"/>
      <c r="P140" s="31" t="n">
        <v>6891.9</v>
      </c>
      <c r="Q140" s="9" t="inlineStr"/>
      <c r="R140" s="9" t="inlineStr"/>
      <c r="S140" s="9" t="inlineStr"/>
      <c r="T140" s="26" t="inlineStr"/>
      <c r="U140" s="9" t="inlineStr"/>
      <c r="V140" s="9" t="inlineStr"/>
      <c r="W140" s="9" t="inlineStr"/>
      <c r="Y140" s="9" t="inlineStr"/>
      <c r="Z140" s="9" t="inlineStr"/>
      <c r="AC140" s="9" t="inlineStr"/>
      <c r="AD140" s="9" t="inlineStr"/>
      <c r="AE140" s="32" t="n"/>
      <c r="AF140" s="32" t="n"/>
      <c r="AG140" s="13">
        <f>SUM(B140:AF140)</f>
        <v/>
      </c>
    </row>
    <row r="141" ht="15.75" customHeight="1">
      <c r="A141" s="8" t="inlineStr">
        <is>
          <t>NHS BLACK COUNTRY-607080-10015272</t>
        </is>
      </c>
      <c r="B141" s="9" t="n"/>
      <c r="C141" s="9" t="n"/>
      <c r="D141" s="9" t="n"/>
      <c r="E141" s="9" t="n"/>
      <c r="F141" s="9" t="n"/>
      <c r="G141" s="9" t="n"/>
      <c r="H141" s="9" t="n"/>
      <c r="I141" s="9" t="n"/>
      <c r="J141" s="9" t="n"/>
      <c r="K141" s="9" t="n"/>
      <c r="L141" s="9" t="inlineStr"/>
      <c r="N141" s="26" t="inlineStr"/>
      <c r="O141" s="26" t="inlineStr"/>
      <c r="P141" s="26" t="n">
        <v>13625.17</v>
      </c>
      <c r="Q141" s="9" t="inlineStr"/>
      <c r="R141" s="9" t="inlineStr"/>
      <c r="S141" s="9" t="inlineStr"/>
      <c r="T141" s="26" t="inlineStr"/>
      <c r="U141" s="9" t="inlineStr"/>
      <c r="V141" s="9" t="inlineStr"/>
      <c r="W141" s="9" t="inlineStr"/>
      <c r="X141" s="9" t="inlineStr"/>
      <c r="Z141" s="9" t="inlineStr"/>
      <c r="AA141" s="9" t="inlineStr"/>
      <c r="AB141" s="9" t="n"/>
      <c r="AC141" t="n">
        <v>8342.32</v>
      </c>
      <c r="AD141" s="9" t="inlineStr"/>
      <c r="AE141" s="9" t="n"/>
      <c r="AF141" s="9" t="n"/>
      <c r="AG141" s="13">
        <f>SUM(B141:AF141)</f>
        <v/>
      </c>
    </row>
    <row r="142" ht="15.75" customHeight="1">
      <c r="A142" s="14" t="inlineStr">
        <is>
          <t>SANDWELL MBC  BEN-601539-69624151</t>
        </is>
      </c>
      <c r="B142" s="9" t="n"/>
      <c r="C142" s="9" t="n"/>
      <c r="D142" s="9" t="n"/>
      <c r="E142" s="9" t="n"/>
      <c r="F142" s="9" t="n"/>
      <c r="G142" s="9" t="n"/>
      <c r="H142" s="9" t="n"/>
      <c r="I142" s="9" t="n"/>
      <c r="J142" s="9" t="n"/>
      <c r="K142" s="9" t="n"/>
      <c r="L142" t="n">
        <v>2950.96</v>
      </c>
      <c r="N142" s="26" t="inlineStr"/>
      <c r="O142" s="26" t="inlineStr"/>
      <c r="P142" s="26" t="inlineStr"/>
      <c r="Q142" s="9" t="inlineStr"/>
      <c r="R142" s="9" t="inlineStr"/>
      <c r="S142" s="9" t="inlineStr"/>
      <c r="T142" s="26" t="inlineStr"/>
      <c r="U142" s="9" t="inlineStr"/>
      <c r="V142" s="9" t="inlineStr"/>
      <c r="W142" s="9" t="inlineStr"/>
      <c r="X142" s="9" t="inlineStr"/>
      <c r="Y142" s="9" t="inlineStr"/>
      <c r="Z142" s="9" t="inlineStr"/>
      <c r="AA142" s="9" t="inlineStr"/>
      <c r="AB142" s="9" t="inlineStr"/>
      <c r="AC142" s="9" t="inlineStr"/>
      <c r="AD142" s="9" t="n"/>
      <c r="AE142" s="9" t="n"/>
      <c r="AF142" s="9" t="n"/>
      <c r="AG142" s="13">
        <f>SUM(B142:AF142)</f>
        <v/>
      </c>
    </row>
    <row r="143" ht="15.75" customHeight="1">
      <c r="A143" s="14" t="inlineStr">
        <is>
          <t>SANDWELL MBC-601539-69624135</t>
        </is>
      </c>
      <c r="B143" s="9" t="n"/>
      <c r="C143" s="9" t="n"/>
      <c r="D143" s="9" t="n"/>
      <c r="E143" s="9" t="n"/>
      <c r="F143" s="9" t="n"/>
      <c r="G143" s="9" t="n"/>
      <c r="H143" s="9" t="n"/>
      <c r="J143" s="9" t="n"/>
      <c r="K143" s="9" t="n"/>
      <c r="L143" t="n">
        <v>112328.6</v>
      </c>
      <c r="N143" s="26" t="inlineStr"/>
      <c r="O143" s="26" t="inlineStr"/>
      <c r="P143" s="26" t="inlineStr"/>
      <c r="Q143" s="9" t="inlineStr"/>
      <c r="R143" s="9" t="inlineStr"/>
      <c r="S143" s="9" t="inlineStr"/>
      <c r="T143" s="26" t="inlineStr"/>
      <c r="U143" s="9" t="inlineStr"/>
      <c r="V143" t="n">
        <v>108090.88</v>
      </c>
      <c r="W143" s="9" t="inlineStr"/>
      <c r="X143" s="9" t="inlineStr"/>
      <c r="Y143" s="9" t="inlineStr"/>
      <c r="Z143" s="9" t="inlineStr"/>
      <c r="AA143" s="9" t="inlineStr"/>
      <c r="AB143" s="9" t="n"/>
      <c r="AC143" s="9" t="inlineStr"/>
      <c r="AD143" s="9" t="inlineStr"/>
      <c r="AE143" s="9" t="n"/>
      <c r="AF143" s="9" t="n"/>
      <c r="AG143" s="13">
        <f>SUM(B143:AF143)</f>
        <v/>
      </c>
    </row>
    <row r="144" ht="15.75" customHeight="1">
      <c r="A144" s="15" t="inlineStr">
        <is>
          <t>SOLIHULL MBC EXP.-200771-00561525</t>
        </is>
      </c>
      <c r="B144" s="9" t="n"/>
      <c r="C144" s="9" t="n"/>
      <c r="D144" s="9" t="n"/>
      <c r="E144" t="n">
        <v>30000.6</v>
      </c>
      <c r="F144" s="9" t="n"/>
      <c r="G144" s="9" t="n"/>
      <c r="H144" s="9" t="n"/>
      <c r="I144" s="9" t="n"/>
      <c r="J144" s="9" t="n"/>
      <c r="K144" s="9" t="n"/>
      <c r="L144" s="9" t="n"/>
      <c r="N144" s="26" t="inlineStr"/>
      <c r="O144" s="26" t="inlineStr"/>
      <c r="P144" s="26" t="inlineStr"/>
      <c r="Q144" s="9" t="inlineStr"/>
      <c r="R144" s="9" t="inlineStr"/>
      <c r="S144" s="9" t="inlineStr"/>
      <c r="T144" s="26" t="inlineStr"/>
      <c r="U144" s="9" t="inlineStr"/>
      <c r="V144" s="9" t="inlineStr"/>
      <c r="W144" s="9" t="inlineStr"/>
      <c r="X144" s="9" t="inlineStr"/>
      <c r="Y144" s="9" t="inlineStr"/>
      <c r="Z144" s="9" t="inlineStr"/>
      <c r="AA144" s="9" t="inlineStr"/>
      <c r="AB144" s="9" t="inlineStr"/>
      <c r="AC144" s="9" t="inlineStr"/>
      <c r="AD144" s="9" t="inlineStr"/>
      <c r="AE144" s="9" t="n"/>
      <c r="AF144" s="9" t="n"/>
      <c r="AG144" s="13">
        <f>SUM(B144:AF144)</f>
        <v/>
      </c>
    </row>
    <row r="145" ht="15.75" customHeight="1">
      <c r="A145" s="15" t="inlineStr">
        <is>
          <t>WALSALL MBC BARC-209073-10731692</t>
        </is>
      </c>
      <c r="B145" s="9" t="n"/>
      <c r="C145" s="9" t="n"/>
      <c r="D145" s="9" t="n"/>
      <c r="E145" s="9" t="n"/>
      <c r="F145" s="9" t="n"/>
      <c r="G145" s="9" t="n"/>
      <c r="H145" s="9" t="n"/>
      <c r="I145" s="9" t="n"/>
      <c r="J145" s="9" t="n"/>
      <c r="K145" s="9" t="n"/>
      <c r="L145" s="9" t="inlineStr"/>
      <c r="N145" s="26" t="inlineStr"/>
      <c r="O145" s="26" t="inlineStr"/>
      <c r="P145" s="26" t="inlineStr"/>
      <c r="Q145" s="9" t="inlineStr"/>
      <c r="R145" s="9" t="inlineStr"/>
      <c r="S145" s="9" t="inlineStr"/>
      <c r="T145" s="26" t="n">
        <v>172200.86</v>
      </c>
      <c r="U145" s="9" t="inlineStr"/>
      <c r="W145" s="9" t="inlineStr"/>
      <c r="X145" s="9" t="inlineStr"/>
      <c r="Y145" s="9" t="inlineStr"/>
      <c r="Z145" s="9" t="inlineStr"/>
      <c r="AA145" s="9" t="inlineStr"/>
      <c r="AB145" s="9" t="inlineStr"/>
      <c r="AC145" s="9" t="inlineStr"/>
      <c r="AD145" s="9" t="inlineStr"/>
      <c r="AE145" s="9" t="n"/>
      <c r="AF145" s="9" t="n"/>
      <c r="AG145" s="13">
        <f>SUM(B145:AF145)</f>
        <v/>
      </c>
    </row>
    <row r="146" ht="15.75" customHeight="1">
      <c r="A146" s="15" t="inlineStr">
        <is>
          <t>WOLVERHAMPTON CC-560069-44470320</t>
        </is>
      </c>
      <c r="B146" s="9" t="n"/>
      <c r="C146" s="9" t="n"/>
      <c r="D146" s="9" t="n"/>
      <c r="E146" s="9" t="n"/>
      <c r="F146" s="9" t="n"/>
      <c r="G146" s="9" t="n"/>
      <c r="H146" t="n">
        <v>115319.82</v>
      </c>
      <c r="I146" s="9" t="n"/>
      <c r="J146" s="9" t="n"/>
      <c r="K146" s="9" t="n"/>
      <c r="L146" s="9" t="n"/>
      <c r="N146" s="26" t="n"/>
      <c r="O146" s="26" t="n">
        <v>110144.82</v>
      </c>
      <c r="P146" s="31" t="n"/>
      <c r="Q146" s="9" t="n"/>
      <c r="R146" s="9" t="n"/>
      <c r="S146" s="9" t="n"/>
      <c r="T146" s="26" t="n"/>
      <c r="U146" s="16" t="n">
        <v>3191.28</v>
      </c>
      <c r="V146" s="31" t="n">
        <v>109958.82</v>
      </c>
      <c r="W146" s="9" t="n"/>
      <c r="X146" s="9" t="n"/>
      <c r="Y146" s="9" t="n"/>
      <c r="Z146" s="9" t="n"/>
      <c r="AA146" s="9" t="n"/>
      <c r="AB146" s="9" t="n"/>
      <c r="AC146" s="12" t="n"/>
      <c r="AD146" s="9" t="n"/>
      <c r="AE146" s="9" t="n"/>
      <c r="AF146" s="9" t="n"/>
      <c r="AG146" s="13">
        <f>SUM(B146:AF146)</f>
        <v/>
      </c>
    </row>
    <row r="147" ht="15.75" customHeight="1">
      <c r="A147" s="15" t="inlineStr">
        <is>
          <t>TLC</t>
        </is>
      </c>
      <c r="B147" t="n">
        <v>1455.15</v>
      </c>
      <c r="C147" s="9" t="n"/>
      <c r="D147" s="12" t="n"/>
      <c r="E147" s="12" t="n"/>
      <c r="F147" s="9" t="n"/>
      <c r="G147" s="9" t="n"/>
      <c r="H147" s="9" t="n"/>
      <c r="I147" s="9" t="n"/>
      <c r="J147" s="9" t="n"/>
      <c r="K147" s="9" t="n"/>
      <c r="L147" t="n">
        <v>8485.65</v>
      </c>
      <c r="N147" s="31">
        <f>7735+1090</f>
        <v/>
      </c>
      <c r="O147" s="31" t="n"/>
      <c r="P147" s="31" t="n"/>
      <c r="Q147" s="9" t="n"/>
      <c r="R147" s="9" t="n"/>
      <c r="S147" t="n">
        <v>642.12</v>
      </c>
      <c r="T147" s="26" t="n"/>
      <c r="U147" s="26" t="n"/>
      <c r="V147" s="26" t="n"/>
      <c r="W147">
        <f>8104.15+1351.6</f>
        <v/>
      </c>
      <c r="X147" s="12" t="n"/>
      <c r="Y147" s="9" t="n"/>
      <c r="Z147" s="9" t="n"/>
      <c r="AA147" s="9" t="n"/>
      <c r="AB147" s="9" t="n"/>
      <c r="AC147" s="12" t="n"/>
      <c r="AD147" s="9" t="n"/>
      <c r="AE147" s="9" t="n"/>
      <c r="AF147" s="9" t="n"/>
      <c r="AG147" s="13">
        <f>SUM(B147:AF147)</f>
        <v/>
      </c>
    </row>
    <row r="148" ht="15.75" customHeight="1">
      <c r="A148" s="15" t="inlineStr">
        <is>
          <t>HB SC</t>
        </is>
      </c>
      <c r="B148" t="n">
        <v>6009.74</v>
      </c>
      <c r="C148" t="n">
        <v>150</v>
      </c>
      <c r="D148" t="n">
        <v>0</v>
      </c>
      <c r="E148" t="n">
        <v>6309.789999999995</v>
      </c>
      <c r="F148" t="n">
        <v>3140.37</v>
      </c>
      <c r="G148" s="16" t="n">
        <v>720.87</v>
      </c>
      <c r="H148" s="16" t="n">
        <v>1849.789999999994</v>
      </c>
      <c r="I148" s="16" t="n">
        <v>2657.16</v>
      </c>
      <c r="J148" s="16" t="n">
        <v>0</v>
      </c>
      <c r="K148" s="16" t="n">
        <v>357.69</v>
      </c>
      <c r="L148" s="16" t="n">
        <v>5619.390000000001</v>
      </c>
      <c r="M148" s="16" t="n">
        <v>5638.930000000001</v>
      </c>
      <c r="N148" s="16" t="n">
        <v>3434.25</v>
      </c>
      <c r="O148" s="16" t="n">
        <v>3114.950000000005</v>
      </c>
      <c r="P148" s="16" t="n">
        <v>4556.799999999996</v>
      </c>
      <c r="Q148" s="16" t="n">
        <v>150</v>
      </c>
      <c r="R148" s="16" t="n">
        <v>260</v>
      </c>
      <c r="S148" s="16" t="n">
        <v>4524.99</v>
      </c>
      <c r="T148" s="16" t="n">
        <v>2270.229999999995</v>
      </c>
      <c r="U148" s="16" t="n">
        <v>5982.02</v>
      </c>
      <c r="V148" s="16">
        <f>4946.8+4179.11</f>
        <v/>
      </c>
      <c r="W148" s="16" t="n">
        <v>5456.520000000001</v>
      </c>
      <c r="X148" s="16" t="n">
        <v>0</v>
      </c>
      <c r="Y148" s="16" t="n">
        <v>0</v>
      </c>
      <c r="Z148" s="16" t="n">
        <v>0</v>
      </c>
      <c r="AA148" s="16" t="n">
        <v>213.18</v>
      </c>
      <c r="AB148" s="16" t="n">
        <v>6903.32</v>
      </c>
      <c r="AC148" s="16" t="n">
        <v>9894.18</v>
      </c>
      <c r="AD148" s="16">
        <f>11524.39-AD139</f>
        <v/>
      </c>
      <c r="AE148" s="10" t="n">
        <v>411.67</v>
      </c>
      <c r="AF148" s="10" t="n">
        <v>0</v>
      </c>
      <c r="AG148" s="13">
        <f>SUM(B148:AF148)</f>
        <v/>
      </c>
    </row>
    <row r="149" ht="16.5" customHeight="1" thickBot="1">
      <c r="A149" s="53" t="inlineStr">
        <is>
          <t>Total</t>
        </is>
      </c>
      <c r="B149" s="29">
        <f>SUM(B131:B148)</f>
        <v/>
      </c>
      <c r="C149" s="29">
        <f>SUM(C131:C148)</f>
        <v/>
      </c>
      <c r="D149" s="29">
        <f>SUM(D131:D148)</f>
        <v/>
      </c>
      <c r="E149" s="29">
        <f>SUM(E131:E148)</f>
        <v/>
      </c>
      <c r="F149" s="29">
        <f>SUM(F131:F148)</f>
        <v/>
      </c>
      <c r="G149" s="29">
        <f>SUM(G131:G148)</f>
        <v/>
      </c>
      <c r="H149" s="29">
        <f>SUM(H131:H148)</f>
        <v/>
      </c>
      <c r="I149" s="29">
        <f>SUM(I131:I148)</f>
        <v/>
      </c>
      <c r="J149" s="29">
        <f>SUM(J131:J148)</f>
        <v/>
      </c>
      <c r="K149" s="29">
        <f>SUM(K131:K148)</f>
        <v/>
      </c>
      <c r="L149" s="29">
        <f>SUM(L131:L148)</f>
        <v/>
      </c>
      <c r="M149" s="29">
        <f>SUM(M131:M148)</f>
        <v/>
      </c>
      <c r="N149" s="58">
        <f>SUM(N131:N148)</f>
        <v/>
      </c>
      <c r="O149" s="58">
        <f>SUM(O131:O148)</f>
        <v/>
      </c>
      <c r="P149" s="58">
        <f>SUM(P131:P148)</f>
        <v/>
      </c>
      <c r="Q149" s="58">
        <f>SUM(Q131:Q148)</f>
        <v/>
      </c>
      <c r="R149" s="58">
        <f>SUM(R131:R148)</f>
        <v/>
      </c>
      <c r="S149" s="58">
        <f>SUM(S131:S148)</f>
        <v/>
      </c>
      <c r="T149" s="29">
        <f>SUM(T131:T148)</f>
        <v/>
      </c>
      <c r="U149" s="58">
        <f>SUM(U131:U148)</f>
        <v/>
      </c>
      <c r="V149" s="58">
        <f>SUM(V131:V148)</f>
        <v/>
      </c>
      <c r="W149" s="58">
        <f>SUM(W131:W148)</f>
        <v/>
      </c>
      <c r="X149" s="58">
        <f>SUM(X131:X148)</f>
        <v/>
      </c>
      <c r="Y149" s="58">
        <f>SUM(Y131:Y148)</f>
        <v/>
      </c>
      <c r="Z149" s="58">
        <f>SUM(Z131:Z148)</f>
        <v/>
      </c>
      <c r="AA149" s="58">
        <f>SUM(AA131:AA148)</f>
        <v/>
      </c>
      <c r="AB149" s="58">
        <f>SUM(AB131:AB148)</f>
        <v/>
      </c>
      <c r="AC149" s="58">
        <f>SUM(AC131:AC148)</f>
        <v/>
      </c>
      <c r="AD149" s="58">
        <f>SUM(AD131:AD148)</f>
        <v/>
      </c>
      <c r="AE149" s="29">
        <f>SUM(AE131:AE148)</f>
        <v/>
      </c>
      <c r="AF149" s="29">
        <f>SUM(AF131:AF148)</f>
        <v/>
      </c>
      <c r="AG149" s="22">
        <f>SUM(AG131:AG148)-AE132-AF137-AE137-AE138-AF140</f>
        <v/>
      </c>
      <c r="AH149" s="25" t="n"/>
    </row>
    <row r="150" ht="15.75" customHeight="1" thickTop="1">
      <c r="A150" s="15" t="inlineStr">
        <is>
          <t>Ruunning Total</t>
        </is>
      </c>
      <c r="B150">
        <f>B149</f>
        <v/>
      </c>
      <c r="C150">
        <f>B150+C149</f>
        <v/>
      </c>
      <c r="D150">
        <f>C150+D149</f>
        <v/>
      </c>
      <c r="E150">
        <f>D150+E149</f>
        <v/>
      </c>
      <c r="F150">
        <f>E150+F149</f>
        <v/>
      </c>
      <c r="G150">
        <f>F150+G149</f>
        <v/>
      </c>
      <c r="H150">
        <f>G150+H149</f>
        <v/>
      </c>
      <c r="I150">
        <f>H150+I149</f>
        <v/>
      </c>
      <c r="J150">
        <f>I150+J149</f>
        <v/>
      </c>
      <c r="K150">
        <f>J150+K149</f>
        <v/>
      </c>
      <c r="L150">
        <f>K150+L149</f>
        <v/>
      </c>
      <c r="M150">
        <f>L150+M149</f>
        <v/>
      </c>
      <c r="N150">
        <f>M150+N149</f>
        <v/>
      </c>
      <c r="O150">
        <f>N150+O149</f>
        <v/>
      </c>
      <c r="P150">
        <f>O150+P149</f>
        <v/>
      </c>
      <c r="Q150">
        <f>P150+Q149</f>
        <v/>
      </c>
      <c r="R150">
        <f>Q150+R149</f>
        <v/>
      </c>
      <c r="S150">
        <f>R150+S149</f>
        <v/>
      </c>
      <c r="T150">
        <f>S150+T149</f>
        <v/>
      </c>
      <c r="U150">
        <f>T150+U149</f>
        <v/>
      </c>
      <c r="V150">
        <f>U150+V149</f>
        <v/>
      </c>
      <c r="W150">
        <f>V150+W149</f>
        <v/>
      </c>
      <c r="X150">
        <f>W150+X149</f>
        <v/>
      </c>
      <c r="Y150">
        <f>X150+Y149</f>
        <v/>
      </c>
      <c r="Z150">
        <f>Y150+Z149</f>
        <v/>
      </c>
      <c r="AA150">
        <f>Z150+AA149</f>
        <v/>
      </c>
      <c r="AB150">
        <f>AA150+AB149</f>
        <v/>
      </c>
      <c r="AC150">
        <f>AB150+AC149</f>
        <v/>
      </c>
      <c r="AD150">
        <f>AC150+AD149</f>
        <v/>
      </c>
      <c r="AE150">
        <f>AD150+AE149</f>
        <v/>
      </c>
      <c r="AF150">
        <f>AE150+AF149</f>
        <v/>
      </c>
    </row>
    <row r="153">
      <c r="A153" s="1" t="n"/>
      <c r="B153" s="2" t="inlineStr">
        <is>
          <t>Jan</t>
        </is>
      </c>
      <c r="C153" s="2" t="n"/>
      <c r="D153" s="2" t="n"/>
      <c r="E153" s="2" t="n"/>
      <c r="F153" s="2" t="n"/>
      <c r="G153" s="2" t="n"/>
      <c r="H153" s="2" t="n"/>
      <c r="I153" s="2" t="n"/>
      <c r="J153" s="2" t="n"/>
      <c r="K153" s="2" t="n"/>
      <c r="L153" s="2" t="n"/>
      <c r="M153" s="2" t="n"/>
      <c r="N153" s="2" t="n"/>
      <c r="O153" s="2" t="n"/>
      <c r="P153" s="2" t="n"/>
      <c r="Q153" s="2" t="n"/>
      <c r="R153" s="2" t="n"/>
      <c r="S153" s="2" t="n"/>
      <c r="T153" s="2" t="n"/>
      <c r="U153" s="2" t="n"/>
      <c r="V153" s="2" t="n"/>
      <c r="W153" s="2" t="n"/>
      <c r="X153" s="2" t="n"/>
      <c r="Y153" s="2" t="n"/>
      <c r="Z153" s="2" t="n"/>
      <c r="AA153" s="2" t="n"/>
      <c r="AB153" s="2" t="n"/>
      <c r="AC153" s="2" t="n"/>
      <c r="AD153" s="2" t="n"/>
      <c r="AE153" s="1" t="n"/>
      <c r="AF153" s="1" t="n"/>
      <c r="AG153" s="1" t="n"/>
    </row>
    <row r="154">
      <c r="A154" s="1" t="n"/>
      <c r="B154" s="2" t="inlineStr">
        <is>
          <t>Monday</t>
        </is>
      </c>
      <c r="C154" s="2" t="inlineStr">
        <is>
          <t>Tuesday</t>
        </is>
      </c>
      <c r="D154" s="2" t="inlineStr">
        <is>
          <t>Wednesday</t>
        </is>
      </c>
      <c r="E154" s="2" t="inlineStr">
        <is>
          <t>Thursday</t>
        </is>
      </c>
      <c r="F154" s="2" t="inlineStr">
        <is>
          <t>Friday</t>
        </is>
      </c>
      <c r="G154" s="2" t="inlineStr">
        <is>
          <t>Saturday</t>
        </is>
      </c>
      <c r="H154" s="2" t="inlineStr">
        <is>
          <t>Sunday</t>
        </is>
      </c>
      <c r="I154" s="2" t="inlineStr">
        <is>
          <t>Monday</t>
        </is>
      </c>
      <c r="J154" s="2" t="inlineStr">
        <is>
          <t>Tuesday</t>
        </is>
      </c>
      <c r="K154" s="2" t="inlineStr">
        <is>
          <t>Wednesday</t>
        </is>
      </c>
      <c r="L154" s="2" t="inlineStr">
        <is>
          <t>Thursday</t>
        </is>
      </c>
      <c r="M154" s="2" t="inlineStr">
        <is>
          <t>Friday</t>
        </is>
      </c>
      <c r="N154" s="2" t="inlineStr">
        <is>
          <t>Saturday</t>
        </is>
      </c>
      <c r="O154" s="2" t="inlineStr">
        <is>
          <t>Sunday</t>
        </is>
      </c>
      <c r="P154" s="2" t="inlineStr">
        <is>
          <t>Monday</t>
        </is>
      </c>
      <c r="Q154" s="2" t="inlineStr">
        <is>
          <t>Tuesday</t>
        </is>
      </c>
      <c r="R154" s="2" t="inlineStr">
        <is>
          <t>Wednesday</t>
        </is>
      </c>
      <c r="S154" s="2" t="inlineStr">
        <is>
          <t>Thursday</t>
        </is>
      </c>
      <c r="T154" s="2" t="inlineStr">
        <is>
          <t>Friday</t>
        </is>
      </c>
      <c r="U154" s="2" t="inlineStr">
        <is>
          <t>Saturday</t>
        </is>
      </c>
      <c r="V154" s="2" t="inlineStr">
        <is>
          <t>Sunday</t>
        </is>
      </c>
      <c r="W154" s="2" t="inlineStr">
        <is>
          <t>Monday</t>
        </is>
      </c>
      <c r="X154" s="2" t="inlineStr">
        <is>
          <t>Tuesday</t>
        </is>
      </c>
      <c r="Y154" s="2" t="inlineStr">
        <is>
          <t>Wednesday</t>
        </is>
      </c>
      <c r="Z154" s="2" t="inlineStr">
        <is>
          <t>Thursday</t>
        </is>
      </c>
      <c r="AA154" s="2" t="inlineStr">
        <is>
          <t>Friday</t>
        </is>
      </c>
      <c r="AB154" s="2" t="inlineStr">
        <is>
          <t>Saturday</t>
        </is>
      </c>
      <c r="AC154" s="2" t="inlineStr">
        <is>
          <t>Sunday</t>
        </is>
      </c>
      <c r="AD154" s="2" t="inlineStr">
        <is>
          <t>Monday</t>
        </is>
      </c>
      <c r="AE154" s="2" t="inlineStr">
        <is>
          <t>Tuesday</t>
        </is>
      </c>
      <c r="AF154" s="2" t="inlineStr">
        <is>
          <t>Wednesday</t>
        </is>
      </c>
      <c r="AG154" s="2" t="inlineStr">
        <is>
          <t>Total</t>
        </is>
      </c>
    </row>
    <row r="155">
      <c r="A155" s="1" t="n"/>
      <c r="B155" s="3" t="inlineStr">
        <is>
          <t>1st</t>
        </is>
      </c>
      <c r="C155" s="3" t="inlineStr">
        <is>
          <t>2nd</t>
        </is>
      </c>
      <c r="D155" s="3" t="inlineStr">
        <is>
          <t>3rd</t>
        </is>
      </c>
      <c r="E155" s="3" t="inlineStr">
        <is>
          <t>4th</t>
        </is>
      </c>
      <c r="F155" s="3" t="inlineStr">
        <is>
          <t>5th</t>
        </is>
      </c>
      <c r="G155" s="3" t="inlineStr">
        <is>
          <t>6th</t>
        </is>
      </c>
      <c r="H155" s="3" t="inlineStr">
        <is>
          <t>7th</t>
        </is>
      </c>
      <c r="I155" s="4" t="inlineStr">
        <is>
          <t>8th</t>
        </is>
      </c>
      <c r="J155" s="4" t="inlineStr">
        <is>
          <t>9th</t>
        </is>
      </c>
      <c r="K155" s="4" t="inlineStr">
        <is>
          <t>10th</t>
        </is>
      </c>
      <c r="L155" s="4" t="inlineStr">
        <is>
          <t>11th</t>
        </is>
      </c>
      <c r="M155" s="4" t="inlineStr">
        <is>
          <t>12th</t>
        </is>
      </c>
      <c r="N155" s="4" t="inlineStr">
        <is>
          <t>13th</t>
        </is>
      </c>
      <c r="O155" s="4" t="inlineStr">
        <is>
          <t>14th</t>
        </is>
      </c>
      <c r="P155" s="5" t="inlineStr">
        <is>
          <t>15th</t>
        </is>
      </c>
      <c r="Q155" s="5" t="inlineStr">
        <is>
          <t>16th</t>
        </is>
      </c>
      <c r="R155" s="5" t="inlineStr">
        <is>
          <t>17th</t>
        </is>
      </c>
      <c r="S155" s="5" t="inlineStr">
        <is>
          <t>18th</t>
        </is>
      </c>
      <c r="T155" s="5" t="inlineStr">
        <is>
          <t>19th</t>
        </is>
      </c>
      <c r="U155" s="5" t="inlineStr">
        <is>
          <t>20th</t>
        </is>
      </c>
      <c r="V155" s="5" t="inlineStr">
        <is>
          <t>21st</t>
        </is>
      </c>
      <c r="W155" s="6" t="inlineStr">
        <is>
          <t>22nd</t>
        </is>
      </c>
      <c r="X155" s="6" t="inlineStr">
        <is>
          <t>23rd</t>
        </is>
      </c>
      <c r="Y155" s="6" t="inlineStr">
        <is>
          <t>24th</t>
        </is>
      </c>
      <c r="Z155" s="6" t="inlineStr">
        <is>
          <t>25th</t>
        </is>
      </c>
      <c r="AA155" s="6" t="inlineStr">
        <is>
          <t>26th</t>
        </is>
      </c>
      <c r="AB155" s="6" t="inlineStr">
        <is>
          <t>27th</t>
        </is>
      </c>
      <c r="AC155" s="6" t="inlineStr">
        <is>
          <t>28th</t>
        </is>
      </c>
      <c r="AD155" s="7" t="inlineStr">
        <is>
          <t>29th</t>
        </is>
      </c>
      <c r="AE155" s="7" t="inlineStr">
        <is>
          <t>30th</t>
        </is>
      </c>
      <c r="AF155" s="7" t="inlineStr">
        <is>
          <t>31st</t>
        </is>
      </c>
      <c r="AG155" s="1" t="n"/>
    </row>
    <row r="156" ht="15.75" customHeight="1">
      <c r="A156" s="8" t="inlineStr">
        <is>
          <t>B-HAM CITY COUNCIL-200790-70489166</t>
        </is>
      </c>
      <c r="B156" s="32" t="n"/>
      <c r="E156" s="12" t="n"/>
      <c r="F156" t="n">
        <v>65406.76</v>
      </c>
      <c r="G156" s="12" t="n"/>
      <c r="H156" s="9" t="n"/>
      <c r="J156" t="n">
        <v>2088.57</v>
      </c>
      <c r="N156" s="9" t="n"/>
      <c r="O156" s="9" t="n"/>
      <c r="R156" s="9" t="n"/>
      <c r="T156" t="n">
        <v>7335.99</v>
      </c>
      <c r="U156" s="9" t="n"/>
      <c r="V156" s="9" t="n"/>
      <c r="Y156" s="12" t="n"/>
      <c r="Z156" s="9" t="n"/>
      <c r="AB156" s="9" t="n"/>
      <c r="AC156" s="9" t="n"/>
      <c r="AF156" s="12" t="n"/>
      <c r="AG156" s="13">
        <f>SUM(B156:AF156)</f>
        <v/>
      </c>
      <c r="AH156" s="12" t="n">
        <v>1298.68</v>
      </c>
      <c r="AI156" s="12">
        <f>5041.28+AK156</f>
        <v/>
      </c>
    </row>
    <row r="157" ht="15.75" customHeight="1">
      <c r="A157" s="8" t="inlineStr">
        <is>
          <t>Accord/Age uk</t>
        </is>
      </c>
      <c r="B157" s="32" t="n"/>
      <c r="C157" s="32" t="n"/>
      <c r="D157" s="9" t="n"/>
      <c r="E157" s="9" t="n"/>
      <c r="H157" s="12" t="n"/>
      <c r="I157" s="12" t="n"/>
      <c r="J157" s="12" t="n"/>
      <c r="M157" s="12" t="n"/>
      <c r="N157" s="12" t="n"/>
      <c r="O157" s="9" t="n"/>
      <c r="S157" s="9" t="n"/>
      <c r="U157" s="12" t="n"/>
      <c r="V157" s="12" t="n"/>
      <c r="W157" s="12" t="n"/>
      <c r="AA157" s="12" t="n"/>
      <c r="AB157" s="9" t="n"/>
      <c r="AC157" s="9" t="n"/>
      <c r="AD157" s="12" t="n"/>
      <c r="AE157" s="33" t="n"/>
      <c r="AF157" s="12" t="n"/>
      <c r="AG157" s="13">
        <f>SUM(B157:AF157)</f>
        <v/>
      </c>
      <c r="AI157" s="12" t="n"/>
    </row>
    <row r="158" ht="15.75" customHeight="1">
      <c r="A158" s="8" t="inlineStr">
        <is>
          <t>Buckingham</t>
        </is>
      </c>
      <c r="B158" s="32" t="n"/>
      <c r="C158" s="32" t="n"/>
      <c r="D158" s="9" t="n"/>
      <c r="E158" s="9" t="n"/>
      <c r="F158" s="9" t="n"/>
      <c r="G158" s="9" t="n"/>
      <c r="H158" s="12" t="n"/>
      <c r="I158" s="12" t="n"/>
      <c r="J158" s="9" t="n"/>
      <c r="K158" s="9" t="n"/>
      <c r="L158" s="9" t="n"/>
      <c r="M158" s="9" t="n"/>
      <c r="N158" s="9" t="n"/>
      <c r="O158" s="9" t="n"/>
      <c r="Q158" s="9" t="n"/>
      <c r="S158" s="9" t="n"/>
      <c r="T158" t="n">
        <v>4937.64</v>
      </c>
      <c r="U158" s="9" t="n"/>
      <c r="V158" s="9" t="n"/>
      <c r="W158" s="12" t="inlineStr">
        <is>
          <t>  </t>
        </is>
      </c>
      <c r="X158" s="9" t="n"/>
      <c r="Z158" s="9" t="n"/>
      <c r="AA158" s="9" t="n"/>
      <c r="AB158" s="9" t="n"/>
      <c r="AC158" s="9" t="n"/>
      <c r="AF158" s="12" t="n"/>
      <c r="AG158" s="13">
        <f>SUM(B158:AF158)</f>
        <v/>
      </c>
      <c r="AI158" s="12" t="n"/>
    </row>
    <row r="159" ht="15.75" customHeight="1">
      <c r="A159" s="8" t="inlineStr">
        <is>
          <t>Sandwell respite est</t>
        </is>
      </c>
      <c r="B159" s="32" t="n"/>
      <c r="C159" s="32" t="n"/>
      <c r="D159" s="9" t="n"/>
      <c r="E159" s="9" t="n"/>
      <c r="F159" t="n">
        <v>2284.8</v>
      </c>
      <c r="G159" s="9" t="n"/>
      <c r="H159" s="9" t="n"/>
      <c r="I159" s="9" t="n"/>
      <c r="J159" s="9" t="n"/>
      <c r="K159" s="9" t="n"/>
      <c r="L159" s="9" t="n"/>
      <c r="M159" s="9" t="n"/>
      <c r="N159" s="9" t="n"/>
      <c r="O159" s="9" t="n"/>
      <c r="Q159" s="9" t="n"/>
      <c r="R159" t="n">
        <v>7210.98</v>
      </c>
      <c r="S159" s="9" t="n"/>
      <c r="T159" t="n">
        <v>11682.4</v>
      </c>
      <c r="U159" s="9" t="n"/>
      <c r="V159" s="9" t="n"/>
      <c r="W159" s="9" t="n"/>
      <c r="X159" s="9" t="n"/>
      <c r="Y159" s="9" t="n"/>
      <c r="Z159" s="9" t="n"/>
      <c r="AA159" s="9" t="n"/>
      <c r="AB159" s="9" t="n"/>
      <c r="AC159" s="9" t="n"/>
      <c r="AD159" s="9" t="n"/>
      <c r="AF159" s="9" t="n"/>
      <c r="AG159" s="13">
        <f>SUM(B159:AF159)</f>
        <v/>
      </c>
      <c r="AI159" s="9" t="n"/>
    </row>
    <row r="160" ht="15.75" customHeight="1">
      <c r="A160" s="8" t="inlineStr">
        <is>
          <t xml:space="preserve">Wolverhampton respite est </t>
        </is>
      </c>
      <c r="B160" s="32" t="n"/>
      <c r="C160" s="32" t="n"/>
      <c r="D160" s="9" t="n"/>
      <c r="E160" s="9" t="n"/>
      <c r="F160" s="9" t="n"/>
      <c r="G160" s="9" t="n"/>
      <c r="H160" s="9" t="n"/>
      <c r="I160" t="n">
        <v>11423.84</v>
      </c>
      <c r="J160" s="9" t="n"/>
      <c r="K160" s="9" t="n"/>
      <c r="L160" s="9" t="n"/>
      <c r="M160" t="n">
        <v>14598.72</v>
      </c>
      <c r="N160" s="9" t="n"/>
      <c r="O160" s="9" t="n"/>
      <c r="Q160" s="26" t="n"/>
      <c r="R160" t="n">
        <v>1782</v>
      </c>
      <c r="S160" s="9" t="n"/>
      <c r="T160" s="9" t="n"/>
      <c r="U160" s="9" t="n"/>
      <c r="V160" s="9" t="n"/>
      <c r="W160" s="9" t="n"/>
      <c r="X160" s="9" t="n"/>
      <c r="Y160" s="9" t="n"/>
      <c r="Z160" s="26" t="n">
        <v>6869.82</v>
      </c>
      <c r="AA160" s="9" t="n"/>
      <c r="AB160" s="9" t="n"/>
      <c r="AC160" s="9" t="n"/>
      <c r="AD160" s="9" t="n"/>
      <c r="AF160" s="9" t="n"/>
      <c r="AG160" s="13">
        <f>SUM(B160:AF160)</f>
        <v/>
      </c>
      <c r="AI160" s="9" t="n"/>
    </row>
    <row r="161" ht="15.75" customHeight="1">
      <c r="A161" s="8" t="inlineStr">
        <is>
          <t>Walsall Respite</t>
        </is>
      </c>
      <c r="B161" s="32" t="n"/>
      <c r="C161" s="32" t="n"/>
      <c r="D161" s="9" t="n"/>
      <c r="E161" s="9" t="n"/>
      <c r="F161" s="9" t="n"/>
      <c r="H161" s="9" t="n"/>
      <c r="I161" s="9" t="n"/>
      <c r="J161" s="9" t="n"/>
      <c r="K161" s="9" t="n"/>
      <c r="L161" s="9" t="n"/>
      <c r="M161" s="9" t="n"/>
      <c r="N161" s="9" t="n"/>
      <c r="O161" s="9" t="n"/>
      <c r="Q161" s="26" t="n">
        <v>15636.4</v>
      </c>
      <c r="R161" s="9" t="n"/>
      <c r="S161" s="9" t="n"/>
      <c r="T161" s="9" t="n"/>
      <c r="U161" s="9" t="n"/>
      <c r="V161" s="9" t="n"/>
      <c r="W161" s="9" t="n"/>
      <c r="X161" s="9" t="n"/>
      <c r="Y161" s="9" t="n"/>
      <c r="Z161" s="9" t="n"/>
      <c r="AA161" t="n">
        <v>2938.24</v>
      </c>
      <c r="AB161" s="9" t="n"/>
      <c r="AC161" s="9" t="n"/>
      <c r="AD161" s="9" t="n"/>
      <c r="AF161" s="9" t="n"/>
      <c r="AG161" s="13">
        <f>SUM(B161:AF161)</f>
        <v/>
      </c>
      <c r="AI161" s="9" t="n"/>
    </row>
    <row r="162" ht="18.75" customHeight="1">
      <c r="A162" s="8" t="inlineStr">
        <is>
          <t>Ideal for All Ltd</t>
        </is>
      </c>
      <c r="B162" s="32" t="n"/>
      <c r="C162" s="33" t="n"/>
      <c r="D162" s="12" t="n"/>
      <c r="E162" s="11" t="n"/>
      <c r="F162" t="n">
        <v>3216.15</v>
      </c>
      <c r="G162" s="12" t="n"/>
      <c r="H162" s="9" t="n"/>
      <c r="I162" t="n">
        <v>3580.46</v>
      </c>
      <c r="J162" s="12" t="n"/>
      <c r="K162" s="11" t="n"/>
      <c r="L162" t="n">
        <v>2516.8</v>
      </c>
      <c r="M162" s="12" t="n"/>
      <c r="N162" s="11" t="n"/>
      <c r="O162" s="12" t="n"/>
      <c r="Q162" s="31" t="n"/>
      <c r="R162" s="12" t="n"/>
      <c r="S162" s="11" t="n"/>
      <c r="T162" t="n">
        <v>2173.6</v>
      </c>
      <c r="U162" s="12" t="n"/>
      <c r="V162" s="12" t="n"/>
      <c r="X162" s="12" t="n"/>
      <c r="Y162" s="9" t="n"/>
      <c r="Z162" s="9" t="n"/>
      <c r="AA162" s="12" t="n"/>
      <c r="AB162" s="9" t="n"/>
      <c r="AC162" s="9" t="n"/>
      <c r="AD162" s="9" t="n"/>
      <c r="AF162" s="33" t="n"/>
      <c r="AG162" s="13">
        <f>SUM(B162:AF162)</f>
        <v/>
      </c>
      <c r="AI162" s="33" t="n">
        <v>2402.4</v>
      </c>
    </row>
    <row r="163" ht="15.75" customHeight="1">
      <c r="A163" s="8" t="inlineStr">
        <is>
          <t>KIRKLEES COUNCIL-204312-63046958</t>
        </is>
      </c>
      <c r="B163" s="32" t="n"/>
      <c r="C163" s="32" t="n"/>
      <c r="D163" s="9" t="n"/>
      <c r="E163" s="9" t="n"/>
      <c r="F163" s="9" t="n"/>
      <c r="G163" s="9" t="n"/>
      <c r="J163" s="9" t="n"/>
      <c r="K163" s="9" t="n"/>
      <c r="L163" s="9" t="n"/>
      <c r="M163" t="n">
        <v>5375.7</v>
      </c>
      <c r="N163" s="9" t="n"/>
      <c r="O163" s="12" t="n"/>
      <c r="Q163" s="26" t="n"/>
      <c r="R163" s="12" t="n"/>
      <c r="S163" s="12" t="n"/>
      <c r="T163" s="12" t="n"/>
      <c r="U163" s="12" t="n"/>
      <c r="V163" s="9" t="n"/>
      <c r="W163" s="12" t="n"/>
      <c r="X163" s="9" t="inlineStr"/>
      <c r="Y163" s="12" t="n"/>
      <c r="Z163" s="9" t="inlineStr"/>
      <c r="AA163" s="9" t="inlineStr"/>
      <c r="AB163" s="9" t="inlineStr"/>
      <c r="AC163" s="12" t="n"/>
      <c r="AD163" s="12" t="n"/>
      <c r="AE163" s="9" t="inlineStr"/>
      <c r="AF163" s="33" t="n"/>
      <c r="AG163" s="13">
        <f>SUM(B163:AF163)</f>
        <v/>
      </c>
    </row>
    <row r="164" ht="15.75" customHeight="1">
      <c r="A164" s="8" t="inlineStr">
        <is>
          <t>LBH PAYMENTS BACS-602210-72430192</t>
        </is>
      </c>
      <c r="B164" s="32" t="n"/>
      <c r="C164" s="33" t="n"/>
      <c r="D164" s="9" t="n"/>
      <c r="E164" s="9" t="n"/>
      <c r="F164" s="12" t="n"/>
      <c r="G164" s="9" t="n"/>
      <c r="H164" s="9" t="n"/>
      <c r="I164" s="12" t="n"/>
      <c r="J164" s="9" t="n"/>
      <c r="K164" s="9" t="n"/>
      <c r="L164" s="9" t="n"/>
      <c r="M164" s="9" t="n"/>
      <c r="N164" s="12" t="n"/>
      <c r="O164" s="12" t="n"/>
      <c r="Q164" s="26" t="n"/>
      <c r="R164" s="9" t="n"/>
      <c r="S164" s="9" t="n"/>
      <c r="T164" s="12" t="n"/>
      <c r="U164" s="9" t="n"/>
      <c r="V164" s="9" t="n"/>
      <c r="W164" s="9" t="inlineStr"/>
      <c r="X164" s="12" t="n"/>
      <c r="Y164" t="n">
        <v>5040</v>
      </c>
      <c r="Z164" s="9" t="n"/>
      <c r="AA164" s="9" t="n"/>
      <c r="AB164" s="9" t="n"/>
      <c r="AC164" s="9" t="n"/>
      <c r="AD164" s="12" t="n"/>
      <c r="AE164" s="9" t="n"/>
      <c r="AF164" s="9" t="n"/>
      <c r="AG164" s="13">
        <f>SUM(B164:AF164)</f>
        <v/>
      </c>
    </row>
    <row r="165" ht="15.75" customHeight="1">
      <c r="A165" s="8" t="inlineStr">
        <is>
          <t>NHS BIRMINGHAM &amp; S-607080-10017097</t>
        </is>
      </c>
      <c r="B165" s="32" t="n"/>
      <c r="C165" s="32" t="n"/>
      <c r="D165" s="9" t="n"/>
      <c r="E165" s="12" t="n"/>
      <c r="F165" s="9" t="n"/>
      <c r="G165" s="9" t="n"/>
      <c r="H165" s="9" t="n"/>
      <c r="I165" s="9" t="n"/>
      <c r="J165" s="9" t="n"/>
      <c r="K165" s="9" t="n"/>
      <c r="L165" t="n">
        <v>7121.63</v>
      </c>
      <c r="M165" s="12" t="n"/>
      <c r="N165" s="9" t="inlineStr"/>
      <c r="O165" s="9" t="inlineStr"/>
      <c r="Q165" s="26" t="inlineStr"/>
      <c r="R165" s="9" t="inlineStr"/>
      <c r="S165" s="9" t="inlineStr"/>
      <c r="T165" s="9" t="inlineStr"/>
      <c r="U165" s="12" t="n"/>
      <c r="V165" s="9" t="inlineStr"/>
      <c r="W165" s="9" t="inlineStr"/>
      <c r="X165" s="12" t="n"/>
      <c r="Y165" s="12" t="n"/>
      <c r="Z165" s="9" t="inlineStr"/>
      <c r="AA165" s="9" t="inlineStr"/>
      <c r="AB165" s="9" t="inlineStr"/>
      <c r="AC165" s="32" t="n"/>
      <c r="AD165" s="9" t="n"/>
      <c r="AE165" s="9" t="n"/>
      <c r="AF165" s="9" t="n"/>
      <c r="AG165" s="13">
        <f>SUM(B165:AF165)</f>
        <v/>
      </c>
    </row>
    <row r="166" ht="15.75" customHeight="1">
      <c r="A166" s="8" t="inlineStr">
        <is>
          <t>NHS BLACK COUNTRY-607080-10015272</t>
        </is>
      </c>
      <c r="B166" s="33" t="n"/>
      <c r="C166" s="32" t="n"/>
      <c r="D166" s="12" t="n"/>
      <c r="E166" s="9" t="n"/>
      <c r="F166" s="9" t="n"/>
      <c r="G166" s="9" t="n"/>
      <c r="H166" s="9" t="n"/>
      <c r="I166" s="9" t="n"/>
      <c r="J166" s="9" t="n"/>
      <c r="K166" s="9" t="n"/>
      <c r="L166" s="9" t="n"/>
      <c r="N166" s="9" t="inlineStr"/>
      <c r="O166" s="9" t="inlineStr"/>
      <c r="Q166" s="31" t="n">
        <v>13625.17</v>
      </c>
      <c r="R166" s="9" t="inlineStr"/>
      <c r="S166" s="9" t="inlineStr"/>
      <c r="T166" s="9" t="inlineStr"/>
      <c r="U166" s="9" t="inlineStr"/>
      <c r="V166" s="12" t="n"/>
      <c r="W166" s="9" t="inlineStr"/>
      <c r="X166" s="9" t="inlineStr"/>
      <c r="Y166" s="9" t="n"/>
      <c r="AA166" s="9" t="inlineStr"/>
      <c r="AB166" s="9" t="inlineStr"/>
      <c r="AC166" s="9" t="inlineStr"/>
      <c r="AE166" t="n">
        <v>8342.32</v>
      </c>
      <c r="AF166" s="12" t="n"/>
      <c r="AG166" s="13">
        <f>SUM(B166:AF166)</f>
        <v/>
      </c>
    </row>
    <row r="167" ht="15.75" customHeight="1">
      <c r="A167" s="14" t="inlineStr">
        <is>
          <t>SANDWELL MBC  BEN-601539-69624151</t>
        </is>
      </c>
      <c r="B167" s="32" t="n"/>
      <c r="C167" s="32" t="n"/>
      <c r="D167" s="9" t="n"/>
      <c r="E167" s="9" t="n"/>
      <c r="F167" s="9" t="n"/>
      <c r="G167" s="9" t="n"/>
      <c r="H167" s="9" t="n"/>
      <c r="I167" t="n">
        <v>2950.96</v>
      </c>
      <c r="J167" s="9" t="n"/>
      <c r="K167" s="9" t="n"/>
      <c r="L167" s="12" t="n"/>
      <c r="M167" s="9" t="n"/>
      <c r="N167" s="9" t="n"/>
      <c r="O167" s="9" t="n"/>
      <c r="Q167" s="26" t="n"/>
      <c r="R167" s="9" t="n"/>
      <c r="S167" s="9" t="n"/>
      <c r="T167" s="9" t="n"/>
      <c r="U167" s="9" t="n"/>
      <c r="V167" s="9" t="n"/>
      <c r="W167" s="9" t="n"/>
      <c r="X167" s="9" t="n"/>
      <c r="Y167" s="12" t="n"/>
      <c r="Z167" s="9" t="n"/>
      <c r="AA167" s="9" t="n"/>
      <c r="AB167" s="9" t="n"/>
      <c r="AC167" s="9" t="n"/>
      <c r="AD167" s="9" t="n"/>
      <c r="AE167" s="9" t="n"/>
      <c r="AF167" s="9" t="n"/>
      <c r="AG167" s="13">
        <f>SUM(B167:AF167)</f>
        <v/>
      </c>
    </row>
    <row r="168" ht="15.75" customHeight="1">
      <c r="A168" s="14" t="inlineStr">
        <is>
          <t>SANDWELL MBC-601539-69624135</t>
        </is>
      </c>
      <c r="B168" s="32" t="n"/>
      <c r="C168" s="32" t="n"/>
      <c r="D168" s="9" t="n"/>
      <c r="F168" s="9" t="n"/>
      <c r="G168" s="9" t="n"/>
      <c r="H168" s="9" t="n"/>
      <c r="I168" t="n">
        <v>108090.88</v>
      </c>
      <c r="J168" s="9" t="n"/>
      <c r="K168" s="9" t="n"/>
      <c r="L168" s="9" t="n"/>
      <c r="M168" s="9" t="n"/>
      <c r="N168" s="9" t="n"/>
      <c r="O168" s="9" t="n"/>
      <c r="P168" s="9" t="n"/>
      <c r="Q168" s="26" t="n"/>
      <c r="R168" s="9" t="n"/>
      <c r="S168" s="9" t="n"/>
      <c r="T168" s="9" t="n"/>
      <c r="U168" s="9" t="n"/>
      <c r="V168" s="9" t="n"/>
      <c r="W168" t="n">
        <v>108090.88</v>
      </c>
      <c r="X168" s="9" t="n"/>
      <c r="Y168" s="9" t="n"/>
      <c r="Z168" s="9" t="n"/>
      <c r="AA168" s="9" t="n"/>
      <c r="AB168" s="9" t="n"/>
      <c r="AC168" s="9" t="n"/>
      <c r="AD168" s="9" t="n"/>
      <c r="AE168" s="9" t="n"/>
      <c r="AF168" s="9" t="n"/>
      <c r="AG168" s="13">
        <f>SUM(B168:AF168)</f>
        <v/>
      </c>
    </row>
    <row r="169" ht="15.75" customHeight="1">
      <c r="A169" s="15" t="inlineStr">
        <is>
          <t>SOLIHULL MBC EXP.-200771-00561525</t>
        </is>
      </c>
      <c r="B169" s="32" t="n"/>
      <c r="D169" s="9" t="n"/>
      <c r="E169" s="9" t="n"/>
      <c r="F169" s="9" t="n"/>
      <c r="G169" s="9" t="n"/>
      <c r="H169" s="9" t="n"/>
      <c r="I169" t="n">
        <v>30000.6</v>
      </c>
      <c r="J169" s="9" t="n"/>
      <c r="K169" s="9" t="n"/>
      <c r="L169" s="9" t="n"/>
      <c r="M169" s="9" t="n"/>
      <c r="N169" s="9" t="n"/>
      <c r="O169" s="9" t="n"/>
      <c r="P169" s="9" t="n"/>
      <c r="Q169" s="26" t="n"/>
      <c r="R169" s="12" t="n"/>
      <c r="S169" s="9" t="n"/>
      <c r="T169" s="9" t="n"/>
      <c r="U169" s="9" t="n"/>
      <c r="V169" s="9" t="n"/>
      <c r="W169" s="12" t="n"/>
      <c r="X169" s="9" t="n"/>
      <c r="Y169" s="9" t="n"/>
      <c r="Z169" s="9" t="n"/>
      <c r="AA169" s="9" t="n"/>
      <c r="AB169" s="9" t="n"/>
      <c r="AC169" s="9" t="n"/>
      <c r="AD169" s="9" t="n"/>
      <c r="AE169" s="12" t="n"/>
      <c r="AF169" t="n">
        <v>30000.6</v>
      </c>
      <c r="AG169" s="13">
        <f>SUM(B169:AF169)</f>
        <v/>
      </c>
    </row>
    <row r="170" ht="15.75" customHeight="1">
      <c r="A170" s="15" t="inlineStr">
        <is>
          <t>WALSALL MBC BARC-209073-10731692</t>
        </is>
      </c>
      <c r="B170" s="32" t="n"/>
      <c r="C170" s="32" t="n"/>
      <c r="D170" s="9" t="n"/>
      <c r="E170" s="9" t="n"/>
      <c r="F170" s="9" t="n"/>
      <c r="H170" s="9" t="n"/>
      <c r="I170" s="9" t="n"/>
      <c r="J170" s="9" t="n"/>
      <c r="K170" s="9" t="n"/>
      <c r="L170" s="9" t="n"/>
      <c r="M170" s="9" t="n"/>
      <c r="N170" s="9" t="n"/>
      <c r="O170" s="9" t="n"/>
      <c r="P170" s="9" t="n"/>
      <c r="Q170" s="26" t="n">
        <v>161758.12</v>
      </c>
      <c r="R170" s="9" t="n"/>
      <c r="S170" s="9" t="n"/>
      <c r="T170" s="9" t="n"/>
      <c r="U170" s="9" t="n"/>
      <c r="V170" s="9" t="n"/>
      <c r="W170" s="9" t="n"/>
      <c r="X170" s="9" t="n"/>
      <c r="Y170" s="9" t="n"/>
      <c r="Z170" s="9" t="n"/>
      <c r="AA170" s="9" t="n"/>
      <c r="AB170" s="9" t="n"/>
      <c r="AC170" s="9" t="n"/>
      <c r="AD170" s="9" t="n"/>
      <c r="AE170" s="12" t="n"/>
      <c r="AF170" s="9" t="n"/>
      <c r="AG170" s="13">
        <f>SUM(B170:AF170)</f>
        <v/>
      </c>
    </row>
    <row r="171" ht="15.75" customHeight="1">
      <c r="A171" s="15" t="inlineStr">
        <is>
          <t>WOLVERHAMPTON CC-560069-44470320</t>
        </is>
      </c>
      <c r="B171" s="32" t="n"/>
      <c r="C171" s="32" t="n"/>
      <c r="D171" s="9" t="n"/>
      <c r="E171" s="9" t="n"/>
      <c r="F171" s="26" t="n">
        <v>218742.94</v>
      </c>
      <c r="G171" s="9" t="n"/>
      <c r="H171" s="9" t="n"/>
      <c r="I171" s="9" t="n"/>
      <c r="J171" s="9" t="n"/>
      <c r="K171" s="9" t="n"/>
      <c r="L171" t="n">
        <v>110067.76</v>
      </c>
      <c r="M171" s="9" t="n"/>
      <c r="N171" s="9" t="n"/>
      <c r="O171" s="9" t="n"/>
      <c r="P171" s="9" t="n"/>
      <c r="Q171" s="26" t="n"/>
      <c r="R171" s="9" t="n"/>
      <c r="T171" t="n">
        <v>110624.82</v>
      </c>
      <c r="U171" s="9" t="n"/>
      <c r="V171" s="9" t="n"/>
      <c r="W171" s="9" t="n"/>
      <c r="X171" s="9" t="n"/>
      <c r="Y171" s="9" t="n"/>
      <c r="Z171" s="26" t="n">
        <v>104511</v>
      </c>
      <c r="AA171" s="9" t="n"/>
      <c r="AB171" s="9" t="n"/>
      <c r="AC171" s="9" t="n"/>
      <c r="AD171" s="9" t="n"/>
      <c r="AE171" s="9" t="n"/>
      <c r="AF171" s="9" t="n"/>
      <c r="AG171" s="13">
        <f>SUM(B171:AF171)</f>
        <v/>
      </c>
    </row>
    <row r="172" ht="15.75" customHeight="1">
      <c r="A172" s="15" t="inlineStr">
        <is>
          <t>TLC</t>
        </is>
      </c>
      <c r="B172" s="9" t="n"/>
      <c r="C172" s="9" t="n"/>
      <c r="D172" s="12" t="n"/>
      <c r="F172" s="9" t="n"/>
      <c r="G172" s="9" t="n"/>
      <c r="H172" s="9" t="n"/>
      <c r="I172" t="n">
        <v>8311.25</v>
      </c>
      <c r="J172" s="9" t="n"/>
      <c r="M172" t="n">
        <v>1220.8</v>
      </c>
      <c r="N172" s="9" t="n"/>
      <c r="O172" s="12" t="n"/>
      <c r="P172" s="12" t="n"/>
      <c r="Q172" s="9" t="n"/>
      <c r="R172" s="12" t="n"/>
      <c r="T172" s="9" t="n"/>
      <c r="U172" s="9" t="n"/>
      <c r="V172" s="9" t="n"/>
      <c r="W172" s="9" t="n"/>
      <c r="Y172" t="n">
        <v>3230.15</v>
      </c>
      <c r="Z172" s="9" t="n"/>
      <c r="AB172" s="9" t="n"/>
      <c r="AC172" s="12" t="n"/>
      <c r="AE172" s="9" t="n"/>
      <c r="AF172" t="n">
        <v>8104.15</v>
      </c>
      <c r="AG172" s="13">
        <f>SUM(B172:AF172)</f>
        <v/>
      </c>
    </row>
    <row r="173" ht="15.75" customHeight="1">
      <c r="A173" s="15" t="inlineStr">
        <is>
          <t>HB SC</t>
        </is>
      </c>
      <c r="B173" s="16" t="n">
        <v>150</v>
      </c>
      <c r="C173" s="16" t="n">
        <v>7983.62</v>
      </c>
      <c r="D173" s="16" t="n">
        <v>3756.239999999999</v>
      </c>
      <c r="E173" s="16" t="n">
        <v>4159.589999999997</v>
      </c>
      <c r="F173" s="31" t="n">
        <v>5962.819999999942</v>
      </c>
      <c r="G173" s="16" t="n">
        <v>200</v>
      </c>
      <c r="H173" s="16" t="n">
        <v>0</v>
      </c>
      <c r="I173" s="16" t="n">
        <v>6387.289999999993</v>
      </c>
      <c r="J173" s="16" t="n">
        <v>3518.760000000001</v>
      </c>
      <c r="K173" s="16" t="n">
        <v>3078.61</v>
      </c>
      <c r="L173" s="16">
        <f>2459.33+4560</f>
        <v/>
      </c>
      <c r="M173" s="16" t="n">
        <v>8878.509999999995</v>
      </c>
      <c r="N173" s="16" t="n">
        <v>600</v>
      </c>
      <c r="O173" s="16" t="n">
        <v>387.69</v>
      </c>
      <c r="P173" s="16" t="n">
        <v>4455.7</v>
      </c>
      <c r="Q173" s="16" t="n">
        <v>5185.930000000006</v>
      </c>
      <c r="R173" s="16" t="n">
        <v>1278.83</v>
      </c>
      <c r="S173" s="16" t="n">
        <v>2084.31</v>
      </c>
      <c r="T173" s="16" t="n">
        <v>3134.91</v>
      </c>
      <c r="U173" s="16" t="n">
        <v>400</v>
      </c>
      <c r="V173" s="16" t="n">
        <v>0</v>
      </c>
      <c r="W173" s="16" t="n">
        <v>4747.889999999999</v>
      </c>
      <c r="X173" s="16" t="n">
        <v>4616.77</v>
      </c>
      <c r="Y173" s="16" t="n">
        <v>1364.26</v>
      </c>
      <c r="Z173" s="16" t="n">
        <v>9345.409999999989</v>
      </c>
      <c r="AA173" s="16" t="n">
        <v>3810.39</v>
      </c>
      <c r="AB173" s="16" t="n">
        <v>0</v>
      </c>
      <c r="AC173" s="16" t="n">
        <v>200</v>
      </c>
      <c r="AD173" s="16" t="n">
        <v>7712.35</v>
      </c>
      <c r="AE173" s="16" t="n">
        <v>4086.910000000033</v>
      </c>
      <c r="AF173" s="16" t="n">
        <v>5911.890000000001</v>
      </c>
      <c r="AG173" s="13">
        <f>SUM(B173:AF173)</f>
        <v/>
      </c>
    </row>
    <row r="174" ht="16.5" customHeight="1" thickBot="1">
      <c r="A174" s="53" t="inlineStr">
        <is>
          <t>Total</t>
        </is>
      </c>
      <c r="B174" s="29">
        <f>SUM(B156:B173)</f>
        <v/>
      </c>
      <c r="C174" s="29">
        <f>SUM(C156:C173)</f>
        <v/>
      </c>
      <c r="D174" s="29">
        <f>SUM(D156:D173)</f>
        <v/>
      </c>
      <c r="E174" s="29">
        <f>SUM(E156:E173)</f>
        <v/>
      </c>
      <c r="F174" s="29">
        <f>SUM(F156:F173)</f>
        <v/>
      </c>
      <c r="G174" s="29">
        <f>SUM(G156:G173)</f>
        <v/>
      </c>
      <c r="H174" s="29">
        <f>SUM(H156:H173)</f>
        <v/>
      </c>
      <c r="I174" s="29">
        <f>SUM(I156:I173)</f>
        <v/>
      </c>
      <c r="J174" s="29">
        <f>SUM(J156:J173)</f>
        <v/>
      </c>
      <c r="K174" s="29">
        <f>SUM(K156:K173)</f>
        <v/>
      </c>
      <c r="L174" s="29">
        <f>SUM(L156:L173)</f>
        <v/>
      </c>
      <c r="M174" s="29">
        <f>SUM(M156:M173)</f>
        <v/>
      </c>
      <c r="N174" s="58">
        <f>SUM(N156:N173)</f>
        <v/>
      </c>
      <c r="O174" s="58">
        <f>SUM(O156:O173)</f>
        <v/>
      </c>
      <c r="P174" s="58">
        <f>SUM(P156:P173)</f>
        <v/>
      </c>
      <c r="Q174" s="58">
        <f>SUM(Q156:Q173)</f>
        <v/>
      </c>
      <c r="R174" s="58">
        <f>SUM(R156:R173)</f>
        <v/>
      </c>
      <c r="S174" s="58">
        <f>SUM(S156:S173)</f>
        <v/>
      </c>
      <c r="T174" s="29">
        <f>SUM(T156:T173)</f>
        <v/>
      </c>
      <c r="U174" s="58">
        <f>SUM(U156:U173)</f>
        <v/>
      </c>
      <c r="V174" s="58">
        <f>SUM(V156:V173)</f>
        <v/>
      </c>
      <c r="W174" s="58">
        <f>SUM(W156:W173)</f>
        <v/>
      </c>
      <c r="X174" s="58">
        <f>SUM(X156:X173)</f>
        <v/>
      </c>
      <c r="Y174" s="58">
        <f>SUM(Y156:Y173)</f>
        <v/>
      </c>
      <c r="Z174" s="58">
        <f>SUM(Z156:Z173)</f>
        <v/>
      </c>
      <c r="AA174" s="58">
        <f>SUM(AA156:AA173)</f>
        <v/>
      </c>
      <c r="AB174" s="58">
        <f>SUM(AB156:AB173)</f>
        <v/>
      </c>
      <c r="AC174" s="58">
        <f>SUM(AC156:AC173)</f>
        <v/>
      </c>
      <c r="AD174" s="58">
        <f>SUM(AD156:AD173)</f>
        <v/>
      </c>
      <c r="AE174" s="29">
        <f>SUM(AE156:AE173)</f>
        <v/>
      </c>
      <c r="AF174" s="29">
        <f>SUM(AF156:AF173)</f>
        <v/>
      </c>
      <c r="AG174" s="22">
        <f>SUM(AG156:AG173)</f>
        <v/>
      </c>
      <c r="AH174" s="25" t="n"/>
    </row>
    <row r="175" ht="15.75" customHeight="1" thickTop="1">
      <c r="A175" s="15" t="inlineStr">
        <is>
          <t>Ruunning Total</t>
        </is>
      </c>
      <c r="B175">
        <f>B174</f>
        <v/>
      </c>
      <c r="C175">
        <f>B175+C174</f>
        <v/>
      </c>
      <c r="D175">
        <f>C175+D174</f>
        <v/>
      </c>
      <c r="E175">
        <f>D175+E174</f>
        <v/>
      </c>
      <c r="F175">
        <f>E175+F174</f>
        <v/>
      </c>
      <c r="G175">
        <f>F175+G174</f>
        <v/>
      </c>
      <c r="H175">
        <f>G175+H174</f>
        <v/>
      </c>
      <c r="I175">
        <f>H175+I174</f>
        <v/>
      </c>
      <c r="J175">
        <f>I175+J174</f>
        <v/>
      </c>
      <c r="K175">
        <f>J175+K174</f>
        <v/>
      </c>
      <c r="L175">
        <f>K175+L174</f>
        <v/>
      </c>
      <c r="M175">
        <f>L175+M174</f>
        <v/>
      </c>
      <c r="N175">
        <f>M175+N174</f>
        <v/>
      </c>
      <c r="O175">
        <f>N175+O174</f>
        <v/>
      </c>
      <c r="P175">
        <f>O175+P174</f>
        <v/>
      </c>
      <c r="Q175">
        <f>P175+Q174</f>
        <v/>
      </c>
      <c r="R175">
        <f>Q175+R174</f>
        <v/>
      </c>
      <c r="S175">
        <f>R175+S174</f>
        <v/>
      </c>
      <c r="T175">
        <f>S175+T174</f>
        <v/>
      </c>
      <c r="U175">
        <f>T175+U174</f>
        <v/>
      </c>
      <c r="V175">
        <f>U175+V174</f>
        <v/>
      </c>
      <c r="W175">
        <f>V175+W174</f>
        <v/>
      </c>
      <c r="X175">
        <f>W175+X174</f>
        <v/>
      </c>
      <c r="Y175">
        <f>X175+Y174</f>
        <v/>
      </c>
      <c r="Z175">
        <f>Y175+Z174</f>
        <v/>
      </c>
      <c r="AA175">
        <f>Z175+AA174</f>
        <v/>
      </c>
      <c r="AB175">
        <f>AA175+AB174</f>
        <v/>
      </c>
      <c r="AC175">
        <f>AB175+AC174</f>
        <v/>
      </c>
      <c r="AD175">
        <f>AC175+AD174</f>
        <v/>
      </c>
      <c r="AE175">
        <f>AD175+AE174</f>
        <v/>
      </c>
      <c r="AF175">
        <f>AE175+AF174</f>
        <v/>
      </c>
    </row>
    <row r="180">
      <c r="A180" s="1" t="n"/>
      <c r="B180" s="2" t="inlineStr">
        <is>
          <t>Feb</t>
        </is>
      </c>
      <c r="C180" s="2" t="n"/>
      <c r="D180" s="2" t="n"/>
      <c r="E180" s="2" t="n"/>
      <c r="F180" s="2" t="n"/>
      <c r="G180" s="2" t="n"/>
      <c r="H180" s="2" t="n"/>
      <c r="I180" s="2" t="n"/>
      <c r="J180" s="2" t="n"/>
      <c r="K180" s="2" t="n"/>
      <c r="L180" s="2" t="n"/>
      <c r="M180" s="2" t="n"/>
      <c r="N180" s="2" t="n"/>
      <c r="O180" s="2" t="n"/>
      <c r="P180" s="2" t="n"/>
      <c r="Q180" s="2" t="n"/>
      <c r="R180" s="2" t="n"/>
      <c r="S180" s="2" t="n"/>
      <c r="T180" s="2" t="n"/>
      <c r="U180" s="2" t="n"/>
      <c r="V180" s="2" t="n"/>
      <c r="W180" s="2" t="n"/>
      <c r="X180" s="2" t="n"/>
      <c r="Y180" s="2" t="n"/>
      <c r="Z180" s="2" t="n"/>
      <c r="AA180" s="2" t="n"/>
      <c r="AB180" s="2" t="n"/>
      <c r="AC180" s="2" t="n"/>
      <c r="AD180" s="2" t="n"/>
      <c r="AE180" s="1" t="n"/>
      <c r="AF180" s="1" t="n"/>
      <c r="AG180" s="1" t="n"/>
    </row>
    <row r="181">
      <c r="A181" s="1" t="n"/>
      <c r="B181" s="2" t="inlineStr">
        <is>
          <t>Thursday</t>
        </is>
      </c>
      <c r="C181" s="2" t="inlineStr">
        <is>
          <t>Friday</t>
        </is>
      </c>
      <c r="D181" s="2" t="inlineStr">
        <is>
          <t>Saturday</t>
        </is>
      </c>
      <c r="E181" s="2" t="inlineStr">
        <is>
          <t>Sunday</t>
        </is>
      </c>
      <c r="F181" s="2" t="inlineStr">
        <is>
          <t>Monday</t>
        </is>
      </c>
      <c r="G181" s="2" t="inlineStr">
        <is>
          <t>Tuesday</t>
        </is>
      </c>
      <c r="H181" s="2" t="inlineStr">
        <is>
          <t>Wednesday</t>
        </is>
      </c>
      <c r="I181" s="2" t="inlineStr">
        <is>
          <t>Thursday</t>
        </is>
      </c>
      <c r="J181" s="2" t="inlineStr">
        <is>
          <t>Friday</t>
        </is>
      </c>
      <c r="K181" s="2" t="inlineStr">
        <is>
          <t>Saturday</t>
        </is>
      </c>
      <c r="L181" s="2" t="inlineStr">
        <is>
          <t>Sunday</t>
        </is>
      </c>
      <c r="M181" s="2" t="inlineStr">
        <is>
          <t>Monday</t>
        </is>
      </c>
      <c r="N181" s="2" t="inlineStr">
        <is>
          <t>Tuesday</t>
        </is>
      </c>
      <c r="O181" s="2" t="inlineStr">
        <is>
          <t>Wednesday</t>
        </is>
      </c>
      <c r="P181" s="2" t="inlineStr">
        <is>
          <t>Thursday</t>
        </is>
      </c>
      <c r="Q181" s="2" t="inlineStr">
        <is>
          <t>Friday</t>
        </is>
      </c>
      <c r="R181" s="2" t="inlineStr">
        <is>
          <t>Saturday</t>
        </is>
      </c>
      <c r="S181" s="2" t="inlineStr">
        <is>
          <t>Sunday</t>
        </is>
      </c>
      <c r="T181" s="2" t="inlineStr">
        <is>
          <t>Monday</t>
        </is>
      </c>
      <c r="U181" s="2" t="inlineStr">
        <is>
          <t>Tuesday</t>
        </is>
      </c>
      <c r="V181" s="2" t="inlineStr">
        <is>
          <t>Wednesday</t>
        </is>
      </c>
      <c r="W181" s="2" t="inlineStr">
        <is>
          <t>Thursday</t>
        </is>
      </c>
      <c r="X181" s="2" t="inlineStr">
        <is>
          <t>Friday</t>
        </is>
      </c>
      <c r="Y181" s="2" t="inlineStr">
        <is>
          <t>Saturday</t>
        </is>
      </c>
      <c r="Z181" s="2" t="inlineStr">
        <is>
          <t>Sunday</t>
        </is>
      </c>
      <c r="AA181" s="2" t="inlineStr">
        <is>
          <t>Monday</t>
        </is>
      </c>
      <c r="AB181" s="2" t="inlineStr">
        <is>
          <t>Tuesday</t>
        </is>
      </c>
      <c r="AC181" s="2" t="inlineStr">
        <is>
          <t>Wednesday</t>
        </is>
      </c>
      <c r="AD181" s="2" t="inlineStr">
        <is>
          <t>Thursday</t>
        </is>
      </c>
      <c r="AE181" s="2" t="n"/>
      <c r="AF181" s="2" t="n"/>
      <c r="AG181" s="2" t="inlineStr">
        <is>
          <t>Total</t>
        </is>
      </c>
    </row>
    <row r="182">
      <c r="A182" s="1" t="n"/>
      <c r="B182" s="7" t="inlineStr">
        <is>
          <t>1st</t>
        </is>
      </c>
      <c r="C182" s="7" t="inlineStr">
        <is>
          <t>2nd</t>
        </is>
      </c>
      <c r="D182" s="7" t="inlineStr">
        <is>
          <t>3rd</t>
        </is>
      </c>
      <c r="E182" s="7" t="inlineStr">
        <is>
          <t>4th</t>
        </is>
      </c>
      <c r="F182" s="4" t="inlineStr">
        <is>
          <t>5th</t>
        </is>
      </c>
      <c r="G182" s="4" t="inlineStr">
        <is>
          <t>6th</t>
        </is>
      </c>
      <c r="H182" s="4" t="inlineStr">
        <is>
          <t>7th</t>
        </is>
      </c>
      <c r="I182" s="4" t="inlineStr">
        <is>
          <t>8th</t>
        </is>
      </c>
      <c r="J182" s="4" t="inlineStr">
        <is>
          <t>9th</t>
        </is>
      </c>
      <c r="K182" s="4" t="inlineStr">
        <is>
          <t>10th</t>
        </is>
      </c>
      <c r="L182" s="4" t="inlineStr">
        <is>
          <t>11th</t>
        </is>
      </c>
      <c r="M182" s="5" t="inlineStr">
        <is>
          <t>12th</t>
        </is>
      </c>
      <c r="N182" s="5" t="inlineStr">
        <is>
          <t>13th</t>
        </is>
      </c>
      <c r="O182" s="5" t="inlineStr">
        <is>
          <t>14th</t>
        </is>
      </c>
      <c r="P182" s="5" t="inlineStr">
        <is>
          <t>15th</t>
        </is>
      </c>
      <c r="Q182" s="5" t="inlineStr">
        <is>
          <t>16th</t>
        </is>
      </c>
      <c r="R182" s="5" t="inlineStr">
        <is>
          <t>17th</t>
        </is>
      </c>
      <c r="S182" s="5" t="inlineStr">
        <is>
          <t>18th</t>
        </is>
      </c>
      <c r="T182" s="6" t="inlineStr">
        <is>
          <t>19th</t>
        </is>
      </c>
      <c r="U182" s="6" t="inlineStr">
        <is>
          <t>20th</t>
        </is>
      </c>
      <c r="V182" s="6" t="inlineStr">
        <is>
          <t>21st</t>
        </is>
      </c>
      <c r="W182" s="6" t="inlineStr">
        <is>
          <t>22nd</t>
        </is>
      </c>
      <c r="X182" s="6" t="inlineStr">
        <is>
          <t>23rd</t>
        </is>
      </c>
      <c r="Y182" s="6" t="inlineStr">
        <is>
          <t>24th</t>
        </is>
      </c>
      <c r="Z182" s="6" t="inlineStr">
        <is>
          <t>25th</t>
        </is>
      </c>
      <c r="AA182" s="7" t="inlineStr">
        <is>
          <t>26th</t>
        </is>
      </c>
      <c r="AB182" s="7" t="inlineStr">
        <is>
          <t>27th</t>
        </is>
      </c>
      <c r="AC182" s="7" t="inlineStr">
        <is>
          <t>28th</t>
        </is>
      </c>
      <c r="AD182" s="7" t="inlineStr">
        <is>
          <t>29th</t>
        </is>
      </c>
      <c r="AE182" s="7" t="n"/>
      <c r="AF182" s="7" t="n"/>
      <c r="AG182" s="1" t="n"/>
    </row>
    <row r="183" ht="15.75" customHeight="1">
      <c r="A183" s="8" t="inlineStr">
        <is>
          <t>B-HAM CITY COUNCIL-200790-70489166</t>
        </is>
      </c>
      <c r="B183" s="9" t="n"/>
      <c r="D183" s="12" t="n"/>
      <c r="E183" s="9" t="n"/>
      <c r="H183" s="12" t="n"/>
      <c r="I183" s="31" t="n">
        <v>65406.76</v>
      </c>
      <c r="J183" s="31" t="n">
        <v>5041.28</v>
      </c>
      <c r="K183" s="9" t="n"/>
      <c r="L183" s="9" t="n"/>
      <c r="M183" s="12" t="n"/>
      <c r="N183" s="12" t="n"/>
      <c r="P183" t="n">
        <v>5041.28</v>
      </c>
      <c r="W183" s="12" t="n"/>
      <c r="Z183" s="9" t="n"/>
      <c r="AA183" t="n">
        <v>46217</v>
      </c>
      <c r="AB183" s="9" t="n"/>
      <c r="AC183" s="31" t="n">
        <v>60977.04</v>
      </c>
      <c r="AD183" s="16" t="n"/>
      <c r="AE183" s="9" t="n"/>
      <c r="AF183" s="9" t="n"/>
      <c r="AG183" s="13">
        <f>SUM(B183:AE183)</f>
        <v/>
      </c>
    </row>
    <row r="184" ht="15.75" customHeight="1">
      <c r="A184" s="8" t="inlineStr">
        <is>
          <t>Buckingham</t>
        </is>
      </c>
      <c r="B184" s="9" t="n"/>
      <c r="C184" s="9" t="n"/>
      <c r="D184" s="9" t="n"/>
      <c r="E184" s="9" t="n"/>
      <c r="F184" s="9" t="n"/>
      <c r="G184" s="12" t="n"/>
      <c r="H184" s="9" t="n"/>
      <c r="I184" s="26" t="n"/>
      <c r="J184" s="9" t="n"/>
      <c r="K184" s="9" t="n"/>
      <c r="L184" s="9" t="n"/>
      <c r="M184" s="9" t="n"/>
      <c r="N184" s="9" t="n"/>
      <c r="O184" s="12" t="n"/>
      <c r="P184" s="9" t="n"/>
      <c r="Q184" t="n">
        <v>4937.64</v>
      </c>
      <c r="R184" s="9" t="n"/>
      <c r="S184" s="9" t="n"/>
      <c r="T184" s="12" t="inlineStr">
        <is>
          <t>  </t>
        </is>
      </c>
      <c r="U184" s="9" t="n"/>
      <c r="V184" s="9" t="n"/>
      <c r="W184" s="9" t="n"/>
      <c r="X184" s="12" t="n"/>
      <c r="Y184" s="9" t="n"/>
      <c r="Z184" s="9" t="n"/>
      <c r="AA184" s="9" t="n"/>
      <c r="AB184" s="9" t="n"/>
      <c r="AC184" s="26" t="n"/>
      <c r="AD184" s="26" t="n"/>
      <c r="AE184" s="9" t="n"/>
      <c r="AF184" s="9" t="n"/>
      <c r="AG184" s="13">
        <f>SUM(B184:AE184)</f>
        <v/>
      </c>
    </row>
    <row r="185" ht="15.75" customHeight="1">
      <c r="A185" s="8" t="inlineStr">
        <is>
          <t>Sandwell Respite/ Daycare</t>
        </is>
      </c>
      <c r="B185" s="9" t="n"/>
      <c r="C185" s="9" t="n"/>
      <c r="D185" s="9" t="n"/>
      <c r="E185" s="9" t="n"/>
      <c r="F185" s="9" t="n"/>
      <c r="G185" t="n">
        <v>7688.59</v>
      </c>
      <c r="H185" s="9" t="n"/>
      <c r="I185" s="31" t="n"/>
      <c r="J185" s="9" t="n"/>
      <c r="K185" s="9" t="n"/>
      <c r="L185" s="9" t="n"/>
      <c r="M185" s="9" t="n"/>
      <c r="N185" s="9" t="n"/>
      <c r="O185" s="9" t="n"/>
      <c r="P185" s="9" t="n"/>
      <c r="Q185" s="9" t="n"/>
      <c r="R185" s="9" t="n"/>
      <c r="S185" s="9" t="n"/>
      <c r="T185" s="9" t="n"/>
      <c r="U185" s="9" t="n"/>
      <c r="V185" s="9" t="n"/>
      <c r="W185" s="9" t="n"/>
      <c r="X185" s="9" t="n"/>
      <c r="Y185" s="9" t="n"/>
      <c r="Z185" s="9" t="n"/>
      <c r="AA185" s="9" t="n"/>
      <c r="AB185" s="9" t="n"/>
      <c r="AC185" s="26" t="n"/>
      <c r="AD185" s="31" t="n"/>
      <c r="AE185" s="9" t="n"/>
      <c r="AG185" s="13">
        <f>SUM(B185:AE185)</f>
        <v/>
      </c>
    </row>
    <row r="186" ht="15.75" customHeight="1">
      <c r="A186" s="8" t="inlineStr">
        <is>
          <t xml:space="preserve">Wolverhampton Respite Daycare </t>
        </is>
      </c>
      <c r="B186" s="9" t="n"/>
      <c r="C186" s="9" t="n"/>
      <c r="D186" s="9" t="n"/>
      <c r="E186" s="9" t="n"/>
      <c r="F186" t="n">
        <v>11411.12</v>
      </c>
      <c r="G186" s="9" t="n"/>
      <c r="H186" s="9" t="n"/>
      <c r="I186" s="16" t="n">
        <v>6869.82</v>
      </c>
      <c r="J186" s="9" t="n"/>
      <c r="K186" s="9" t="n"/>
      <c r="L186" s="9" t="n"/>
      <c r="M186" s="9" t="n"/>
      <c r="N186" s="9" t="n"/>
      <c r="O186" s="9" t="n"/>
      <c r="P186" s="16" t="n">
        <v>6869.82</v>
      </c>
      <c r="Q186" s="9" t="n"/>
      <c r="R186" s="9" t="n"/>
      <c r="S186" s="9" t="n"/>
      <c r="T186" s="9" t="n"/>
      <c r="U186" s="9" t="n"/>
      <c r="V186" s="9" t="n"/>
      <c r="W186" s="9" t="n"/>
      <c r="X186" s="9" t="n"/>
      <c r="Y186" s="9" t="n"/>
      <c r="Z186" s="9" t="n"/>
      <c r="AA186" s="9" t="n"/>
      <c r="AB186" s="9" t="n"/>
      <c r="AC186" s="26" t="n"/>
      <c r="AD186" s="31" t="n">
        <v>6869.82</v>
      </c>
      <c r="AE186" s="10" t="n"/>
      <c r="AG186" s="13">
        <f>SUM(B186:AE186)</f>
        <v/>
      </c>
    </row>
    <row r="187" ht="15.75" customHeight="1">
      <c r="A187" s="8" t="inlineStr">
        <is>
          <t>Walsall Respite/ Daycare</t>
        </is>
      </c>
      <c r="B187" s="9" t="n"/>
      <c r="C187" s="9" t="n"/>
      <c r="D187" s="9" t="n"/>
      <c r="E187" s="9" t="n"/>
      <c r="F187" s="9" t="n"/>
      <c r="G187" s="12" t="n"/>
      <c r="H187" s="9" t="n"/>
      <c r="I187" s="26" t="n"/>
      <c r="J187" s="9" t="n"/>
      <c r="K187" s="9" t="n"/>
      <c r="L187" s="9" t="n"/>
      <c r="M187" s="9" t="n"/>
      <c r="N187" s="26" t="n">
        <v>12856</v>
      </c>
      <c r="O187" s="9" t="n"/>
      <c r="P187" s="12" t="n"/>
      <c r="Q187" s="12" t="n"/>
      <c r="R187" s="9" t="n"/>
      <c r="S187" s="9" t="n"/>
      <c r="T187" s="9" t="n"/>
      <c r="U187" s="9" t="n"/>
      <c r="V187" s="9" t="n"/>
      <c r="W187" s="9" t="n"/>
      <c r="X187" t="n">
        <v>2938.24</v>
      </c>
      <c r="Y187" s="9" t="n"/>
      <c r="Z187" s="9" t="n"/>
      <c r="AA187" s="9" t="n"/>
      <c r="AB187" s="9" t="n"/>
      <c r="AC187" s="26" t="n"/>
      <c r="AD187" s="31" t="n"/>
      <c r="AE187" s="9" t="n"/>
      <c r="AG187" s="13">
        <f>SUM(B187:AE187)</f>
        <v/>
      </c>
    </row>
    <row r="188" ht="18.75" customHeight="1">
      <c r="A188" s="8" t="inlineStr">
        <is>
          <t>Ideal for All Ltd</t>
        </is>
      </c>
      <c r="B188" s="9" t="n"/>
      <c r="C188" s="9" t="n"/>
      <c r="D188" s="9" t="n"/>
      <c r="E188" s="9" t="n"/>
      <c r="G188" s="12" t="n"/>
      <c r="I188" s="31" t="n"/>
      <c r="J188" s="12" t="n"/>
      <c r="K188" s="11" t="n"/>
      <c r="L188" s="12" t="n"/>
      <c r="P188" s="9" t="n"/>
      <c r="Q188" s="31" t="n">
        <v>2516.8</v>
      </c>
      <c r="R188" s="12" t="n"/>
      <c r="S188" s="11" t="n"/>
      <c r="T188" s="12" t="n"/>
      <c r="U188" s="11" t="n"/>
      <c r="V188" s="12" t="n"/>
      <c r="W188" t="n">
        <v>3661.88</v>
      </c>
      <c r="X188" s="9" t="n"/>
      <c r="Y188" s="9" t="n"/>
      <c r="Z188" s="9" t="n"/>
      <c r="AA188" s="9" t="n"/>
      <c r="AB188" s="9" t="n"/>
      <c r="AC188" s="26" t="n"/>
      <c r="AD188" s="26" t="n"/>
      <c r="AE188" s="9" t="n"/>
      <c r="AF188" s="9" t="n"/>
      <c r="AG188" s="13">
        <f>SUM(B188:AE188)</f>
        <v/>
      </c>
    </row>
    <row r="189" ht="15.75" customHeight="1">
      <c r="A189" s="8" t="inlineStr">
        <is>
          <t>KIRKLEES COUNCIL-204312-63046958</t>
        </is>
      </c>
      <c r="B189" s="9" t="n"/>
      <c r="C189" t="n">
        <v>5554.89</v>
      </c>
      <c r="D189" s="9" t="n"/>
      <c r="E189" s="9" t="n"/>
      <c r="F189" s="33" t="n"/>
      <c r="G189" s="9" t="n"/>
      <c r="H189" s="9" t="n"/>
      <c r="I189" s="26" t="n"/>
      <c r="K189" s="12" t="n"/>
      <c r="L189" s="9" t="n"/>
      <c r="N189" t="n">
        <v>5554.89</v>
      </c>
      <c r="O189" s="9" t="n"/>
      <c r="P189" s="9" t="n"/>
      <c r="Q189" s="9" t="n"/>
      <c r="R189" s="9" t="n"/>
      <c r="S189" s="12" t="n"/>
      <c r="T189" s="9" t="n"/>
      <c r="U189" s="9" t="n"/>
      <c r="V189" s="9" t="n"/>
      <c r="W189" s="9" t="n"/>
      <c r="X189" s="9" t="n"/>
      <c r="Y189" s="9" t="n"/>
      <c r="Z189" s="9" t="n"/>
      <c r="AA189" s="9" t="n"/>
      <c r="AB189" t="n">
        <v>5196.51</v>
      </c>
      <c r="AC189" s="26" t="n"/>
      <c r="AD189" s="26" t="n"/>
      <c r="AE189" s="12" t="n"/>
      <c r="AF189" s="12" t="n"/>
      <c r="AG189" s="13">
        <f>SUM(B189:AE189)</f>
        <v/>
      </c>
    </row>
    <row r="190" ht="15.75" customHeight="1">
      <c r="A190" s="8" t="inlineStr">
        <is>
          <t>LBH PAYMENTS BACS-602210-72430192</t>
        </is>
      </c>
      <c r="B190" s="9" t="n"/>
      <c r="C190" s="9" t="n"/>
      <c r="D190" s="9" t="n"/>
      <c r="E190" s="9" t="n"/>
      <c r="F190" s="9" t="n"/>
      <c r="G190" s="9" t="n"/>
      <c r="H190" s="9" t="n"/>
      <c r="I190" s="26" t="n"/>
      <c r="K190" s="9" t="n"/>
      <c r="L190" s="9" t="n"/>
      <c r="O190" s="9" t="n"/>
      <c r="P190" s="12" t="n"/>
      <c r="Q190" s="12" t="n"/>
      <c r="R190" s="9" t="n"/>
      <c r="S190" s="9" t="n"/>
      <c r="U190" s="12" t="n"/>
      <c r="V190" t="n">
        <v>5040</v>
      </c>
      <c r="W190" s="9" t="n"/>
      <c r="X190" s="9" t="n"/>
      <c r="Y190" s="9" t="n"/>
      <c r="Z190" s="9" t="n"/>
      <c r="AA190" s="9" t="n"/>
      <c r="AB190" s="9" t="n"/>
      <c r="AC190" s="26" t="n"/>
      <c r="AD190" s="26" t="n"/>
      <c r="AE190" s="9" t="n"/>
      <c r="AF190" s="9" t="n"/>
      <c r="AG190" s="13">
        <f>SUM(B190:AE190)</f>
        <v/>
      </c>
    </row>
    <row r="191" ht="15.75" customHeight="1">
      <c r="A191" s="8" t="inlineStr">
        <is>
          <t>NHS BIRMINGHAM &amp; S-607080-10017097</t>
        </is>
      </c>
      <c r="B191" s="9" t="n"/>
      <c r="C191" s="9" t="n"/>
      <c r="D191" s="9" t="n"/>
      <c r="E191" s="9" t="n"/>
      <c r="F191" s="12" t="n"/>
      <c r="G191" s="9" t="n"/>
      <c r="H191" s="9" t="n"/>
      <c r="I191" s="31" t="n"/>
      <c r="K191" s="9" t="inlineStr"/>
      <c r="L191" s="9" t="inlineStr"/>
      <c r="O191" s="9" t="inlineStr"/>
      <c r="P191" t="n">
        <v>7121.63</v>
      </c>
      <c r="Q191" s="12" t="n"/>
      <c r="R191" s="12" t="n"/>
      <c r="S191" s="9" t="inlineStr"/>
      <c r="T191" t="n">
        <v>6862.7</v>
      </c>
      <c r="U191" s="12" t="n"/>
      <c r="V191" s="12" t="n"/>
      <c r="W191" s="9" t="inlineStr"/>
      <c r="X191" s="9" t="n"/>
      <c r="Y191" s="9" t="n"/>
      <c r="Z191" s="9" t="n"/>
      <c r="AA191" s="9" t="n"/>
      <c r="AB191" s="9" t="n"/>
      <c r="AC191" s="26" t="n"/>
      <c r="AD191" s="26" t="n"/>
      <c r="AE191" s="9" t="n"/>
      <c r="AF191" s="9" t="n"/>
      <c r="AG191" s="13">
        <f>SUM(B191:AE191)</f>
        <v/>
      </c>
    </row>
    <row r="192" ht="15.75" customHeight="1">
      <c r="A192" s="8" t="inlineStr">
        <is>
          <t>NHS BLACK COUNTRY-607080-10015272</t>
        </is>
      </c>
      <c r="B192" s="9" t="n"/>
      <c r="C192" s="12" t="n"/>
      <c r="D192" s="9" t="n"/>
      <c r="E192" s="12" t="n"/>
      <c r="F192" s="9" t="n"/>
      <c r="G192" s="9" t="n"/>
      <c r="H192" s="9" t="n"/>
      <c r="I192" s="26" t="n"/>
      <c r="J192" s="12" t="n"/>
      <c r="K192" s="9" t="inlineStr"/>
      <c r="L192" s="9" t="inlineStr"/>
      <c r="O192" s="9" t="inlineStr"/>
      <c r="P192" t="n">
        <v>12746.13</v>
      </c>
      <c r="Q192" s="9" t="n"/>
      <c r="R192" s="9" t="inlineStr"/>
      <c r="S192" s="12" t="n"/>
      <c r="T192" s="9" t="inlineStr"/>
      <c r="U192" s="9" t="inlineStr"/>
      <c r="V192" s="9" t="n"/>
      <c r="W192" s="12" t="n"/>
      <c r="X192" s="9" t="n"/>
      <c r="Y192" s="9" t="n"/>
      <c r="Z192" s="9" t="n"/>
      <c r="AA192" s="9" t="n"/>
      <c r="AB192" t="n">
        <v>7804.11</v>
      </c>
      <c r="AC192" s="26" t="n"/>
      <c r="AD192" s="26" t="n"/>
      <c r="AE192" s="9" t="n"/>
      <c r="AF192" s="9" t="n"/>
      <c r="AG192" s="13">
        <f>SUM(B192:AE192)</f>
        <v/>
      </c>
    </row>
    <row r="193" ht="15.75" customHeight="1">
      <c r="A193" s="14" t="inlineStr">
        <is>
          <t>SANDWELL MBC  BEN-601539-69624151</t>
        </is>
      </c>
      <c r="B193" s="9" t="n"/>
      <c r="C193" s="9" t="n"/>
      <c r="D193" s="9" t="n"/>
      <c r="E193" s="9" t="n"/>
      <c r="F193" t="n">
        <v>2950.96</v>
      </c>
      <c r="G193" s="9" t="n"/>
      <c r="H193" s="9" t="n"/>
      <c r="I193" s="26" t="n"/>
      <c r="J193" s="9" t="n"/>
      <c r="K193" s="9" t="n"/>
      <c r="L193" s="9" t="n"/>
      <c r="O193" s="9" t="n"/>
      <c r="P193" s="9" t="n"/>
      <c r="Q193" s="9" t="n"/>
      <c r="R193" s="9" t="n"/>
      <c r="S193" s="9" t="n"/>
      <c r="T193" s="9" t="n"/>
      <c r="U193" s="9" t="n"/>
      <c r="V193" s="9" t="n"/>
      <c r="W193" s="9" t="n"/>
      <c r="X193" s="9" t="n"/>
      <c r="Y193" s="12" t="n"/>
      <c r="Z193" s="9" t="n"/>
      <c r="AA193" s="9" t="n"/>
      <c r="AB193" s="9" t="n"/>
      <c r="AC193" s="26" t="n"/>
      <c r="AD193" s="26" t="n"/>
      <c r="AE193" s="9" t="n"/>
      <c r="AF193" s="9" t="n"/>
      <c r="AG193" s="13">
        <f>SUM(B193:AE193)</f>
        <v/>
      </c>
    </row>
    <row r="194" ht="15.75" customHeight="1">
      <c r="A194" s="14" t="inlineStr">
        <is>
          <t>SANDWELL MBC-601539-69624135</t>
        </is>
      </c>
      <c r="B194" s="9" t="n"/>
      <c r="C194" s="9" t="n"/>
      <c r="D194" s="9" t="n"/>
      <c r="E194" s="9" t="n"/>
      <c r="F194" t="n">
        <v>108090.88</v>
      </c>
      <c r="G194" s="12" t="n"/>
      <c r="H194" s="9" t="n"/>
      <c r="I194" s="26" t="n"/>
      <c r="J194" s="9" t="n"/>
      <c r="K194" s="9" t="n"/>
      <c r="L194" s="9" t="n"/>
      <c r="O194" s="9" t="n"/>
      <c r="P194" s="9" t="n"/>
      <c r="Q194" s="9" t="n"/>
      <c r="R194" s="9" t="n"/>
      <c r="S194" s="9" t="n"/>
      <c r="T194" s="26" t="n">
        <v>100594.4</v>
      </c>
      <c r="U194" s="12" t="n"/>
      <c r="V194" s="9" t="n"/>
      <c r="W194" s="9" t="n"/>
      <c r="X194" s="9" t="n"/>
      <c r="Y194" s="9" t="n"/>
      <c r="Z194" s="9" t="n"/>
      <c r="AA194" s="9" t="n"/>
      <c r="AB194" s="9" t="n"/>
      <c r="AC194" s="26" t="n"/>
      <c r="AD194" s="26" t="n"/>
      <c r="AE194" s="9" t="n"/>
      <c r="AF194" s="9" t="n"/>
      <c r="AG194" s="13">
        <f>SUM(B194:AE194)</f>
        <v/>
      </c>
    </row>
    <row r="195" ht="15.75" customHeight="1">
      <c r="A195" s="15" t="inlineStr">
        <is>
          <t>SOLIHULL MBC EXP.-200771-00561525</t>
        </is>
      </c>
      <c r="B195" s="9" t="n"/>
      <c r="C195" s="9" t="n"/>
      <c r="D195" s="9" t="n"/>
      <c r="E195" s="9" t="n"/>
      <c r="G195" s="9" t="n"/>
      <c r="H195" s="9" t="n"/>
      <c r="I195" s="26" t="n"/>
      <c r="J195" s="9" t="n"/>
      <c r="K195" s="9" t="n"/>
      <c r="L195" s="9" t="n"/>
      <c r="M195" s="9" t="n"/>
      <c r="N195" s="9" t="n"/>
      <c r="O195" s="9" t="n"/>
      <c r="P195" s="9" t="n"/>
      <c r="Q195" s="9" t="n"/>
      <c r="R195" s="12" t="n"/>
      <c r="S195" s="9" t="n"/>
      <c r="T195" s="9" t="n"/>
      <c r="U195" s="9" t="n"/>
      <c r="V195" s="9" t="n"/>
      <c r="W195" s="9" t="n"/>
      <c r="X195" s="9" t="n"/>
      <c r="Y195" s="9" t="n"/>
      <c r="Z195" s="9" t="n"/>
      <c r="AA195" t="n">
        <v>30000.6</v>
      </c>
      <c r="AB195" s="12" t="n"/>
      <c r="AC195" s="26" t="n"/>
      <c r="AD195" s="26" t="n"/>
      <c r="AE195" s="9" t="n"/>
      <c r="AF195" s="9" t="n"/>
      <c r="AG195" s="13">
        <f>SUM(B195:AE195)</f>
        <v/>
      </c>
    </row>
    <row r="196" ht="15.75" customHeight="1">
      <c r="A196" s="15" t="inlineStr">
        <is>
          <t>WALSALL MBC BARC-209073-10731692</t>
        </is>
      </c>
      <c r="B196" s="9" t="n"/>
      <c r="C196" s="9" t="n"/>
      <c r="D196" s="9" t="n"/>
      <c r="E196" s="9" t="n"/>
      <c r="F196" s="9" t="n"/>
      <c r="G196" s="12" t="n"/>
      <c r="H196" s="9" t="n"/>
      <c r="I196" s="26" t="n"/>
      <c r="J196" s="9" t="n"/>
      <c r="K196" s="9" t="n"/>
      <c r="L196" s="9" t="n"/>
      <c r="M196" s="12" t="n"/>
      <c r="N196">
        <f>180944.75-N187</f>
        <v/>
      </c>
      <c r="O196" s="9" t="n"/>
      <c r="P196" s="9" t="n"/>
      <c r="Q196" s="9" t="n"/>
      <c r="R196" s="9" t="n"/>
      <c r="S196" s="9" t="n"/>
      <c r="T196" s="9" t="n"/>
      <c r="U196" s="9" t="n"/>
      <c r="V196" s="9" t="n"/>
      <c r="W196" s="9" t="n"/>
      <c r="X196" s="9" t="n"/>
      <c r="Y196" s="9" t="n"/>
      <c r="Z196" s="9" t="n"/>
      <c r="AA196" s="9" t="n"/>
      <c r="AB196" s="9" t="n"/>
      <c r="AC196" s="26" t="n"/>
      <c r="AD196" s="26" t="n"/>
      <c r="AE196" s="9" t="n"/>
      <c r="AF196" s="9" t="n"/>
      <c r="AG196" s="13">
        <f>SUM(B196:AE196)</f>
        <v/>
      </c>
    </row>
    <row r="197" ht="15.75" customHeight="1">
      <c r="A197" s="15" t="inlineStr">
        <is>
          <t>WOLVERHAMPTON CC-560069-44470320</t>
        </is>
      </c>
      <c r="B197" t="n">
        <v>111380.82</v>
      </c>
      <c r="C197" s="9" t="n"/>
      <c r="D197" s="9" t="n"/>
      <c r="E197" s="9" t="n"/>
      <c r="G197" s="9" t="n"/>
      <c r="H197" s="9" t="n"/>
      <c r="I197" s="26" t="n">
        <v>104127</v>
      </c>
      <c r="J197" s="9" t="n"/>
      <c r="K197" s="9" t="n"/>
      <c r="L197" s="9" t="n"/>
      <c r="M197" s="9" t="n"/>
      <c r="N197" s="9" t="n"/>
      <c r="O197" s="9" t="n"/>
      <c r="P197" s="16">
        <f>110036.82-P186</f>
        <v/>
      </c>
      <c r="Q197" s="9" t="n"/>
      <c r="R197" s="9" t="n"/>
      <c r="S197" s="9" t="n"/>
      <c r="T197" s="9" t="n"/>
      <c r="U197" s="9" t="n"/>
      <c r="V197" s="9" t="n"/>
      <c r="W197" t="n">
        <v>122080.82</v>
      </c>
      <c r="X197" s="9" t="n"/>
      <c r="Y197" s="9" t="n"/>
      <c r="Z197" s="9" t="n"/>
      <c r="AA197" s="9" t="n"/>
      <c r="AB197" s="9" t="n"/>
      <c r="AC197" s="26" t="n"/>
      <c r="AD197" s="26">
        <f>111196.32-AD186</f>
        <v/>
      </c>
      <c r="AE197" s="9" t="n"/>
      <c r="AF197" s="9" t="n"/>
      <c r="AG197" s="13">
        <f>SUM(B197:AE197)</f>
        <v/>
      </c>
    </row>
    <row r="198" ht="15.75" customHeight="1">
      <c r="A198" s="15" t="inlineStr">
        <is>
          <t>TLC</t>
        </is>
      </c>
      <c r="B198" s="9" t="n"/>
      <c r="C198" t="n">
        <v>1013.7</v>
      </c>
      <c r="D198" s="12" t="n"/>
      <c r="F198" s="9" t="n"/>
      <c r="G198" s="9" t="n"/>
      <c r="H198" s="9" t="n"/>
      <c r="I198" s="31" t="n"/>
      <c r="J198" s="9" t="n"/>
      <c r="K198" s="9" t="n"/>
      <c r="M198" s="12" t="n"/>
      <c r="O198" t="n">
        <v>8491.1</v>
      </c>
      <c r="P198" s="31" t="n">
        <v>1106.35</v>
      </c>
      <c r="Q198" s="9" t="n"/>
      <c r="R198" s="9" t="n"/>
      <c r="S198" s="12" t="n"/>
      <c r="T198" s="9" t="n"/>
      <c r="U198" s="9" t="n"/>
      <c r="V198" s="9" t="n"/>
      <c r="W198" s="9" t="n"/>
      <c r="X198" s="9" t="n"/>
      <c r="Y198" s="9" t="n"/>
      <c r="Z198" s="9" t="n"/>
      <c r="AA198" s="9" t="n"/>
      <c r="AB198" s="9" t="n"/>
      <c r="AC198" s="31" t="n"/>
      <c r="AD198" s="26" t="n"/>
      <c r="AE198" s="9" t="n"/>
      <c r="AF198" s="9" t="n"/>
      <c r="AG198" s="13">
        <f>SUM(B198:AE198)</f>
        <v/>
      </c>
    </row>
    <row r="199" ht="15.75" customHeight="1">
      <c r="A199" s="15" t="inlineStr">
        <is>
          <t>HB SC</t>
        </is>
      </c>
      <c r="B199" s="16" t="n">
        <v>4599.940000000002</v>
      </c>
      <c r="C199" s="16" t="n">
        <v>8279.75</v>
      </c>
      <c r="D199" s="16" t="n">
        <v>0</v>
      </c>
      <c r="E199" s="16" t="n">
        <v>992.72</v>
      </c>
      <c r="F199" s="16" t="n">
        <v>7029.980000000002</v>
      </c>
      <c r="G199" s="16" t="n">
        <v>2360.199999999999</v>
      </c>
      <c r="H199" s="16" t="n">
        <v>1260.19</v>
      </c>
      <c r="I199" s="16" t="n">
        <v>1963.409999999982</v>
      </c>
      <c r="J199" s="16" t="n">
        <v>4132.339999999999</v>
      </c>
      <c r="K199" s="16" t="n">
        <v>0</v>
      </c>
      <c r="L199" s="16" t="n">
        <v>207.69</v>
      </c>
      <c r="M199" s="16" t="n">
        <v>4164.809999999999</v>
      </c>
      <c r="N199" s="16" t="n">
        <v>3633.669999999997</v>
      </c>
      <c r="O199" s="16" t="n">
        <v>2775.450000000001</v>
      </c>
      <c r="P199" s="16" t="n">
        <v>4391.379999999991</v>
      </c>
      <c r="Q199" s="16" t="n">
        <v>6264.479999999999</v>
      </c>
      <c r="R199" s="16" t="n">
        <v>281.88</v>
      </c>
      <c r="S199" s="16" t="n">
        <v>681.88</v>
      </c>
      <c r="T199" s="16">
        <f>2885.14+4152.86</f>
        <v/>
      </c>
      <c r="U199" s="16" t="n">
        <v>5534</v>
      </c>
      <c r="V199" s="16" t="n">
        <v>1338.089999999999</v>
      </c>
      <c r="W199" s="16" t="n">
        <v>9798.299999999992</v>
      </c>
      <c r="X199" s="16" t="n">
        <v>6559.02</v>
      </c>
      <c r="Y199" s="16" t="n">
        <v>430.56</v>
      </c>
      <c r="Z199" s="16" t="n">
        <v>345</v>
      </c>
      <c r="AA199" s="16" t="n">
        <v>13096.32999999999</v>
      </c>
      <c r="AB199" s="16" t="n">
        <v>6130</v>
      </c>
      <c r="AC199" s="16" t="n">
        <v>3667.459999999999</v>
      </c>
      <c r="AD199" s="16" t="n">
        <v>5165.109999999998</v>
      </c>
      <c r="AE199" s="16" t="n"/>
      <c r="AF199" s="16" t="n"/>
      <c r="AG199" s="13">
        <f>SUM(B199:AE199)</f>
        <v/>
      </c>
      <c r="AH199">
        <f>AG199/29</f>
        <v/>
      </c>
    </row>
    <row r="200" ht="16.5" customHeight="1" thickBot="1">
      <c r="A200" s="66" t="inlineStr">
        <is>
          <t>Total</t>
        </is>
      </c>
      <c r="B200" s="67">
        <f>SUM(B183:B199)</f>
        <v/>
      </c>
      <c r="C200" s="67">
        <f>SUM(C183:C199)</f>
        <v/>
      </c>
      <c r="D200" s="67">
        <f>SUM(D183:D199)</f>
        <v/>
      </c>
      <c r="E200" s="67">
        <f>SUM(E183:E199)</f>
        <v/>
      </c>
      <c r="F200" s="67">
        <f>SUM(F183:F199)</f>
        <v/>
      </c>
      <c r="G200" s="67">
        <f>SUM(G183:G199)</f>
        <v/>
      </c>
      <c r="H200" s="67">
        <f>SUM(H183:H199)</f>
        <v/>
      </c>
      <c r="I200" s="67">
        <f>SUM(I183:I199)</f>
        <v/>
      </c>
      <c r="J200" s="67">
        <f>SUM(J183:J199)</f>
        <v/>
      </c>
      <c r="K200" s="67">
        <f>SUM(K183:K199)</f>
        <v/>
      </c>
      <c r="L200" s="67">
        <f>SUM(L183:L199)</f>
        <v/>
      </c>
      <c r="M200" s="67">
        <f>SUM(M183:M199)</f>
        <v/>
      </c>
      <c r="N200" s="67">
        <f>SUM(N183:N199)</f>
        <v/>
      </c>
      <c r="O200" s="67">
        <f>SUM(O183:O199)</f>
        <v/>
      </c>
      <c r="P200" s="67">
        <f>SUM(P183:P199)</f>
        <v/>
      </c>
      <c r="Q200" s="67">
        <f>SUM(Q183:Q199)</f>
        <v/>
      </c>
      <c r="R200" s="67">
        <f>SUM(R183:R199)</f>
        <v/>
      </c>
      <c r="S200" s="67">
        <f>SUM(S183:S199)</f>
        <v/>
      </c>
      <c r="T200" s="67">
        <f>SUM(T183:T199)</f>
        <v/>
      </c>
      <c r="U200" s="67">
        <f>SUM(U183:U199)</f>
        <v/>
      </c>
      <c r="V200" s="67">
        <f>SUM(V183:V199)</f>
        <v/>
      </c>
      <c r="W200" s="67">
        <f>SUM(W183:W199)</f>
        <v/>
      </c>
      <c r="X200" s="67">
        <f>SUM(X183:X199)</f>
        <v/>
      </c>
      <c r="Y200" s="67">
        <f>SUM(Y183:Y199)</f>
        <v/>
      </c>
      <c r="Z200" s="67">
        <f>SUM(Z183:Z199)</f>
        <v/>
      </c>
      <c r="AA200" s="67">
        <f>SUM(AA183:AA199)</f>
        <v/>
      </c>
      <c r="AB200" s="67">
        <f>SUM(AB183:AB199)</f>
        <v/>
      </c>
      <c r="AC200" s="67">
        <f>SUM(AC183:AC199)</f>
        <v/>
      </c>
      <c r="AD200" s="67">
        <f>SUM(AD183:AD199)</f>
        <v/>
      </c>
      <c r="AE200" s="67" t="n"/>
      <c r="AF200" s="67" t="n"/>
      <c r="AG200" s="22">
        <f>SUM(AG183:AG199)</f>
        <v/>
      </c>
    </row>
    <row r="201" ht="15.75" customHeight="1" thickTop="1">
      <c r="A201" s="15" t="inlineStr">
        <is>
          <t>Ruunning Total</t>
        </is>
      </c>
      <c r="B201">
        <f>#REF!</f>
        <v/>
      </c>
      <c r="C201">
        <f>B201+#REF!</f>
        <v/>
      </c>
      <c r="D201">
        <f>C201+#REF!</f>
        <v/>
      </c>
      <c r="E201">
        <f>D201+#REF!</f>
        <v/>
      </c>
      <c r="F201">
        <f>E201+#REF!</f>
        <v/>
      </c>
      <c r="G201">
        <f>F201+#REF!</f>
        <v/>
      </c>
      <c r="H201">
        <f>G201+#REF!</f>
        <v/>
      </c>
      <c r="I201">
        <f>H201+#REF!</f>
        <v/>
      </c>
      <c r="J201">
        <f>I201+#REF!</f>
        <v/>
      </c>
      <c r="K201">
        <f>J201+#REF!</f>
        <v/>
      </c>
      <c r="L201">
        <f>K201+#REF!</f>
        <v/>
      </c>
      <c r="M201">
        <f>L201+#REF!</f>
        <v/>
      </c>
      <c r="N201">
        <f>M201+#REF!</f>
        <v/>
      </c>
      <c r="O201">
        <f>N201+#REF!</f>
        <v/>
      </c>
      <c r="P201">
        <f>O201+#REF!</f>
        <v/>
      </c>
      <c r="Q201">
        <f>P201+#REF!</f>
        <v/>
      </c>
      <c r="R201">
        <f>Q201+#REF!</f>
        <v/>
      </c>
      <c r="S201">
        <f>R201+#REF!</f>
        <v/>
      </c>
      <c r="T201">
        <f>S201+#REF!</f>
        <v/>
      </c>
      <c r="U201">
        <f>T201+#REF!</f>
        <v/>
      </c>
      <c r="V201">
        <f>U201+#REF!</f>
        <v/>
      </c>
      <c r="W201">
        <f>V201+#REF!</f>
        <v/>
      </c>
      <c r="X201">
        <f>W201+#REF!</f>
        <v/>
      </c>
      <c r="Y201">
        <f>X201+#REF!</f>
        <v/>
      </c>
      <c r="Z201">
        <f>Y201+#REF!</f>
        <v/>
      </c>
      <c r="AA201">
        <f>Z201+#REF!</f>
        <v/>
      </c>
      <c r="AB201">
        <f>AA201+#REF!</f>
        <v/>
      </c>
      <c r="AC201">
        <f>AB201+#REF!</f>
        <v/>
      </c>
      <c r="AD201">
        <f>AC201+#REF!</f>
        <v/>
      </c>
      <c r="AE201">
        <f>AD201+#REF!</f>
        <v/>
      </c>
    </row>
    <row r="204">
      <c r="A204" s="1" t="n"/>
      <c r="B204" s="2" t="inlineStr">
        <is>
          <t>March</t>
        </is>
      </c>
      <c r="C204" s="2" t="n"/>
      <c r="D204" s="2" t="n"/>
      <c r="E204" s="2" t="n"/>
      <c r="F204" s="2" t="n"/>
      <c r="G204" s="2" t="n"/>
      <c r="H204" s="2" t="n"/>
      <c r="I204" s="2" t="n"/>
      <c r="J204" s="2" t="n"/>
      <c r="K204" s="2" t="n"/>
      <c r="L204" s="2" t="n"/>
      <c r="M204" s="2" t="n"/>
      <c r="N204" s="2" t="n"/>
      <c r="O204" s="2" t="n"/>
      <c r="P204" s="2" t="n"/>
      <c r="Q204" s="2" t="n"/>
      <c r="R204" s="2" t="n"/>
      <c r="S204" s="2" t="n"/>
      <c r="T204" s="2" t="n"/>
      <c r="U204" s="2" t="n"/>
      <c r="V204" s="2" t="n"/>
      <c r="W204" s="2" t="n"/>
      <c r="X204" s="2" t="n"/>
      <c r="Y204" s="2" t="n"/>
      <c r="Z204" s="2" t="n"/>
      <c r="AA204" s="2" t="n"/>
      <c r="AB204" s="2" t="n"/>
      <c r="AC204" s="2" t="n"/>
      <c r="AD204" s="2" t="n"/>
      <c r="AE204" s="1" t="n"/>
      <c r="AF204" s="1" t="n"/>
      <c r="AG204" s="1" t="n"/>
    </row>
    <row r="205">
      <c r="A205" s="1" t="n"/>
      <c r="B205" s="2" t="inlineStr">
        <is>
          <t>Friday</t>
        </is>
      </c>
      <c r="C205" s="2" t="inlineStr">
        <is>
          <t>Saturday</t>
        </is>
      </c>
      <c r="D205" s="2" t="inlineStr">
        <is>
          <t>Sunday</t>
        </is>
      </c>
      <c r="E205" s="2" t="inlineStr">
        <is>
          <t>Monday</t>
        </is>
      </c>
      <c r="F205" s="2" t="inlineStr">
        <is>
          <t>Tuesday</t>
        </is>
      </c>
      <c r="G205" s="2" t="inlineStr">
        <is>
          <t>Wednesday</t>
        </is>
      </c>
      <c r="H205" s="2" t="inlineStr">
        <is>
          <t>Thursday</t>
        </is>
      </c>
      <c r="I205" s="2" t="inlineStr">
        <is>
          <t>Friday</t>
        </is>
      </c>
      <c r="J205" s="2" t="inlineStr">
        <is>
          <t>Saturday</t>
        </is>
      </c>
      <c r="K205" s="2" t="inlineStr">
        <is>
          <t>Sunday</t>
        </is>
      </c>
      <c r="L205" s="2" t="inlineStr">
        <is>
          <t>Monday</t>
        </is>
      </c>
      <c r="M205" s="2" t="inlineStr">
        <is>
          <t>Tuesday</t>
        </is>
      </c>
      <c r="N205" s="2" t="inlineStr">
        <is>
          <t>Wednesday</t>
        </is>
      </c>
      <c r="O205" s="2" t="inlineStr">
        <is>
          <t>Thursday</t>
        </is>
      </c>
      <c r="P205" s="2" t="inlineStr">
        <is>
          <t>Friday</t>
        </is>
      </c>
      <c r="Q205" s="2" t="inlineStr">
        <is>
          <t>Saturday</t>
        </is>
      </c>
      <c r="R205" s="2" t="inlineStr">
        <is>
          <t>Sunday</t>
        </is>
      </c>
      <c r="S205" s="2" t="inlineStr">
        <is>
          <t>Monday</t>
        </is>
      </c>
      <c r="T205" s="2" t="inlineStr">
        <is>
          <t>Tuesday</t>
        </is>
      </c>
      <c r="U205" s="2" t="inlineStr">
        <is>
          <t>Wednesday</t>
        </is>
      </c>
      <c r="V205" s="2" t="inlineStr">
        <is>
          <t>Thursday</t>
        </is>
      </c>
      <c r="W205" s="2" t="inlineStr">
        <is>
          <t>Friday</t>
        </is>
      </c>
      <c r="X205" s="2" t="inlineStr">
        <is>
          <t>Saturday</t>
        </is>
      </c>
      <c r="Y205" s="2" t="inlineStr">
        <is>
          <t>Sunday</t>
        </is>
      </c>
      <c r="Z205" s="2" t="inlineStr">
        <is>
          <t>Monday</t>
        </is>
      </c>
      <c r="AA205" s="2" t="inlineStr">
        <is>
          <t>Tuesday</t>
        </is>
      </c>
      <c r="AB205" s="2" t="inlineStr">
        <is>
          <t>Wednesday</t>
        </is>
      </c>
      <c r="AC205" s="2" t="inlineStr">
        <is>
          <t>Thursday</t>
        </is>
      </c>
      <c r="AD205" s="2" t="inlineStr">
        <is>
          <t>Friday</t>
        </is>
      </c>
      <c r="AE205" s="2" t="inlineStr">
        <is>
          <t>Saturday</t>
        </is>
      </c>
      <c r="AF205" s="2" t="inlineStr">
        <is>
          <t>Sunday</t>
        </is>
      </c>
      <c r="AG205" s="2" t="inlineStr">
        <is>
          <t>Total</t>
        </is>
      </c>
    </row>
    <row r="206">
      <c r="A206" s="1" t="n"/>
      <c r="B206" s="7" t="inlineStr">
        <is>
          <t>1st</t>
        </is>
      </c>
      <c r="C206" s="7" t="inlineStr">
        <is>
          <t>2nd</t>
        </is>
      </c>
      <c r="D206" s="7" t="inlineStr">
        <is>
          <t>3rd</t>
        </is>
      </c>
      <c r="E206" s="4" t="inlineStr">
        <is>
          <t>4th</t>
        </is>
      </c>
      <c r="F206" s="4" t="inlineStr">
        <is>
          <t>5th</t>
        </is>
      </c>
      <c r="G206" s="4" t="inlineStr">
        <is>
          <t>6th</t>
        </is>
      </c>
      <c r="H206" s="4" t="inlineStr">
        <is>
          <t>7th</t>
        </is>
      </c>
      <c r="I206" s="4" t="inlineStr">
        <is>
          <t>8th</t>
        </is>
      </c>
      <c r="J206" s="4" t="inlineStr">
        <is>
          <t>9th</t>
        </is>
      </c>
      <c r="K206" s="4" t="inlineStr">
        <is>
          <t>10th</t>
        </is>
      </c>
      <c r="L206" s="5" t="inlineStr">
        <is>
          <t>11th</t>
        </is>
      </c>
      <c r="M206" s="5" t="inlineStr">
        <is>
          <t>12th</t>
        </is>
      </c>
      <c r="N206" s="5" t="inlineStr">
        <is>
          <t>13th</t>
        </is>
      </c>
      <c r="O206" s="5" t="inlineStr">
        <is>
          <t>14th</t>
        </is>
      </c>
      <c r="P206" s="5" t="inlineStr">
        <is>
          <t>15th</t>
        </is>
      </c>
      <c r="Q206" s="5" t="inlineStr">
        <is>
          <t>16th</t>
        </is>
      </c>
      <c r="R206" s="5" t="inlineStr">
        <is>
          <t>17th</t>
        </is>
      </c>
      <c r="S206" s="6" t="inlineStr">
        <is>
          <t>18th</t>
        </is>
      </c>
      <c r="T206" s="6" t="inlineStr">
        <is>
          <t>19th</t>
        </is>
      </c>
      <c r="U206" s="6" t="inlineStr">
        <is>
          <t>20th</t>
        </is>
      </c>
      <c r="V206" s="6" t="inlineStr">
        <is>
          <t>21st</t>
        </is>
      </c>
      <c r="W206" s="6" t="inlineStr">
        <is>
          <t>22nd</t>
        </is>
      </c>
      <c r="X206" s="6" t="inlineStr">
        <is>
          <t>23rd</t>
        </is>
      </c>
      <c r="Y206" s="6" t="inlineStr">
        <is>
          <t>24th</t>
        </is>
      </c>
      <c r="Z206" s="7" t="inlineStr">
        <is>
          <t>25th</t>
        </is>
      </c>
      <c r="AA206" s="7" t="inlineStr">
        <is>
          <t>26th</t>
        </is>
      </c>
      <c r="AB206" s="7" t="inlineStr">
        <is>
          <t>27th</t>
        </is>
      </c>
      <c r="AC206" s="7" t="inlineStr">
        <is>
          <t>28th</t>
        </is>
      </c>
      <c r="AD206" s="7" t="inlineStr">
        <is>
          <t>29th</t>
        </is>
      </c>
      <c r="AE206" s="7" t="inlineStr">
        <is>
          <t>30th</t>
        </is>
      </c>
      <c r="AF206" s="7" t="inlineStr">
        <is>
          <t>31st</t>
        </is>
      </c>
      <c r="AG206" s="1" t="n"/>
    </row>
    <row r="207" ht="18.75" customHeight="1">
      <c r="A207" s="8" t="inlineStr">
        <is>
          <t>B-HAM CITY COUNCIL-200790-70489166</t>
        </is>
      </c>
      <c r="B207" s="9" t="n"/>
      <c r="C207" s="9" t="n"/>
      <c r="D207" s="9" t="n"/>
      <c r="E207" t="n">
        <v>5728.4</v>
      </c>
      <c r="F207" s="12" t="n"/>
      <c r="G207" s="12" t="n"/>
      <c r="H207" s="12" t="n"/>
      <c r="I207" s="9" t="n"/>
      <c r="J207" s="9" t="n"/>
      <c r="K207" s="12" t="n"/>
      <c r="L207" s="12" t="n"/>
      <c r="M207" s="9" t="n"/>
      <c r="N207" s="12" t="n"/>
      <c r="P207" s="31" t="n"/>
      <c r="Q207" s="26" t="n"/>
      <c r="R207" s="31" t="n"/>
      <c r="S207" s="31" t="n"/>
      <c r="T207" s="10" t="n"/>
      <c r="W207" s="12" t="n"/>
      <c r="X207" s="10" t="n"/>
      <c r="Y207" s="11" t="n"/>
      <c r="Z207" s="9" t="n"/>
      <c r="AB207" t="n">
        <v>66705.44</v>
      </c>
      <c r="AC207" s="31" t="n">
        <v>7335.99</v>
      </c>
      <c r="AE207" s="33" t="n"/>
      <c r="AF207" s="9" t="n"/>
      <c r="AG207" s="13">
        <f>SUM(B207:AF207)</f>
        <v/>
      </c>
    </row>
    <row r="208" ht="18.75" customHeight="1">
      <c r="A208" s="8" t="inlineStr">
        <is>
          <t>Accord/Age uk</t>
        </is>
      </c>
      <c r="B208" s="9" t="n"/>
      <c r="C208" s="9" t="n"/>
      <c r="D208" s="9" t="n"/>
      <c r="E208" s="12" t="n"/>
      <c r="F208" s="12" t="n"/>
      <c r="G208" s="12" t="n"/>
      <c r="H208" s="12" t="n"/>
      <c r="I208" s="12" t="n"/>
      <c r="J208" s="12" t="n"/>
      <c r="K208" s="9" t="n"/>
      <c r="L208" s="11" t="n"/>
      <c r="M208" s="9" t="n"/>
      <c r="P208" s="31" t="n"/>
      <c r="Q208" s="31" t="n"/>
      <c r="R208" s="31" t="n"/>
      <c r="S208" s="31" t="n"/>
      <c r="T208" s="12" t="n"/>
      <c r="U208" s="12" t="n"/>
      <c r="V208" s="9" t="n"/>
      <c r="W208" s="11" t="n"/>
      <c r="X208" s="9" t="n"/>
      <c r="Y208" s="9" t="n"/>
      <c r="Z208" s="9" t="n"/>
      <c r="AA208" s="12" t="n"/>
      <c r="AB208" s="9" t="n"/>
      <c r="AC208" s="9" t="n"/>
      <c r="AD208" s="9" t="n"/>
      <c r="AE208" s="9" t="n"/>
      <c r="AF208" s="9" t="n"/>
      <c r="AG208" s="13">
        <f>SUM(B208:AF208)</f>
        <v/>
      </c>
    </row>
    <row r="209" ht="15.75" customHeight="1">
      <c r="A209" s="8" t="inlineStr">
        <is>
          <t>Buckingham</t>
        </is>
      </c>
      <c r="B209" s="9" t="n"/>
      <c r="C209" s="9" t="n"/>
      <c r="D209" s="9" t="n"/>
      <c r="E209" s="12" t="n"/>
      <c r="F209" s="9" t="n"/>
      <c r="G209" s="9" t="n"/>
      <c r="I209" s="9" t="n"/>
      <c r="J209" s="9" t="n"/>
      <c r="K209" s="9" t="n"/>
      <c r="L209" s="9" t="n"/>
      <c r="M209" s="9" t="n"/>
      <c r="N209" s="9" t="n"/>
      <c r="P209" s="31" t="n">
        <v>4937.64</v>
      </c>
      <c r="Q209" s="26" t="n"/>
      <c r="R209" s="26" t="n"/>
      <c r="S209" s="31" t="n"/>
      <c r="T209" s="9" t="n"/>
      <c r="U209" s="9" t="n"/>
      <c r="V209" s="9" t="n"/>
      <c r="X209" s="9" t="n"/>
      <c r="Y209" s="9" t="n"/>
      <c r="Z209" s="9" t="n"/>
      <c r="AA209" s="9" t="n"/>
      <c r="AB209" s="9" t="n"/>
      <c r="AC209" s="9" t="n"/>
      <c r="AD209" s="9" t="n"/>
      <c r="AE209" s="9" t="n"/>
      <c r="AF209" s="9" t="n"/>
      <c r="AG209" s="13">
        <f>SUM(B209:AF209)</f>
        <v/>
      </c>
    </row>
    <row r="210" ht="15.75" customHeight="1">
      <c r="A210" s="8" t="inlineStr">
        <is>
          <t>Sandwell respite est</t>
        </is>
      </c>
      <c r="B210" s="9" t="n"/>
      <c r="C210" s="9" t="n"/>
      <c r="D210" s="9" t="n"/>
      <c r="E210" s="26" t="n">
        <v>13487</v>
      </c>
      <c r="F210" s="31" t="n"/>
      <c r="G210" s="9" t="n"/>
      <c r="H210" s="9" t="n"/>
      <c r="I210" s="9" t="n"/>
      <c r="J210" s="9" t="n"/>
      <c r="K210" s="9" t="n"/>
      <c r="L210" s="9" t="n"/>
      <c r="N210" s="9" t="n"/>
      <c r="P210" s="31" t="n">
        <v>7996.8</v>
      </c>
      <c r="Q210" s="26" t="n"/>
      <c r="R210" s="26" t="n"/>
      <c r="S210" s="31" t="n"/>
      <c r="T210" s="9" t="n"/>
      <c r="U210" s="9" t="n"/>
      <c r="V210" s="9" t="n"/>
      <c r="W210" s="9" t="n"/>
      <c r="X210" s="9" t="n"/>
      <c r="Y210" s="9" t="n"/>
      <c r="Z210" s="9" t="n"/>
      <c r="AA210" s="9" t="n"/>
      <c r="AB210" s="9" t="n"/>
      <c r="AC210" s="9" t="n"/>
      <c r="AD210" s="12" t="n"/>
      <c r="AF210" s="9" t="n"/>
      <c r="AG210" s="13">
        <f>SUM(B210:AF210)</f>
        <v/>
      </c>
    </row>
    <row r="211" ht="15.75" customHeight="1">
      <c r="A211" s="8" t="inlineStr">
        <is>
          <t xml:space="preserve">Wolverhampton respite est </t>
        </is>
      </c>
      <c r="B211" s="9" t="n"/>
      <c r="C211" s="9" t="n"/>
      <c r="D211" s="9" t="n"/>
      <c r="E211" s="31" t="n">
        <v>11805.31</v>
      </c>
      <c r="F211" s="26" t="n"/>
      <c r="G211" s="9" t="n"/>
      <c r="H211" s="26" t="n">
        <v>6896.82</v>
      </c>
      <c r="I211" s="70" t="n">
        <v>28591</v>
      </c>
      <c r="J211" s="9" t="n"/>
      <c r="K211" s="9" t="n"/>
      <c r="L211" s="9" t="n"/>
      <c r="M211" s="9" t="n"/>
      <c r="N211" s="9" t="n"/>
      <c r="O211" t="n">
        <v>6239.82</v>
      </c>
      <c r="P211" s="26" t="n"/>
      <c r="Q211" s="26" t="n"/>
      <c r="R211" s="26" t="n"/>
      <c r="S211" s="31" t="n"/>
      <c r="T211" s="9" t="n"/>
      <c r="U211" s="9" t="n"/>
      <c r="V211" s="26" t="n">
        <v>6239.82</v>
      </c>
      <c r="W211" s="9" t="n"/>
      <c r="X211" s="9" t="n"/>
      <c r="Y211" s="9" t="n"/>
      <c r="Z211" s="9" t="n"/>
      <c r="AA211" s="9" t="n"/>
      <c r="AB211" s="9" t="n"/>
      <c r="AC211" t="n">
        <v>12281.23</v>
      </c>
      <c r="AD211" s="12" t="n"/>
      <c r="AE211" s="9" t="n"/>
      <c r="AF211" s="10" t="n"/>
      <c r="AG211" s="13">
        <f>SUM(B211:AF211)</f>
        <v/>
      </c>
    </row>
    <row r="212" ht="15.75" customHeight="1">
      <c r="A212" s="8" t="inlineStr">
        <is>
          <t>Walsall Respite</t>
        </is>
      </c>
      <c r="B212" s="9" t="n"/>
      <c r="C212" s="9" t="n"/>
      <c r="D212" s="9" t="n"/>
      <c r="E212" s="26" t="n"/>
      <c r="F212" s="26" t="n"/>
      <c r="G212" s="12" t="n"/>
      <c r="H212" s="26" t="n"/>
      <c r="J212" s="9" t="n"/>
      <c r="K212" s="9" t="n"/>
      <c r="L212" s="9" t="n"/>
      <c r="M212" s="26" t="n">
        <v>13384.8</v>
      </c>
      <c r="N212" s="9" t="n"/>
      <c r="P212" s="26" t="n"/>
      <c r="Q212" s="26" t="n"/>
      <c r="R212" s="26" t="n"/>
      <c r="S212" s="31" t="n"/>
      <c r="T212" s="9" t="n"/>
      <c r="U212" s="9" t="n"/>
      <c r="V212" s="26" t="n"/>
      <c r="W212" t="n">
        <v>2938.24</v>
      </c>
      <c r="X212" s="9" t="n"/>
      <c r="Y212" s="9" t="n"/>
      <c r="Z212" s="9" t="n"/>
      <c r="AA212" s="9" t="n"/>
      <c r="AB212" s="9" t="n"/>
      <c r="AC212" s="9" t="n"/>
      <c r="AD212" s="12" t="n"/>
      <c r="AE212" s="9" t="n"/>
      <c r="AF212" s="9" t="n"/>
      <c r="AG212" s="13">
        <f>SUM(B212:AF212)</f>
        <v/>
      </c>
    </row>
    <row r="213" ht="18.75" customHeight="1">
      <c r="A213" s="8" t="inlineStr">
        <is>
          <t>Ideal for All Ltd</t>
        </is>
      </c>
      <c r="B213" s="9" t="n"/>
      <c r="C213" s="9" t="n"/>
      <c r="D213" s="9" t="n"/>
      <c r="E213" s="31" t="n"/>
      <c r="F213" s="31" t="n"/>
      <c r="G213" s="12" t="n"/>
      <c r="H213" s="31" t="n">
        <v>2536.8</v>
      </c>
      <c r="J213" s="11" t="n"/>
      <c r="K213" s="12" t="n"/>
      <c r="L213" s="11" t="n"/>
      <c r="M213" s="31" t="n"/>
      <c r="N213" s="12" t="n"/>
      <c r="P213" s="31" t="n"/>
      <c r="Q213" s="26" t="n"/>
      <c r="R213" s="31" t="n"/>
      <c r="S213" s="31" t="n"/>
      <c r="T213" s="12" t="n"/>
      <c r="U213" s="11" t="n"/>
      <c r="V213" s="31" t="n"/>
      <c r="W213" t="n">
        <v>2402.4</v>
      </c>
      <c r="X213" s="9" t="n"/>
      <c r="Y213" s="9" t="n"/>
      <c r="Z213" t="n">
        <v>3661.88</v>
      </c>
      <c r="AA213" s="9" t="n"/>
      <c r="AB213" s="9" t="n"/>
      <c r="AC213" s="9" t="n"/>
      <c r="AD213" s="9" t="n"/>
      <c r="AE213" s="9" t="n"/>
      <c r="AF213" s="9" t="n"/>
      <c r="AG213" s="13">
        <f>SUM(B213:AF213)</f>
        <v/>
      </c>
    </row>
    <row r="214" ht="15.75" customHeight="1">
      <c r="A214" s="8" t="inlineStr">
        <is>
          <t>KIRKLEES COUNCIL-204312-63046958</t>
        </is>
      </c>
      <c r="C214" s="9" t="n"/>
      <c r="D214" s="9" t="n"/>
      <c r="E214" s="31" t="n"/>
      <c r="F214" s="26" t="n"/>
      <c r="G214" s="9" t="n"/>
      <c r="H214" s="26" t="n"/>
      <c r="I214" s="31" t="n"/>
      <c r="J214" s="12" t="n"/>
      <c r="K214" s="9" t="n"/>
      <c r="L214" s="9" t="n"/>
      <c r="M214" s="31" t="n"/>
      <c r="O214" s="9" t="n"/>
      <c r="P214" s="31" t="n"/>
      <c r="Q214" s="26" t="n"/>
      <c r="R214" s="26" t="n"/>
      <c r="S214" s="31" t="n"/>
      <c r="T214" s="9" t="n"/>
      <c r="V214" s="26" t="n"/>
      <c r="W214" s="9" t="n"/>
      <c r="X214" s="9" t="n"/>
      <c r="Y214" s="9" t="n"/>
      <c r="AA214" s="12" t="n"/>
      <c r="AB214" t="n">
        <v>5554.89</v>
      </c>
      <c r="AC214" s="12" t="n"/>
      <c r="AD214" s="9" t="n"/>
      <c r="AE214" s="12" t="n"/>
      <c r="AF214" s="12" t="n"/>
      <c r="AG214" s="13">
        <f>SUM(B214:AF214)</f>
        <v/>
      </c>
    </row>
    <row r="215" ht="15.75" customHeight="1">
      <c r="A215" s="8" t="inlineStr">
        <is>
          <t>LBH PAYMENTS BACS-602210-72430192</t>
        </is>
      </c>
      <c r="B215" s="9" t="n"/>
      <c r="C215" s="9" t="n"/>
      <c r="D215" s="9" t="n"/>
      <c r="E215" s="26" t="n"/>
      <c r="F215" s="26" t="n"/>
      <c r="G215" s="12" t="n"/>
      <c r="H215" s="26" t="n"/>
      <c r="I215" s="26" t="n"/>
      <c r="J215" s="9" t="n"/>
      <c r="K215" s="9" t="n"/>
      <c r="L215" s="9" t="n"/>
      <c r="M215" s="26" t="n"/>
      <c r="N215" s="9" t="n"/>
      <c r="O215" s="9" t="n"/>
      <c r="P215" s="31" t="n"/>
      <c r="Q215" s="26" t="n"/>
      <c r="R215" s="26" t="n"/>
      <c r="S215" s="26" t="n"/>
      <c r="T215" s="9" t="n"/>
      <c r="U215" s="9" t="n"/>
      <c r="V215" s="31" t="n">
        <v>5040</v>
      </c>
      <c r="W215" s="9" t="n"/>
      <c r="X215" s="9" t="n"/>
      <c r="Y215" s="9" t="n"/>
      <c r="Z215" s="9" t="n"/>
      <c r="AA215" s="9" t="n"/>
      <c r="AB215" s="9" t="n"/>
      <c r="AC215" s="9" t="n"/>
      <c r="AD215" s="9" t="n"/>
      <c r="AE215" s="9" t="n"/>
      <c r="AF215" s="9" t="n"/>
      <c r="AG215" s="13">
        <f>SUM(B215:AF215)</f>
        <v/>
      </c>
    </row>
    <row r="216" ht="15.75" customHeight="1">
      <c r="A216" s="8" t="inlineStr">
        <is>
          <t>NHS BIRMINGHAM &amp; S-607080-10017097</t>
        </is>
      </c>
      <c r="B216" s="9" t="n"/>
      <c r="C216" s="9" t="n"/>
      <c r="D216" s="9" t="n"/>
      <c r="E216" s="26" t="n"/>
      <c r="F216" s="26" t="n"/>
      <c r="G216" s="9" t="n"/>
      <c r="H216" s="31" t="n"/>
      <c r="I216" s="31" t="n"/>
      <c r="J216" s="9" t="inlineStr"/>
      <c r="K216" s="9" t="inlineStr"/>
      <c r="L216" s="12" t="n"/>
      <c r="M216" s="31" t="n"/>
      <c r="N216" s="12" t="n"/>
      <c r="O216" s="12" t="n"/>
      <c r="P216" s="31" t="n">
        <v>6662.17</v>
      </c>
      <c r="Q216" s="31" t="n"/>
      <c r="R216" s="31" t="n"/>
      <c r="S216" s="31" t="n"/>
      <c r="T216" s="9" t="inlineStr"/>
      <c r="U216" s="9" t="n"/>
      <c r="V216" s="26" t="n"/>
      <c r="W216" s="9" t="n"/>
      <c r="X216" s="9" t="n"/>
      <c r="Y216" s="9" t="n"/>
      <c r="Z216" s="9" t="n"/>
      <c r="AA216" s="9" t="n"/>
      <c r="AB216" s="9" t="n"/>
      <c r="AC216" s="9" t="n"/>
      <c r="AD216" s="9" t="n"/>
      <c r="AE216" s="9" t="n"/>
      <c r="AF216" s="9" t="n"/>
      <c r="AG216" s="13">
        <f>SUM(B216:AF216)</f>
        <v/>
      </c>
    </row>
    <row r="217" ht="15.75" customHeight="1">
      <c r="A217" s="8" t="inlineStr">
        <is>
          <t>NHS BLACK COUNTRY-607080-10015272</t>
        </is>
      </c>
      <c r="B217" s="9" t="n"/>
      <c r="C217" s="9" t="n"/>
      <c r="D217" s="9" t="n"/>
      <c r="E217" s="31" t="n"/>
      <c r="F217" s="26" t="n"/>
      <c r="G217" s="12" t="n"/>
      <c r="H217" s="26" t="n"/>
      <c r="I217" s="71" t="n">
        <v>19152.16</v>
      </c>
      <c r="J217" s="9" t="inlineStr"/>
      <c r="K217" s="9" t="inlineStr"/>
      <c r="L217" s="12" t="n"/>
      <c r="M217" s="31" t="n"/>
      <c r="N217" s="9" t="n"/>
      <c r="O217" s="9" t="inlineStr"/>
      <c r="P217" s="31" t="n">
        <v>13625.17</v>
      </c>
      <c r="Q217" s="26" t="inlineStr"/>
      <c r="R217" s="26" t="inlineStr"/>
      <c r="S217" s="26" t="n"/>
      <c r="T217" s="31" t="n">
        <v>734.4</v>
      </c>
      <c r="U217" s="26" t="n"/>
      <c r="V217" s="26" t="n"/>
      <c r="W217" s="9" t="n"/>
      <c r="X217" s="9" t="n"/>
      <c r="Y217" s="12" t="n"/>
      <c r="Z217" s="73" t="n">
        <v>734.4</v>
      </c>
      <c r="AA217" t="n">
        <v>8342.32</v>
      </c>
      <c r="AB217" s="9" t="n"/>
      <c r="AC217" s="9" t="n"/>
      <c r="AD217" s="9" t="n"/>
      <c r="AE217" s="9" t="n"/>
      <c r="AF217" s="9" t="n"/>
      <c r="AG217" s="13">
        <f>SUM(B217:AF217)</f>
        <v/>
      </c>
    </row>
    <row r="218" ht="15.75" customHeight="1">
      <c r="A218" s="14" t="inlineStr">
        <is>
          <t>SANDWELL MBC  BEN-601539-69624151</t>
        </is>
      </c>
      <c r="B218" s="9" t="n"/>
      <c r="C218" s="9" t="n"/>
      <c r="D218" s="9" t="n"/>
      <c r="E218" s="31" t="n">
        <v>2950.96</v>
      </c>
      <c r="F218" s="26" t="n"/>
      <c r="G218" s="9" t="n"/>
      <c r="H218" s="26" t="n"/>
      <c r="I218" s="26" t="n"/>
      <c r="J218" s="9" t="n"/>
      <c r="K218" s="9" t="n"/>
      <c r="L218" s="12" t="n"/>
      <c r="M218" s="26" t="n"/>
      <c r="N218" s="9" t="n"/>
      <c r="O218" s="9" t="n"/>
      <c r="P218" s="26" t="n"/>
      <c r="Q218" s="26" t="n"/>
      <c r="R218" s="26" t="n"/>
      <c r="S218" s="26" t="n"/>
      <c r="T218" s="26" t="n"/>
      <c r="U218" s="26" t="n"/>
      <c r="V218" s="26" t="n"/>
      <c r="W218" s="9" t="n"/>
      <c r="X218" s="9" t="n"/>
      <c r="Y218" s="12" t="n"/>
      <c r="Z218" s="9" t="n"/>
      <c r="AA218" s="9" t="n"/>
      <c r="AB218" s="9" t="n"/>
      <c r="AC218" t="n">
        <v>2950.96</v>
      </c>
      <c r="AD218" s="9" t="n"/>
      <c r="AE218" s="9" t="n"/>
      <c r="AF218" s="9" t="n"/>
      <c r="AG218" s="13">
        <f>SUM(B218:AF218)</f>
        <v/>
      </c>
    </row>
    <row r="219" ht="15.75" customHeight="1">
      <c r="A219" s="14" t="inlineStr">
        <is>
          <t>SANDWELL MBC-601539-69624135</t>
        </is>
      </c>
      <c r="B219" s="9" t="n"/>
      <c r="C219" s="9" t="n"/>
      <c r="D219" s="9" t="n"/>
      <c r="E219" s="31" t="n"/>
      <c r="F219" s="31" t="n">
        <v>105612.8</v>
      </c>
      <c r="G219" s="9" t="n"/>
      <c r="H219" s="26" t="n"/>
      <c r="I219" s="26" t="n"/>
      <c r="J219" s="9" t="n"/>
      <c r="K219" s="9" t="n"/>
      <c r="L219" s="9" t="n"/>
      <c r="M219" s="26" t="n"/>
      <c r="N219" s="9" t="n"/>
      <c r="O219" s="9" t="n"/>
      <c r="P219" s="26" t="n"/>
      <c r="Q219" s="26" t="n"/>
      <c r="R219" s="26" t="n"/>
      <c r="S219" s="26" t="n">
        <v>115817.28</v>
      </c>
      <c r="T219" s="26" t="n"/>
      <c r="U219" s="26" t="n"/>
      <c r="V219" s="26" t="n"/>
      <c r="W219" s="9" t="n"/>
      <c r="X219" s="9" t="n"/>
      <c r="Y219" s="9" t="n"/>
      <c r="Z219" s="9" t="n"/>
      <c r="AA219" s="9" t="n"/>
      <c r="AB219" s="9" t="n"/>
      <c r="AC219" s="9" t="n"/>
      <c r="AD219" s="9" t="n"/>
      <c r="AE219" s="9" t="n"/>
      <c r="AF219" s="9" t="n"/>
      <c r="AG219" s="13">
        <f>SUM(B219:AF219)</f>
        <v/>
      </c>
    </row>
    <row r="220" ht="15.75" customHeight="1">
      <c r="A220" s="15" t="inlineStr">
        <is>
          <t>SOLIHULL MBC EXP.-200771-00561525</t>
        </is>
      </c>
      <c r="B220" s="9" t="n"/>
      <c r="C220" s="9" t="n"/>
      <c r="D220" s="9" t="n"/>
      <c r="E220" s="9" t="n"/>
      <c r="F220" s="9" t="n"/>
      <c r="G220" s="9" t="n"/>
      <c r="H220" s="26" t="n"/>
      <c r="I220" s="26" t="n"/>
      <c r="J220" s="9" t="n"/>
      <c r="K220" s="9" t="n"/>
      <c r="L220" s="9" t="n"/>
      <c r="M220" s="26" t="n"/>
      <c r="N220" s="9" t="n"/>
      <c r="O220" s="9" t="n"/>
      <c r="P220" s="26" t="n"/>
      <c r="Q220" s="26" t="n"/>
      <c r="R220" s="31" t="n"/>
      <c r="S220" s="26" t="n"/>
      <c r="T220" s="26" t="n"/>
      <c r="U220" s="26" t="n"/>
      <c r="V220" s="26" t="n"/>
      <c r="W220" s="9" t="n"/>
      <c r="X220" s="9" t="n"/>
      <c r="Y220" s="9" t="n"/>
      <c r="Z220" t="n">
        <v>30000.6</v>
      </c>
      <c r="AA220" s="12" t="n"/>
      <c r="AB220" s="9" t="n"/>
      <c r="AC220" s="9" t="n"/>
      <c r="AD220" s="9" t="n"/>
      <c r="AE220" s="9" t="n"/>
      <c r="AF220" s="9" t="n"/>
      <c r="AG220" s="13">
        <f>SUM(B220:AF220)</f>
        <v/>
      </c>
    </row>
    <row r="221" ht="15.75" customHeight="1">
      <c r="A221" s="15" t="inlineStr">
        <is>
          <t>WALSALL MBC BARC-209073-10731692</t>
        </is>
      </c>
      <c r="B221" s="9" t="n"/>
      <c r="C221" s="9" t="n"/>
      <c r="D221" s="9" t="n"/>
      <c r="E221" s="9" t="n"/>
      <c r="F221" s="9" t="n"/>
      <c r="G221" s="12" t="n"/>
      <c r="H221" s="26" t="n"/>
      <c r="I221" s="26" t="n"/>
      <c r="J221" s="9" t="n"/>
      <c r="K221" s="9" t="n"/>
      <c r="L221" s="12" t="n"/>
      <c r="M221" s="26" t="n">
        <v>168888.12</v>
      </c>
      <c r="N221" s="9" t="n"/>
      <c r="O221" s="9" t="n"/>
      <c r="P221" s="26" t="n"/>
      <c r="Q221" s="26" t="n"/>
      <c r="R221" s="26" t="n"/>
      <c r="S221" s="26" t="n"/>
      <c r="T221" s="26" t="n"/>
      <c r="U221" s="26" t="n"/>
      <c r="V221" s="26" t="n"/>
      <c r="W221" s="9" t="n"/>
      <c r="X221" s="9" t="n"/>
      <c r="Y221" s="9" t="n"/>
      <c r="Z221" s="9" t="n"/>
      <c r="AA221" s="9" t="n"/>
      <c r="AB221" s="9" t="n"/>
      <c r="AC221" s="9" t="n"/>
      <c r="AD221" s="9" t="n"/>
      <c r="AE221" s="9" t="n"/>
      <c r="AF221" s="9" t="n"/>
      <c r="AG221" s="13">
        <f>SUM(B221:AF221)</f>
        <v/>
      </c>
    </row>
    <row r="222" ht="15.75" customHeight="1">
      <c r="A222" s="15" t="inlineStr">
        <is>
          <t>WOLVERHAMPTON CC-560069-44470320</t>
        </is>
      </c>
      <c r="B222" s="9" t="n"/>
      <c r="C222" s="9" t="n"/>
      <c r="D222" s="9" t="n"/>
      <c r="E222" s="9" t="n"/>
      <c r="F222" s="9" t="n"/>
      <c r="G222" s="9" t="n"/>
      <c r="H222" s="26" t="n">
        <v>104326.5</v>
      </c>
      <c r="J222" s="9" t="n"/>
      <c r="K222" s="9" t="n"/>
      <c r="L222" s="26" t="n">
        <v>7867.57</v>
      </c>
      <c r="M222" s="26" t="n"/>
      <c r="N222" s="26" t="n"/>
      <c r="O222" s="26">
        <f>120214.32-O211</f>
        <v/>
      </c>
      <c r="P222" s="26" t="n"/>
      <c r="Q222" s="26" t="n"/>
      <c r="R222" s="26" t="n"/>
      <c r="S222" s="26" t="n"/>
      <c r="T222" s="26" t="n"/>
      <c r="U222" s="26" t="n"/>
      <c r="V222" s="26" t="n">
        <v>105609</v>
      </c>
      <c r="W222" s="9" t="n"/>
      <c r="X222" s="9" t="n"/>
      <c r="Y222" s="9" t="n"/>
      <c r="Z222" s="9" t="n"/>
      <c r="AA222" s="9" t="n"/>
      <c r="AB222" s="9" t="n"/>
      <c r="AC222" t="n">
        <v>112712.82</v>
      </c>
      <c r="AD222" s="9" t="n"/>
      <c r="AE222" s="9" t="n"/>
      <c r="AF222" s="9" t="n"/>
      <c r="AG222" s="13">
        <f>SUM(B222:AF222)</f>
        <v/>
      </c>
    </row>
    <row r="223" ht="15.75" customHeight="1">
      <c r="A223" s="15" t="inlineStr">
        <is>
          <t>TLC</t>
        </is>
      </c>
      <c r="B223" t="n">
        <v>8327.6</v>
      </c>
      <c r="C223" s="9" t="n"/>
      <c r="D223" s="12" t="n"/>
      <c r="E223" s="12" t="n"/>
      <c r="F223" s="9" t="n"/>
      <c r="G223" s="9" t="n"/>
      <c r="H223" s="26" t="n"/>
      <c r="I223" s="26" t="n"/>
      <c r="J223" s="9" t="n"/>
      <c r="K223" s="9" t="n"/>
      <c r="L223" s="12" t="n"/>
      <c r="M223" s="31" t="n"/>
      <c r="N223" s="26" t="n"/>
      <c r="O223" s="31" t="n"/>
      <c r="P223" s="31" t="n"/>
      <c r="Q223" s="26" t="n"/>
      <c r="R223" s="26" t="n"/>
      <c r="S223" s="31" t="n"/>
      <c r="T223" s="31" t="n">
        <v>2354.4</v>
      </c>
      <c r="U223" s="26" t="n"/>
      <c r="V223" s="26" t="n"/>
      <c r="W223" s="9" t="n"/>
      <c r="X223" s="9" t="n"/>
      <c r="Y223" s="9" t="n"/>
      <c r="Z223" s="9" t="n"/>
      <c r="AA223" s="9" t="n"/>
      <c r="AB223" s="9" t="n"/>
      <c r="AC223" s="12" t="n"/>
      <c r="AD223" s="9" t="n"/>
      <c r="AE223" s="9" t="n"/>
      <c r="AF223" s="9" t="n"/>
      <c r="AG223" s="13">
        <f>SUM(B223:AF223)</f>
        <v/>
      </c>
    </row>
    <row r="224" ht="15.75" customHeight="1">
      <c r="A224" s="15" t="inlineStr">
        <is>
          <t>HB SC</t>
        </is>
      </c>
      <c r="B224" s="16" t="n">
        <v>5233.430000000002</v>
      </c>
      <c r="C224" s="16" t="n">
        <v>0</v>
      </c>
      <c r="D224" s="16" t="n">
        <v>150</v>
      </c>
      <c r="E224" s="16" t="n">
        <v>6449.280000000001</v>
      </c>
      <c r="F224" s="16" t="n">
        <v>2446.62999999999</v>
      </c>
      <c r="G224" s="16" t="n">
        <v>1417.23</v>
      </c>
      <c r="H224" s="16" t="n">
        <v>2060.360000000001</v>
      </c>
      <c r="I224" s="16" t="n">
        <v>6214.099999999995</v>
      </c>
      <c r="J224" s="16" t="n">
        <v>0</v>
      </c>
      <c r="K224" s="16" t="n">
        <v>150</v>
      </c>
      <c r="L224" s="16" t="n">
        <v>4486.190000000001</v>
      </c>
      <c r="M224" s="16" t="n">
        <v>2927.190000000002</v>
      </c>
      <c r="N224" s="16" t="n">
        <v>2705.28</v>
      </c>
      <c r="O224" s="16" t="n">
        <v>3537.479999999996</v>
      </c>
      <c r="P224" s="16" t="n">
        <v>7365.200000000002</v>
      </c>
      <c r="Q224" s="16" t="n">
        <v>600</v>
      </c>
      <c r="R224" s="16" t="n">
        <v>150</v>
      </c>
      <c r="S224" s="16" t="n">
        <v>13711.35000000001</v>
      </c>
      <c r="T224" s="16" t="n">
        <v>3357.25</v>
      </c>
      <c r="U224" s="16" t="n">
        <v>811.9400000000001</v>
      </c>
      <c r="V224" s="16" t="n">
        <v>2377.119999999995</v>
      </c>
      <c r="W224" s="16" t="n">
        <v>2622.63</v>
      </c>
      <c r="X224" s="16" t="n">
        <v>0</v>
      </c>
      <c r="Y224" s="16" t="n">
        <v>0</v>
      </c>
      <c r="Z224" s="16" t="n">
        <v>9523.640000000005</v>
      </c>
      <c r="AA224" s="16" t="n">
        <v>4316.52</v>
      </c>
      <c r="AB224" s="16" t="n">
        <v>3270.02</v>
      </c>
      <c r="AC224" s="16" t="n">
        <v>8069.919999999996</v>
      </c>
      <c r="AD224" s="10" t="n">
        <v>0</v>
      </c>
      <c r="AE224" s="10" t="n">
        <v>0</v>
      </c>
      <c r="AF224" s="10" t="n">
        <v>0</v>
      </c>
      <c r="AG224" s="13">
        <f>SUM(B224:AF224)</f>
        <v/>
      </c>
    </row>
    <row r="225" ht="16.5" customHeight="1" thickBot="1">
      <c r="A225" s="15" t="inlineStr">
        <is>
          <t>Total</t>
        </is>
      </c>
      <c r="B225">
        <f>SUM(B207:B224)</f>
        <v/>
      </c>
      <c r="C225">
        <f>SUM(C207:C224)</f>
        <v/>
      </c>
      <c r="D225">
        <f>SUM(D207:D224)</f>
        <v/>
      </c>
      <c r="E225">
        <f>SUM(E207:E224)</f>
        <v/>
      </c>
      <c r="F225">
        <f>SUM(F207:F224)</f>
        <v/>
      </c>
      <c r="G225">
        <f>SUM(G207:G224)</f>
        <v/>
      </c>
      <c r="H225">
        <f>SUM(H207:H224)</f>
        <v/>
      </c>
      <c r="I225">
        <f>SUM(I207:I224)</f>
        <v/>
      </c>
      <c r="J225">
        <f>SUM(J207:J224)</f>
        <v/>
      </c>
      <c r="K225">
        <f>SUM(K207:K224)</f>
        <v/>
      </c>
      <c r="L225">
        <f>SUM(L207:L224)</f>
        <v/>
      </c>
      <c r="M225">
        <f>SUM(M207:M224)</f>
        <v/>
      </c>
      <c r="N225">
        <f>SUM(N207:N224)</f>
        <v/>
      </c>
      <c r="O225">
        <f>SUM(O207:O224)</f>
        <v/>
      </c>
      <c r="P225">
        <f>SUM(P207:P224)</f>
        <v/>
      </c>
      <c r="Q225">
        <f>SUM(Q207:Q224)</f>
        <v/>
      </c>
      <c r="R225">
        <f>SUM(R207:R224)</f>
        <v/>
      </c>
      <c r="S225">
        <f>SUM(S207:S224)</f>
        <v/>
      </c>
      <c r="T225">
        <f>SUM(T207:T224)</f>
        <v/>
      </c>
      <c r="U225">
        <f>SUM(U207:U224)</f>
        <v/>
      </c>
      <c r="V225">
        <f>SUM(V207:V224)</f>
        <v/>
      </c>
      <c r="W225">
        <f>SUM(W207:W224)</f>
        <v/>
      </c>
      <c r="X225">
        <f>SUM(X207:X224)</f>
        <v/>
      </c>
      <c r="Y225">
        <f>SUM(Y207:Y224)</f>
        <v/>
      </c>
      <c r="Z225">
        <f>SUM(Z207:Z224)</f>
        <v/>
      </c>
      <c r="AA225">
        <f>SUM(AA207:AA224)</f>
        <v/>
      </c>
      <c r="AB225">
        <f>SUM(AB207:AB224)</f>
        <v/>
      </c>
      <c r="AC225">
        <f>SUM(AC207:AC224)</f>
        <v/>
      </c>
      <c r="AD225">
        <f>SUM(AD207:AD224)</f>
        <v/>
      </c>
      <c r="AE225">
        <f>SUM(AE207:AE224)</f>
        <v/>
      </c>
      <c r="AG225" s="22">
        <f>SUM(AG207:AG224)</f>
        <v/>
      </c>
    </row>
    <row r="226" ht="15.75" customHeight="1" thickTop="1">
      <c r="A226" s="15" t="inlineStr">
        <is>
          <t>Ruunning Total</t>
        </is>
      </c>
      <c r="B226">
        <f>B225</f>
        <v/>
      </c>
      <c r="C226">
        <f>B226+C225</f>
        <v/>
      </c>
      <c r="D226">
        <f>C226+D225</f>
        <v/>
      </c>
      <c r="E226">
        <f>D226+E225</f>
        <v/>
      </c>
      <c r="F226">
        <f>E226+F225</f>
        <v/>
      </c>
      <c r="G226">
        <f>F226+G225</f>
        <v/>
      </c>
      <c r="H226">
        <f>G226+H225</f>
        <v/>
      </c>
      <c r="I226">
        <f>H226+I225</f>
        <v/>
      </c>
      <c r="J226">
        <f>I226+J225</f>
        <v/>
      </c>
      <c r="K226">
        <f>J226+K225</f>
        <v/>
      </c>
      <c r="L226">
        <f>K226+L225</f>
        <v/>
      </c>
      <c r="M226">
        <f>L226+M225</f>
        <v/>
      </c>
      <c r="N226">
        <f>M226+N225</f>
        <v/>
      </c>
      <c r="O226">
        <f>N226+O225</f>
        <v/>
      </c>
      <c r="P226">
        <f>O226+P225</f>
        <v/>
      </c>
      <c r="Q226">
        <f>P226+Q225</f>
        <v/>
      </c>
      <c r="R226">
        <f>Q226+R225</f>
        <v/>
      </c>
      <c r="S226">
        <f>R226+S225</f>
        <v/>
      </c>
      <c r="T226">
        <f>S226+T225</f>
        <v/>
      </c>
      <c r="U226">
        <f>T226+U225</f>
        <v/>
      </c>
      <c r="V226">
        <f>U226+V225</f>
        <v/>
      </c>
      <c r="W226">
        <f>V226+W225</f>
        <v/>
      </c>
      <c r="X226">
        <f>W226+X225</f>
        <v/>
      </c>
      <c r="Y226">
        <f>X226+Y225</f>
        <v/>
      </c>
      <c r="Z226">
        <f>Y226+Z225</f>
        <v/>
      </c>
      <c r="AA226">
        <f>Z226+AA225</f>
        <v/>
      </c>
      <c r="AB226">
        <f>AA226+AB225</f>
        <v/>
      </c>
      <c r="AC226">
        <f>AB226+AC225</f>
        <v/>
      </c>
      <c r="AD226">
        <f>AC226+AD225</f>
        <v/>
      </c>
      <c r="AE226">
        <f>AD226+AE225</f>
        <v/>
      </c>
    </row>
    <row r="229">
      <c r="A229" s="1" t="n"/>
      <c r="B229" s="2" t="inlineStr">
        <is>
          <t>Apr</t>
        </is>
      </c>
      <c r="C229" s="2" t="n"/>
      <c r="D229" s="2" t="n"/>
      <c r="E229" s="2" t="n"/>
      <c r="F229" s="2" t="n"/>
      <c r="G229" s="2" t="n"/>
      <c r="H229" s="2" t="n"/>
      <c r="I229" s="2" t="n"/>
      <c r="J229" s="2" t="n"/>
      <c r="K229" s="2" t="n"/>
      <c r="L229" s="2" t="n"/>
      <c r="M229" s="2" t="n"/>
      <c r="N229" s="2" t="n"/>
      <c r="O229" s="2" t="n"/>
      <c r="P229" s="2" t="n"/>
      <c r="Q229" s="2" t="n"/>
      <c r="R229" s="2" t="n"/>
      <c r="S229" s="2" t="n"/>
      <c r="T229" s="2" t="n"/>
      <c r="U229" s="2" t="n"/>
      <c r="V229" s="2" t="n"/>
      <c r="W229" s="2" t="n"/>
      <c r="X229" s="2" t="n"/>
      <c r="Y229" s="2" t="n"/>
      <c r="Z229" s="2" t="n"/>
      <c r="AA229" s="2" t="n"/>
      <c r="AB229" s="2" t="n"/>
      <c r="AC229" s="2" t="n"/>
      <c r="AD229" s="2" t="n"/>
      <c r="AE229" s="1" t="n"/>
      <c r="AF229" s="1" t="n"/>
      <c r="AG229" s="1" t="n"/>
    </row>
    <row r="230">
      <c r="A230" s="1" t="n"/>
      <c r="B230" s="2" t="inlineStr">
        <is>
          <t>Monday</t>
        </is>
      </c>
      <c r="C230" s="2" t="inlineStr">
        <is>
          <t>Tuesday</t>
        </is>
      </c>
      <c r="D230" s="2" t="inlineStr">
        <is>
          <t>Wednesday</t>
        </is>
      </c>
      <c r="E230" s="2" t="inlineStr">
        <is>
          <t>Thursday</t>
        </is>
      </c>
      <c r="F230" s="2" t="inlineStr">
        <is>
          <t>Friday</t>
        </is>
      </c>
      <c r="G230" s="2" t="inlineStr">
        <is>
          <t>Saturday</t>
        </is>
      </c>
      <c r="H230" s="2" t="inlineStr">
        <is>
          <t>Sunday</t>
        </is>
      </c>
      <c r="I230" s="2" t="inlineStr">
        <is>
          <t>Monday</t>
        </is>
      </c>
      <c r="J230" s="2" t="inlineStr">
        <is>
          <t>Tuesday</t>
        </is>
      </c>
      <c r="K230" s="2" t="inlineStr">
        <is>
          <t>Wednesday</t>
        </is>
      </c>
      <c r="L230" s="2" t="inlineStr">
        <is>
          <t>Thursday</t>
        </is>
      </c>
      <c r="M230" s="2" t="inlineStr">
        <is>
          <t>Friday</t>
        </is>
      </c>
      <c r="N230" s="2" t="inlineStr">
        <is>
          <t>Saturday</t>
        </is>
      </c>
      <c r="O230" s="2" t="inlineStr">
        <is>
          <t>Sunday</t>
        </is>
      </c>
      <c r="P230" s="2" t="inlineStr">
        <is>
          <t>Monday</t>
        </is>
      </c>
      <c r="Q230" s="2" t="inlineStr">
        <is>
          <t>Tuesday</t>
        </is>
      </c>
      <c r="R230" s="2" t="inlineStr">
        <is>
          <t>Wednesday</t>
        </is>
      </c>
      <c r="S230" s="2" t="inlineStr">
        <is>
          <t>Thursday</t>
        </is>
      </c>
      <c r="T230" s="2" t="inlineStr">
        <is>
          <t>Friday</t>
        </is>
      </c>
      <c r="U230" s="2" t="inlineStr">
        <is>
          <t>Saturday</t>
        </is>
      </c>
      <c r="V230" s="2" t="inlineStr">
        <is>
          <t>Sunday</t>
        </is>
      </c>
      <c r="W230" s="2" t="inlineStr">
        <is>
          <t>Monday</t>
        </is>
      </c>
      <c r="X230" s="2" t="inlineStr">
        <is>
          <t>Tuesday</t>
        </is>
      </c>
      <c r="Y230" s="2" t="inlineStr">
        <is>
          <t>Wednesday</t>
        </is>
      </c>
      <c r="Z230" s="2" t="inlineStr">
        <is>
          <t>Thursday</t>
        </is>
      </c>
      <c r="AA230" s="2" t="inlineStr">
        <is>
          <t>Friday</t>
        </is>
      </c>
      <c r="AB230" s="2" t="inlineStr">
        <is>
          <t>Saturday</t>
        </is>
      </c>
      <c r="AC230" s="2" t="inlineStr">
        <is>
          <t>Sunday</t>
        </is>
      </c>
      <c r="AD230" s="2" t="inlineStr">
        <is>
          <t>Monday</t>
        </is>
      </c>
      <c r="AE230" s="2" t="inlineStr">
        <is>
          <t>Tuesday</t>
        </is>
      </c>
      <c r="AF230" s="2" t="n"/>
      <c r="AG230" s="2" t="inlineStr">
        <is>
          <t>Total</t>
        </is>
      </c>
    </row>
    <row r="231">
      <c r="A231" s="1" t="inlineStr">
        <is>
          <t>April</t>
        </is>
      </c>
      <c r="B231" s="3" t="inlineStr">
        <is>
          <t>1st</t>
        </is>
      </c>
      <c r="C231" s="3" t="inlineStr">
        <is>
          <t>2nd</t>
        </is>
      </c>
      <c r="D231" s="3" t="inlineStr">
        <is>
          <t>3rd</t>
        </is>
      </c>
      <c r="E231" s="3" t="inlineStr">
        <is>
          <t>4th</t>
        </is>
      </c>
      <c r="F231" s="3" t="inlineStr">
        <is>
          <t>5th</t>
        </is>
      </c>
      <c r="G231" s="3" t="inlineStr">
        <is>
          <t>6th</t>
        </is>
      </c>
      <c r="H231" s="3" t="inlineStr">
        <is>
          <t>7th</t>
        </is>
      </c>
      <c r="I231" s="4" t="inlineStr">
        <is>
          <t>8th</t>
        </is>
      </c>
      <c r="J231" s="4" t="inlineStr">
        <is>
          <t>9th</t>
        </is>
      </c>
      <c r="K231" s="4" t="inlineStr">
        <is>
          <t>10th</t>
        </is>
      </c>
      <c r="L231" s="4" t="inlineStr">
        <is>
          <t>11th</t>
        </is>
      </c>
      <c r="M231" s="4" t="inlineStr">
        <is>
          <t>12th</t>
        </is>
      </c>
      <c r="N231" s="4" t="inlineStr">
        <is>
          <t>13th</t>
        </is>
      </c>
      <c r="O231" s="4" t="inlineStr">
        <is>
          <t>14th</t>
        </is>
      </c>
      <c r="P231" s="5" t="inlineStr">
        <is>
          <t>15th</t>
        </is>
      </c>
      <c r="Q231" s="5" t="inlineStr">
        <is>
          <t>16th</t>
        </is>
      </c>
      <c r="R231" s="5" t="inlineStr">
        <is>
          <t>17th</t>
        </is>
      </c>
      <c r="S231" s="5" t="inlineStr">
        <is>
          <t>18th</t>
        </is>
      </c>
      <c r="T231" s="5" t="inlineStr">
        <is>
          <t>19th</t>
        </is>
      </c>
      <c r="U231" s="5" t="inlineStr">
        <is>
          <t>20th</t>
        </is>
      </c>
      <c r="V231" s="5" t="inlineStr">
        <is>
          <t>21st</t>
        </is>
      </c>
      <c r="W231" s="6" t="inlineStr">
        <is>
          <t>22nd</t>
        </is>
      </c>
      <c r="X231" s="6" t="inlineStr">
        <is>
          <t>23rd</t>
        </is>
      </c>
      <c r="Y231" s="6" t="inlineStr">
        <is>
          <t>24th</t>
        </is>
      </c>
      <c r="Z231" s="6" t="inlineStr">
        <is>
          <t>25th</t>
        </is>
      </c>
      <c r="AA231" s="6" t="inlineStr">
        <is>
          <t>26th</t>
        </is>
      </c>
      <c r="AB231" s="6" t="inlineStr">
        <is>
          <t>27th</t>
        </is>
      </c>
      <c r="AC231" s="6" t="inlineStr">
        <is>
          <t>28th</t>
        </is>
      </c>
      <c r="AD231" s="7" t="inlineStr">
        <is>
          <t>29th</t>
        </is>
      </c>
      <c r="AE231" s="7" t="inlineStr">
        <is>
          <t>30th</t>
        </is>
      </c>
      <c r="AF231" s="7" t="n"/>
      <c r="AG231" s="1" t="n"/>
    </row>
    <row r="232" ht="18.75" customHeight="1">
      <c r="A232" s="8" t="inlineStr">
        <is>
          <t>B-HAM CITY COUNCIL-200790-70489166</t>
        </is>
      </c>
      <c r="B232" s="72" t="n"/>
      <c r="C232" s="26" t="n"/>
      <c r="D232" s="31" t="n"/>
      <c r="E232" s="31" t="n"/>
      <c r="F232" s="31" t="n"/>
      <c r="G232" s="31" t="n"/>
      <c r="H232" s="26" t="n"/>
      <c r="I232" s="31" t="n"/>
      <c r="J232" s="31" t="n"/>
      <c r="K232" s="12" t="n"/>
      <c r="L232" s="9" t="n"/>
      <c r="M232" t="n">
        <v>5085.24</v>
      </c>
      <c r="N232" s="12" t="n"/>
      <c r="O232" s="12" t="n"/>
      <c r="P232" s="12" t="n"/>
      <c r="Q232" s="12" t="n"/>
      <c r="R232" s="12" t="n"/>
      <c r="S232" s="10" t="n"/>
      <c r="T232" s="31" t="n"/>
      <c r="U232" s="31" t="n"/>
      <c r="V232" s="31" t="n"/>
      <c r="W232" s="16" t="n">
        <v>66705.44</v>
      </c>
      <c r="X232" s="76" t="n"/>
      <c r="Y232" s="9" t="n"/>
      <c r="Z232" s="31" t="n"/>
      <c r="AB232" s="9" t="n"/>
      <c r="AE232" s="12" t="n"/>
      <c r="AF232" s="12" t="n"/>
      <c r="AG232" s="13">
        <f>SUM(B232:AF232)</f>
        <v/>
      </c>
    </row>
    <row r="233" ht="18.75" customHeight="1">
      <c r="A233" s="8" t="inlineStr">
        <is>
          <t>Accord/Age uk</t>
        </is>
      </c>
      <c r="B233" s="31" t="n"/>
      <c r="C233" s="31" t="n"/>
      <c r="D233" s="31" t="n"/>
      <c r="E233" s="31" t="n"/>
      <c r="F233" s="31" t="n"/>
      <c r="G233" s="31" t="n"/>
      <c r="H233" s="26" t="n"/>
      <c r="I233" s="76" t="n"/>
      <c r="J233" s="26" t="n"/>
      <c r="K233" s="12" t="n"/>
      <c r="L233" s="9" t="n"/>
      <c r="M233" s="12" t="n"/>
      <c r="N233" s="12" t="n"/>
      <c r="O233" s="12" t="n"/>
      <c r="P233" s="12" t="n"/>
      <c r="Q233" s="9" t="n"/>
      <c r="R233" s="9" t="n"/>
      <c r="S233" s="12" t="n"/>
      <c r="T233" s="31" t="n"/>
      <c r="U233" s="76" t="n"/>
      <c r="V233" s="31" t="n"/>
      <c r="W233" s="76" t="n"/>
      <c r="X233" s="26" t="n"/>
      <c r="Y233" s="9" t="n"/>
      <c r="Z233" s="26" t="n"/>
      <c r="AA233" s="12" t="n"/>
      <c r="AB233" s="9" t="n"/>
      <c r="AC233" s="9" t="n"/>
      <c r="AD233" s="9" t="n"/>
      <c r="AE233" s="9" t="n"/>
      <c r="AF233" s="9" t="n"/>
      <c r="AG233" s="13">
        <f>SUM(B233:AF233)</f>
        <v/>
      </c>
    </row>
    <row r="234" ht="15.75" customHeight="1">
      <c r="A234" s="8" t="inlineStr">
        <is>
          <t>Buckingham</t>
        </is>
      </c>
      <c r="B234" s="31" t="n"/>
      <c r="C234" s="26" t="n"/>
      <c r="D234" s="26" t="n"/>
      <c r="E234" s="26" t="n"/>
      <c r="F234" s="26" t="n"/>
      <c r="G234" s="26" t="n"/>
      <c r="H234" s="26" t="n"/>
      <c r="I234" s="26" t="n"/>
      <c r="J234" s="26" t="n"/>
      <c r="K234" s="26" t="n"/>
      <c r="L234" s="26" t="n"/>
      <c r="N234" s="9" t="n"/>
      <c r="O234" s="9" t="n"/>
      <c r="P234" s="9" t="n"/>
      <c r="Q234" s="9" t="n"/>
      <c r="T234" s="31" t="n"/>
      <c r="U234" s="26" t="n"/>
      <c r="V234" s="26" t="n"/>
      <c r="W234" s="26" t="n"/>
      <c r="X234" s="26" t="n"/>
      <c r="Y234" s="9" t="n"/>
      <c r="Z234" s="26" t="n"/>
      <c r="AA234" s="9" t="n"/>
      <c r="AB234" s="9" t="n"/>
      <c r="AC234" s="9" t="n"/>
      <c r="AD234" s="12" t="n"/>
      <c r="AE234" s="9" t="n"/>
      <c r="AF234" s="9" t="n"/>
      <c r="AG234" s="13">
        <f>SUM(B234:AF234)</f>
        <v/>
      </c>
    </row>
    <row r="235" ht="15.75" customHeight="1">
      <c r="A235" s="8" t="inlineStr">
        <is>
          <t>Sandwell respite est</t>
        </is>
      </c>
      <c r="B235" s="26" t="n"/>
      <c r="C235" s="26" t="n"/>
      <c r="D235" s="26" t="n">
        <v>3046.4</v>
      </c>
      <c r="E235" s="31" t="n"/>
      <c r="F235" s="26" t="n"/>
      <c r="G235" s="26" t="n"/>
      <c r="H235" s="26" t="n"/>
      <c r="I235" s="26" t="n"/>
      <c r="J235" s="26" t="n"/>
      <c r="K235" s="26" t="n"/>
      <c r="L235" s="26" t="n"/>
      <c r="M235" s="9" t="n"/>
      <c r="N235" s="9" t="n"/>
      <c r="O235" s="9" t="n"/>
      <c r="P235" s="9" t="n"/>
      <c r="Q235" s="26" t="n"/>
      <c r="R235" s="26" t="n">
        <v>10461</v>
      </c>
      <c r="T235" s="26" t="n"/>
      <c r="U235" s="26" t="n"/>
      <c r="V235" s="26" t="n"/>
      <c r="W235" s="26" t="n"/>
      <c r="X235" s="26" t="n"/>
      <c r="Y235" s="9" t="n"/>
      <c r="Z235" s="26" t="n"/>
      <c r="AA235" t="n">
        <v>3264</v>
      </c>
      <c r="AB235" s="26" t="n"/>
      <c r="AC235" s="26" t="n"/>
      <c r="AD235" s="26" t="n"/>
      <c r="AE235" s="9" t="n"/>
      <c r="AF235" s="9" t="n"/>
      <c r="AG235" s="13">
        <f>SUM(B235:AF235)</f>
        <v/>
      </c>
    </row>
    <row r="236" ht="15.75" customHeight="1">
      <c r="A236" s="8" t="inlineStr">
        <is>
          <t xml:space="preserve">Wolverhampton respite est </t>
        </is>
      </c>
      <c r="B236" s="26" t="n"/>
      <c r="C236" s="26" t="n"/>
      <c r="D236" s="26" t="n"/>
      <c r="E236" s="31" t="n"/>
      <c r="F236" s="26" t="n"/>
      <c r="G236" s="26" t="n"/>
      <c r="H236" s="26" t="n"/>
      <c r="I236" s="26" t="n"/>
      <c r="J236" s="26" t="n"/>
      <c r="K236" s="26" t="n"/>
      <c r="L236" s="26" t="n">
        <v>9188.360000000001</v>
      </c>
      <c r="M236" s="9" t="n"/>
      <c r="N236" s="9" t="n"/>
      <c r="O236" s="9" t="n"/>
      <c r="P236" s="9" t="n"/>
      <c r="Q236" s="26" t="n"/>
      <c r="R236" s="26" t="n"/>
      <c r="S236" s="16" t="n">
        <v>6710.38</v>
      </c>
      <c r="T236" s="26" t="n"/>
      <c r="U236" s="26" t="n"/>
      <c r="V236" s="26" t="n"/>
      <c r="W236" s="26" t="n"/>
      <c r="X236" s="26" t="n"/>
      <c r="Y236" s="26" t="n"/>
      <c r="Z236" s="26" t="n">
        <v>6710.4</v>
      </c>
      <c r="AA236" s="9" t="n"/>
      <c r="AB236" s="26" t="n"/>
      <c r="AC236" s="26" t="n"/>
      <c r="AD236" s="26" t="n">
        <v>1501.6</v>
      </c>
      <c r="AE236" s="9" t="n"/>
      <c r="AF236" s="10" t="n"/>
      <c r="AG236" s="13">
        <f>SUM(B236:AF236)</f>
        <v/>
      </c>
    </row>
    <row r="237" ht="15.75" customHeight="1">
      <c r="A237" s="8" t="inlineStr">
        <is>
          <t>Walsall Respite</t>
        </is>
      </c>
      <c r="B237" s="26" t="n"/>
      <c r="C237" s="26" t="n"/>
      <c r="D237" s="26" t="n"/>
      <c r="E237" s="31" t="n"/>
      <c r="F237" s="26" t="n"/>
      <c r="G237" s="31" t="n"/>
      <c r="H237" s="26" t="n"/>
      <c r="I237" s="26" t="n"/>
      <c r="J237" s="26" t="n">
        <v>14714</v>
      </c>
      <c r="K237" s="26" t="n"/>
      <c r="L237" s="31" t="n"/>
      <c r="M237" s="9" t="n"/>
      <c r="N237" s="9" t="n"/>
      <c r="O237" s="9" t="n"/>
      <c r="P237" s="9" t="n"/>
      <c r="Q237" s="26" t="n"/>
      <c r="R237" s="26" t="n"/>
      <c r="S237" s="26" t="n"/>
      <c r="T237" s="31" t="n">
        <v>3014.56</v>
      </c>
      <c r="U237" s="26" t="n"/>
      <c r="V237" s="26" t="n"/>
      <c r="W237" s="26" t="n"/>
      <c r="X237" s="26" t="n"/>
      <c r="Y237" s="26" t="n"/>
      <c r="Z237" s="26" t="n"/>
      <c r="AA237" s="9" t="n"/>
      <c r="AB237" s="26" t="n"/>
      <c r="AC237" s="26" t="n"/>
      <c r="AD237" s="26" t="n"/>
      <c r="AE237" s="9" t="n"/>
      <c r="AF237" s="9" t="n"/>
      <c r="AG237" s="13">
        <f>SUM(B237:AF237)</f>
        <v/>
      </c>
    </row>
    <row r="238" ht="18.75" customHeight="1">
      <c r="A238" s="8" t="inlineStr">
        <is>
          <t>Ideal for All Ltd</t>
        </is>
      </c>
      <c r="B238" s="26" t="n"/>
      <c r="C238" s="31" t="n"/>
      <c r="D238" s="31" t="n"/>
      <c r="E238" s="31" t="n"/>
      <c r="F238" s="31" t="n"/>
      <c r="G238" s="76" t="n"/>
      <c r="H238" s="31" t="n"/>
      <c r="I238" s="76" t="n"/>
      <c r="J238" s="31" t="n"/>
      <c r="K238" s="31" t="n"/>
      <c r="L238" s="31" t="n"/>
      <c r="M238" t="n">
        <v>2516.8</v>
      </c>
      <c r="N238" s="9" t="n"/>
      <c r="Q238" s="31" t="n"/>
      <c r="R238" s="76" t="n"/>
      <c r="S238" s="31" t="n"/>
      <c r="T238" s="26" t="n"/>
      <c r="U238" s="26" t="n"/>
      <c r="V238" s="26" t="n"/>
      <c r="W238" s="31" t="n"/>
      <c r="X238" s="26" t="n"/>
      <c r="Y238" s="31" t="n"/>
      <c r="Z238" s="26" t="n"/>
      <c r="AA238" s="12" t="n"/>
      <c r="AB238" s="26" t="n"/>
      <c r="AC238" s="26" t="n"/>
      <c r="AD238" s="31" t="n">
        <v>3661.88</v>
      </c>
      <c r="AE238" s="11" t="n"/>
      <c r="AF238" s="9" t="n"/>
      <c r="AG238" s="13">
        <f>SUM(B238:AF238)</f>
        <v/>
      </c>
    </row>
    <row r="239" ht="15.75" customHeight="1">
      <c r="A239" s="8" t="inlineStr">
        <is>
          <t>KIRKLEES COUNCIL-204312-63046958</t>
        </is>
      </c>
      <c r="B239" s="26" t="n"/>
      <c r="C239" s="26" t="n"/>
      <c r="D239" s="26" t="n"/>
      <c r="E239" s="31" t="n"/>
      <c r="F239" s="31" t="n"/>
      <c r="G239" s="31" t="n"/>
      <c r="H239" s="26" t="n"/>
      <c r="I239" s="26" t="n"/>
      <c r="J239" s="31" t="n"/>
      <c r="K239" s="31" t="n"/>
      <c r="L239" s="26" t="n"/>
      <c r="M239" s="12" t="n"/>
      <c r="N239" s="9" t="n"/>
      <c r="O239" s="9" t="n"/>
      <c r="P239" s="12" t="n"/>
      <c r="Q239" s="26" t="n"/>
      <c r="R239" s="31" t="n"/>
      <c r="S239" s="26" t="n"/>
      <c r="T239" s="26" t="n"/>
      <c r="U239" s="26" t="n"/>
      <c r="V239" s="26" t="n"/>
      <c r="W239" s="31" t="n"/>
      <c r="X239" s="31" t="n"/>
      <c r="Y239" s="31" t="n"/>
      <c r="Z239" s="31" t="n"/>
      <c r="AB239" s="26" t="n"/>
      <c r="AC239" s="26" t="n"/>
      <c r="AD239" s="31" t="n"/>
      <c r="AE239" s="12" t="inlineStr">
        <is>
          <t> </t>
        </is>
      </c>
      <c r="AF239" s="12" t="n"/>
      <c r="AG239" s="13">
        <f>SUM(B239:AF239)</f>
        <v/>
      </c>
    </row>
    <row r="240" ht="15.75" customHeight="1">
      <c r="A240" s="8" t="inlineStr">
        <is>
          <t>LBH PAYMENTS BACS-602210-72430192</t>
        </is>
      </c>
      <c r="B240" s="26" t="n"/>
      <c r="C240" s="26" t="n"/>
      <c r="D240" s="26" t="n"/>
      <c r="E240" s="31" t="n"/>
      <c r="F240" s="26" t="n"/>
      <c r="G240" s="26" t="n"/>
      <c r="H240" s="26" t="n"/>
      <c r="I240" s="26" t="n"/>
      <c r="J240" s="26" t="n"/>
      <c r="K240" s="26" t="n"/>
      <c r="L240" s="26" t="n"/>
      <c r="M240" s="12" t="n"/>
      <c r="N240" s="9" t="n"/>
      <c r="O240" s="9" t="n"/>
      <c r="P240" s="9" t="n"/>
      <c r="Q240" s="26" t="n"/>
      <c r="R240" s="26" t="n"/>
      <c r="S240" s="31" t="n"/>
      <c r="T240" s="26" t="n"/>
      <c r="U240" s="26" t="n"/>
      <c r="V240" s="26" t="n"/>
      <c r="W240" s="31" t="n"/>
      <c r="X240" s="26" t="n"/>
      <c r="Y240" s="26" t="n">
        <v>5040</v>
      </c>
      <c r="Z240" s="26" t="n"/>
      <c r="AB240" s="26" t="n"/>
      <c r="AC240" s="26" t="n"/>
      <c r="AD240" s="26" t="n"/>
      <c r="AE240" s="9" t="n"/>
      <c r="AF240" s="9" t="n"/>
      <c r="AG240" s="13">
        <f>SUM(B240:AF240)</f>
        <v/>
      </c>
    </row>
    <row r="241" ht="15.75" customHeight="1">
      <c r="A241" s="8" t="inlineStr">
        <is>
          <t>NHS BIRMINGHAM &amp; S-607080-10017097</t>
        </is>
      </c>
      <c r="B241" s="26" t="n"/>
      <c r="C241" s="26" t="n"/>
      <c r="D241" s="31" t="n"/>
      <c r="E241" s="31" t="n"/>
      <c r="F241" s="31" t="n"/>
      <c r="G241" s="26" t="inlineStr"/>
      <c r="H241" s="26" t="inlineStr"/>
      <c r="I241" s="31" t="n"/>
      <c r="J241" s="31" t="n"/>
      <c r="K241" s="31" t="n">
        <v>7121.63</v>
      </c>
      <c r="L241" s="31" t="n"/>
      <c r="M241" s="12" t="n"/>
      <c r="N241" s="12" t="n"/>
      <c r="O241" s="12" t="n"/>
      <c r="P241" s="12" t="n"/>
      <c r="Q241" s="26" t="inlineStr"/>
      <c r="R241" s="26" t="n"/>
      <c r="S241" s="26" t="n"/>
      <c r="T241" s="26" t="n"/>
      <c r="U241" s="26" t="n"/>
      <c r="V241" s="26" t="n"/>
      <c r="W241" s="26" t="n"/>
      <c r="X241" s="26" t="n"/>
      <c r="Y241" s="26" t="n"/>
      <c r="Z241" s="26" t="n"/>
      <c r="AA241" s="9" t="n"/>
      <c r="AB241" s="26" t="n"/>
      <c r="AC241" s="26" t="n"/>
      <c r="AD241" s="26" t="n"/>
      <c r="AE241" s="9" t="n"/>
      <c r="AF241" s="9" t="n"/>
      <c r="AG241" s="13">
        <f>SUM(B241:AF241)</f>
        <v/>
      </c>
    </row>
    <row r="242" ht="15.75" customHeight="1">
      <c r="A242" s="8" t="inlineStr">
        <is>
          <t>NHS BLACK COUNTRY-607080-10015272</t>
        </is>
      </c>
      <c r="B242" s="26" t="n"/>
      <c r="C242" s="26" t="n"/>
      <c r="D242" s="26" t="n"/>
      <c r="E242" s="31" t="n"/>
      <c r="F242" s="75" t="n"/>
      <c r="G242" s="26" t="inlineStr"/>
      <c r="H242" s="26" t="inlineStr"/>
      <c r="I242" s="31" t="n"/>
      <c r="J242" s="31" t="n"/>
      <c r="K242" s="26" t="n"/>
      <c r="L242" s="26" t="inlineStr"/>
      <c r="N242" s="9" t="inlineStr"/>
      <c r="O242" s="9" t="inlineStr"/>
      <c r="P242" t="n">
        <v>13185.64</v>
      </c>
      <c r="Q242" s="31" t="n"/>
      <c r="R242" s="26" t="n"/>
      <c r="S242" s="26" t="n"/>
      <c r="T242" s="26" t="n"/>
      <c r="U242" s="26" t="n"/>
      <c r="V242" s="31" t="n"/>
      <c r="W242" s="26" t="n"/>
      <c r="X242" s="26" t="n"/>
      <c r="Y242" s="26" t="n"/>
      <c r="Z242" s="26" t="n"/>
      <c r="AA242" s="9" t="n"/>
      <c r="AB242" s="26" t="n"/>
      <c r="AC242" s="26" t="n"/>
      <c r="AD242" s="31" t="n">
        <v>8073.21</v>
      </c>
      <c r="AE242" s="9" t="n"/>
      <c r="AF242" s="9" t="n"/>
      <c r="AG242" s="13">
        <f>SUM(B242:AF242)</f>
        <v/>
      </c>
    </row>
    <row r="243" ht="15.75" customHeight="1">
      <c r="A243" s="14" t="inlineStr">
        <is>
          <t>SANDWELL MBC  BEN-601539-69624151</t>
        </is>
      </c>
      <c r="B243" s="26" t="n"/>
      <c r="C243" s="31" t="n"/>
      <c r="D243" s="26" t="n"/>
      <c r="E243" s="31" t="n"/>
      <c r="F243" s="26" t="n"/>
      <c r="G243" s="26" t="n"/>
      <c r="H243" s="26" t="n"/>
      <c r="I243" s="26" t="n"/>
      <c r="J243" s="26" t="n"/>
      <c r="K243" s="26" t="n"/>
      <c r="L243" s="26" t="n"/>
      <c r="M243" s="9" t="n"/>
      <c r="N243" s="9" t="n"/>
      <c r="O243" s="12" t="n"/>
      <c r="P243" s="9" t="n"/>
      <c r="Q243" s="26" t="n"/>
      <c r="R243" s="26" t="n"/>
      <c r="S243" s="26" t="n"/>
      <c r="T243" s="26" t="n"/>
      <c r="U243" s="26" t="n"/>
      <c r="V243" s="26" t="n"/>
      <c r="W243" s="26" t="n"/>
      <c r="X243" s="26" t="n"/>
      <c r="Y243" s="31" t="n"/>
      <c r="Z243" s="26" t="n"/>
      <c r="AA243" s="9" t="n"/>
      <c r="AB243" s="26" t="n"/>
      <c r="AC243" s="26" t="n"/>
      <c r="AD243" s="31" t="n">
        <v>3040</v>
      </c>
      <c r="AE243" s="9" t="n"/>
      <c r="AF243" s="9" t="n"/>
      <c r="AG243" s="13">
        <f>SUM(B243:AF243)</f>
        <v/>
      </c>
    </row>
    <row r="244" ht="15.75" customHeight="1">
      <c r="A244" s="14" t="inlineStr">
        <is>
          <t>SANDWELL MBC-601539-69624135</t>
        </is>
      </c>
      <c r="B244" s="26" t="n"/>
      <c r="C244" s="31" t="n"/>
      <c r="D244" s="26" t="n">
        <v>127488.96</v>
      </c>
      <c r="E244" s="31" t="n"/>
      <c r="F244" s="26" t="n"/>
      <c r="G244" s="26" t="n"/>
      <c r="H244" s="26" t="n"/>
      <c r="I244" s="26" t="n"/>
      <c r="J244" s="26" t="n"/>
      <c r="K244" s="26" t="n"/>
      <c r="L244" s="26" t="n"/>
      <c r="M244" s="9" t="n"/>
      <c r="N244" s="9" t="n"/>
      <c r="O244" s="9" t="n"/>
      <c r="P244" t="n">
        <v>120054.72</v>
      </c>
      <c r="Q244" s="26" t="n"/>
      <c r="R244" s="26" t="n"/>
      <c r="S244" s="26" t="n"/>
      <c r="T244" s="26" t="n"/>
      <c r="U244" s="26" t="n"/>
      <c r="V244" s="26" t="n"/>
      <c r="W244" s="26" t="n"/>
      <c r="X244" s="26" t="n"/>
      <c r="Y244" s="26" t="n"/>
      <c r="Z244" s="26" t="n"/>
      <c r="AA244" s="9" t="n"/>
      <c r="AB244" s="26" t="n"/>
      <c r="AC244" s="26" t="n"/>
      <c r="AD244" s="31" t="n"/>
      <c r="AE244" s="9" t="n"/>
      <c r="AF244" s="9" t="n"/>
      <c r="AG244" s="13">
        <f>SUM(B244:AF244)</f>
        <v/>
      </c>
    </row>
    <row r="245" ht="15.75" customHeight="1">
      <c r="A245" s="15" t="inlineStr">
        <is>
          <t>SOLIHULL MBC EXP.-200771-00561525</t>
        </is>
      </c>
      <c r="B245" s="26" t="n"/>
      <c r="C245" s="26" t="n"/>
      <c r="D245" s="26" t="n"/>
      <c r="E245" s="26" t="n"/>
      <c r="F245" s="26" t="n"/>
      <c r="G245" s="26" t="n"/>
      <c r="H245" s="26" t="n"/>
      <c r="I245" s="26" t="n"/>
      <c r="J245" s="26" t="n"/>
      <c r="K245" s="26" t="n"/>
      <c r="L245" s="26" t="n"/>
      <c r="M245" s="9" t="n"/>
      <c r="N245" s="9" t="n"/>
      <c r="O245" s="9" t="n"/>
      <c r="P245" s="9" t="n"/>
      <c r="Q245" s="26" t="n"/>
      <c r="R245" s="31" t="n"/>
      <c r="S245" s="26" t="n"/>
      <c r="T245" s="26" t="n"/>
      <c r="U245" s="26" t="n"/>
      <c r="V245" s="26" t="n"/>
      <c r="W245" s="31" t="n">
        <v>31005.52</v>
      </c>
      <c r="X245" s="26" t="n"/>
      <c r="Y245" s="26" t="n"/>
      <c r="Z245" s="26" t="n"/>
      <c r="AA245" s="9" t="n"/>
      <c r="AB245" s="26" t="n"/>
      <c r="AC245" s="26" t="n"/>
      <c r="AD245" s="26" t="n"/>
      <c r="AE245" s="9" t="n"/>
      <c r="AF245" s="9" t="n"/>
      <c r="AG245" s="13">
        <f>SUM(B245:AF245)</f>
        <v/>
      </c>
    </row>
    <row r="246" ht="15.75" customHeight="1">
      <c r="A246" s="15" t="inlineStr">
        <is>
          <t>WALSALL MBC BARC-209073-10731692</t>
        </is>
      </c>
      <c r="B246" s="26" t="n"/>
      <c r="C246" s="26" t="n"/>
      <c r="D246" s="26" t="n"/>
      <c r="E246" s="26" t="n"/>
      <c r="F246" s="26" t="n"/>
      <c r="G246" s="31" t="n"/>
      <c r="H246" s="26" t="n"/>
      <c r="I246" s="26" t="n"/>
      <c r="J246" s="26" t="n">
        <v>170895.24</v>
      </c>
      <c r="K246" s="26" t="n"/>
      <c r="L246" s="26" t="n"/>
      <c r="M246" s="9" t="n"/>
      <c r="N246" s="9" t="n"/>
      <c r="O246" s="9" t="n"/>
      <c r="P246" s="9" t="n"/>
      <c r="Q246" s="26" t="n"/>
      <c r="R246" s="26" t="n"/>
      <c r="S246" s="26" t="n"/>
      <c r="T246" s="26" t="n"/>
      <c r="U246" s="26" t="n"/>
      <c r="V246" s="26" t="n"/>
      <c r="W246" s="26" t="n"/>
      <c r="X246" s="26" t="n"/>
      <c r="Y246" s="26" t="n"/>
      <c r="Z246" s="26" t="n"/>
      <c r="AA246" s="9" t="n"/>
      <c r="AB246" s="26" t="n"/>
      <c r="AC246" s="26" t="n"/>
      <c r="AD246" s="26">
        <f>11780-AD236</f>
        <v/>
      </c>
      <c r="AE246" s="9" t="n"/>
      <c r="AF246" s="9" t="n"/>
      <c r="AG246" s="13">
        <f>SUM(B246:AF246)</f>
        <v/>
      </c>
    </row>
    <row r="247" ht="15.75" customHeight="1">
      <c r="A247" s="15" t="inlineStr">
        <is>
          <t>WOLVERHAMPTON CC-560069-44470320</t>
        </is>
      </c>
      <c r="B247" s="26" t="n"/>
      <c r="C247" s="26" t="n"/>
      <c r="D247" s="26" t="n"/>
      <c r="E247" s="31" t="n"/>
      <c r="F247" s="16" t="n">
        <v>123811.6</v>
      </c>
      <c r="G247" s="26" t="n"/>
      <c r="H247" s="26" t="n"/>
      <c r="I247" s="26" t="n"/>
      <c r="J247" s="26" t="n"/>
      <c r="K247" s="26" t="n"/>
      <c r="L247" s="16" t="n">
        <v>112181.52</v>
      </c>
      <c r="M247" s="9" t="n"/>
      <c r="N247" s="9" t="n"/>
      <c r="O247" s="9" t="n"/>
      <c r="P247" s="9" t="n"/>
      <c r="Q247" s="26" t="n"/>
      <c r="R247" s="26" t="n"/>
      <c r="S247" s="16" t="n">
        <v>108929.04</v>
      </c>
      <c r="T247" s="26" t="n"/>
      <c r="U247" s="26" t="n"/>
      <c r="V247" s="26" t="n"/>
      <c r="W247" s="26" t="n"/>
      <c r="X247" s="26" t="n"/>
      <c r="Y247" s="26" t="n"/>
      <c r="Z247" s="26" t="n">
        <v>112955.93</v>
      </c>
      <c r="AA247" s="12" t="n"/>
      <c r="AB247" s="26" t="n"/>
      <c r="AC247" s="26" t="n"/>
      <c r="AD247" s="26" t="n"/>
      <c r="AE247" s="73" t="n">
        <v>10270.4</v>
      </c>
      <c r="AF247" s="9" t="n"/>
      <c r="AG247" s="13">
        <f>SUM(B247:AF247)</f>
        <v/>
      </c>
    </row>
    <row r="248" ht="15.75" customHeight="1">
      <c r="A248" s="15" t="inlineStr">
        <is>
          <t>TLC</t>
        </is>
      </c>
      <c r="B248" s="26" t="n">
        <v>200</v>
      </c>
      <c r="C248" s="26" t="n"/>
      <c r="D248" s="31" t="n"/>
      <c r="E248" s="31" t="n"/>
      <c r="F248" s="26" t="n"/>
      <c r="G248" s="26" t="n"/>
      <c r="H248" s="26" t="n"/>
      <c r="I248" s="26" t="n"/>
      <c r="J248" s="26" t="n"/>
      <c r="K248" s="26" t="n"/>
      <c r="L248" s="31" t="n"/>
      <c r="M248" s="12" t="n"/>
      <c r="N248" s="9" t="n"/>
      <c r="O248" s="12" t="n"/>
      <c r="P248" s="12" t="n"/>
      <c r="Q248" s="26" t="n"/>
      <c r="R248" s="26" t="n"/>
      <c r="S248" s="31" t="n"/>
      <c r="T248" s="26" t="n"/>
      <c r="U248" s="26" t="n"/>
      <c r="V248" s="26" t="n"/>
      <c r="W248" s="26" t="n"/>
      <c r="X248" s="26" t="n"/>
      <c r="Y248" s="26" t="n"/>
      <c r="Z248" s="26" t="n"/>
      <c r="AA248" s="9" t="n"/>
      <c r="AB248" s="26" t="n"/>
      <c r="AC248" s="31" t="n"/>
      <c r="AD248" s="26" t="n"/>
      <c r="AE248" s="9" t="n"/>
      <c r="AF248" s="9" t="n"/>
      <c r="AG248" s="13">
        <f>SUM(B248:AF248)</f>
        <v/>
      </c>
    </row>
    <row r="249" ht="15.75" customHeight="1">
      <c r="A249" s="15" t="inlineStr">
        <is>
          <t>HB SC</t>
        </is>
      </c>
      <c r="B249" s="16" t="n">
        <v>0</v>
      </c>
      <c r="C249" s="16" t="n">
        <v>14719.19</v>
      </c>
      <c r="D249" s="16" t="n">
        <v>1670.550000000003</v>
      </c>
      <c r="E249" s="16" t="n">
        <v>3899.9</v>
      </c>
      <c r="F249" s="16" t="n">
        <v>3380.309999999998</v>
      </c>
      <c r="G249" s="16" t="n">
        <v>0</v>
      </c>
      <c r="H249" s="16" t="n">
        <v>0</v>
      </c>
      <c r="I249" s="16" t="n">
        <v>4436.41</v>
      </c>
      <c r="J249" s="16" t="n">
        <v>2845.450000000012</v>
      </c>
      <c r="K249" s="16" t="n">
        <v>1452.36</v>
      </c>
      <c r="L249" s="16" t="n">
        <v>1657.630000000005</v>
      </c>
      <c r="M249" s="16" t="n">
        <v>4396.460000000001</v>
      </c>
      <c r="N249" s="16" t="n">
        <v>20</v>
      </c>
      <c r="O249" s="16" t="n">
        <v>150</v>
      </c>
      <c r="P249" s="16" t="n">
        <v>5306.289999999994</v>
      </c>
      <c r="Q249" s="16" t="n">
        <v>2807.74</v>
      </c>
      <c r="R249" s="16" t="n">
        <v>1771.860000000001</v>
      </c>
      <c r="S249" s="16" t="n">
        <v>2751.839999999997</v>
      </c>
      <c r="T249" s="16" t="n">
        <v>2304.33</v>
      </c>
      <c r="U249" s="16" t="n">
        <v>150</v>
      </c>
      <c r="V249" s="16" t="n">
        <v>0</v>
      </c>
      <c r="W249" s="16" t="n">
        <v>7782.489999999991</v>
      </c>
      <c r="X249" s="16" t="n">
        <v>6956.120000000001</v>
      </c>
      <c r="Y249" s="16" t="n">
        <v>4049.879999999999</v>
      </c>
      <c r="Z249" s="16" t="n">
        <v>1364.789999999994</v>
      </c>
      <c r="AA249" s="16" t="n">
        <v>7797.630000000005</v>
      </c>
      <c r="AB249" s="16" t="n">
        <v>291.6</v>
      </c>
      <c r="AC249" s="16" t="n">
        <v>150</v>
      </c>
      <c r="AD249" s="16" t="n">
        <v>9665.460000000025</v>
      </c>
      <c r="AE249" s="16" t="n">
        <v>5605.31</v>
      </c>
      <c r="AF249" s="10" t="n"/>
      <c r="AG249" s="13">
        <f>SUM(B249:AF249)</f>
        <v/>
      </c>
    </row>
    <row r="250" ht="16.5" customHeight="1" thickBot="1">
      <c r="A250" s="15" t="inlineStr">
        <is>
          <t>Total</t>
        </is>
      </c>
      <c r="B250" s="31">
        <f>SUM(B232:B249)</f>
        <v/>
      </c>
      <c r="C250" s="31">
        <f>SUM(C232:C249)</f>
        <v/>
      </c>
      <c r="D250" s="31">
        <f>SUM(D232:D249)</f>
        <v/>
      </c>
      <c r="E250" s="31">
        <f>SUM(E232:E249)</f>
        <v/>
      </c>
      <c r="F250" s="31">
        <f>SUM(F232:F249)</f>
        <v/>
      </c>
      <c r="G250" s="31">
        <f>SUM(G232:G249)</f>
        <v/>
      </c>
      <c r="H250" s="31">
        <f>SUM(H232:H249)</f>
        <v/>
      </c>
      <c r="I250" s="31">
        <f>SUM(I232:I249)</f>
        <v/>
      </c>
      <c r="J250" s="31">
        <f>SUM(J232:J249)</f>
        <v/>
      </c>
      <c r="K250" s="31">
        <f>SUM(K232:K249)</f>
        <v/>
      </c>
      <c r="L250" s="31">
        <f>SUM(L232:L249)</f>
        <v/>
      </c>
      <c r="M250" s="31">
        <f>SUM(M232:M249)</f>
        <v/>
      </c>
      <c r="N250" s="31" t="n">
        <v>0</v>
      </c>
      <c r="O250" s="31">
        <f>SUM(O232:O249)</f>
        <v/>
      </c>
      <c r="P250" s="31">
        <f>SUM(P232:P249)</f>
        <v/>
      </c>
      <c r="Q250" s="31">
        <f>SUM(Q232:Q249)</f>
        <v/>
      </c>
      <c r="R250" s="31" t="n">
        <v>12232.86</v>
      </c>
      <c r="S250" s="31" t="n">
        <v>118391.26</v>
      </c>
      <c r="T250" s="31" t="n">
        <v>5318.89</v>
      </c>
      <c r="U250" s="31" t="n">
        <v>150</v>
      </c>
      <c r="V250" s="31" t="n">
        <v>0</v>
      </c>
      <c r="W250" s="31" t="n">
        <v>105493.45</v>
      </c>
      <c r="X250" s="31" t="n">
        <v>3644.7</v>
      </c>
      <c r="Y250" s="31">
        <f>SUM(Y232:Y249)</f>
        <v/>
      </c>
      <c r="Z250" s="31">
        <f>SUM(Z232:Z249)</f>
        <v/>
      </c>
      <c r="AA250" s="31">
        <f>SUM(AA232:AA249)</f>
        <v/>
      </c>
      <c r="AB250" s="31">
        <f>SUM(AB232:AB249)</f>
        <v/>
      </c>
      <c r="AC250" s="31">
        <f>SUM(AC232:AC249)</f>
        <v/>
      </c>
      <c r="AD250" s="31">
        <f>SUM(AD232:AD249)</f>
        <v/>
      </c>
      <c r="AE250" s="31">
        <f>SUM(AE232:AE249)</f>
        <v/>
      </c>
      <c r="AF250" s="12">
        <f>SUM(AF232:AF249)</f>
        <v/>
      </c>
      <c r="AG250" s="22">
        <f>SUM(AG232:AG249)</f>
        <v/>
      </c>
    </row>
    <row r="251" ht="15.75" customHeight="1" thickTop="1">
      <c r="A251" s="15" t="inlineStr">
        <is>
          <t>Ruunning Total</t>
        </is>
      </c>
      <c r="B251">
        <f>B250</f>
        <v/>
      </c>
      <c r="C251">
        <f>B251+C250</f>
        <v/>
      </c>
      <c r="D251">
        <f>C251+D250</f>
        <v/>
      </c>
      <c r="E251">
        <f>D251+E250</f>
        <v/>
      </c>
      <c r="F251">
        <f>E251+F250</f>
        <v/>
      </c>
      <c r="G251">
        <f>F251+G250</f>
        <v/>
      </c>
      <c r="H251">
        <f>G251+H250</f>
        <v/>
      </c>
      <c r="I251">
        <f>H251+I250</f>
        <v/>
      </c>
      <c r="J251">
        <f>I251+J250</f>
        <v/>
      </c>
      <c r="K251">
        <f>J251+K250</f>
        <v/>
      </c>
      <c r="L251">
        <f>K251+L250</f>
        <v/>
      </c>
      <c r="M251">
        <f>L251+M250</f>
        <v/>
      </c>
      <c r="N251">
        <f>M251+N250</f>
        <v/>
      </c>
      <c r="O251">
        <f>N251+O250</f>
        <v/>
      </c>
      <c r="P251">
        <f>O251+P250</f>
        <v/>
      </c>
      <c r="Q251">
        <f>P251+Q250</f>
        <v/>
      </c>
      <c r="R251">
        <f>Q251+R250</f>
        <v/>
      </c>
      <c r="S251">
        <f>R251+S250</f>
        <v/>
      </c>
      <c r="T251">
        <f>S251+T250</f>
        <v/>
      </c>
      <c r="U251">
        <f>T251+U250</f>
        <v/>
      </c>
      <c r="V251">
        <f>U251+V250</f>
        <v/>
      </c>
      <c r="W251">
        <f>V251+W250</f>
        <v/>
      </c>
      <c r="X251">
        <f>W251+X250</f>
        <v/>
      </c>
      <c r="Y251">
        <f>X251+Y250</f>
        <v/>
      </c>
      <c r="Z251">
        <f>Y251+Z250</f>
        <v/>
      </c>
      <c r="AA251">
        <f>Z251+AA250</f>
        <v/>
      </c>
      <c r="AB251">
        <f>AA251+AB250</f>
        <v/>
      </c>
      <c r="AC251">
        <f>AB251+AC250</f>
        <v/>
      </c>
      <c r="AD251">
        <f>AC251+AD250</f>
        <v/>
      </c>
      <c r="AE251">
        <f>AD251+AE250</f>
        <v/>
      </c>
    </row>
    <row r="254">
      <c r="A254" s="1" t="n"/>
      <c r="B254" s="2" t="inlineStr">
        <is>
          <t>May</t>
        </is>
      </c>
      <c r="C254" s="2" t="n"/>
      <c r="D254" s="2" t="n"/>
      <c r="E254" s="2" t="n"/>
      <c r="F254" s="2" t="n"/>
      <c r="G254" s="2" t="n"/>
      <c r="H254" s="2" t="n"/>
      <c r="I254" s="2" t="n"/>
      <c r="J254" s="2" t="n"/>
      <c r="K254" s="2" t="n"/>
      <c r="L254" s="2" t="n"/>
      <c r="M254" s="2" t="n"/>
      <c r="N254" s="2" t="n"/>
      <c r="O254" s="2" t="n"/>
      <c r="P254" s="2" t="n"/>
      <c r="Q254" s="2" t="n"/>
      <c r="R254" s="2" t="n"/>
      <c r="S254" s="2" t="n"/>
      <c r="T254" s="2" t="n"/>
      <c r="U254" s="2" t="n"/>
      <c r="V254" s="2" t="n"/>
      <c r="W254" s="2" t="n"/>
      <c r="X254" s="2" t="n"/>
      <c r="Y254" s="2" t="n"/>
      <c r="Z254" s="2" t="n"/>
      <c r="AA254" s="2" t="n"/>
      <c r="AB254" s="2" t="n"/>
      <c r="AC254" s="2" t="n"/>
      <c r="AD254" s="2" t="n"/>
      <c r="AE254" s="1" t="n"/>
      <c r="AF254" s="1" t="n"/>
      <c r="AG254" s="1" t="n"/>
    </row>
    <row r="255">
      <c r="A255" s="1" t="n"/>
      <c r="B255" s="2" t="inlineStr">
        <is>
          <t>Wednesday</t>
        </is>
      </c>
      <c r="C255" s="2" t="inlineStr">
        <is>
          <t>Thursday</t>
        </is>
      </c>
      <c r="D255" s="2" t="inlineStr">
        <is>
          <t>Friday</t>
        </is>
      </c>
      <c r="E255" s="2" t="inlineStr">
        <is>
          <t>Saturday</t>
        </is>
      </c>
      <c r="F255" s="2" t="inlineStr">
        <is>
          <t>Sunday</t>
        </is>
      </c>
      <c r="G255" s="34" t="inlineStr">
        <is>
          <t>Monday</t>
        </is>
      </c>
      <c r="H255" s="2" t="inlineStr">
        <is>
          <t>Tuesday</t>
        </is>
      </c>
      <c r="I255" s="2" t="inlineStr">
        <is>
          <t>Wednesday</t>
        </is>
      </c>
      <c r="J255" s="2" t="inlineStr">
        <is>
          <t>Thursday</t>
        </is>
      </c>
      <c r="K255" s="2" t="inlineStr">
        <is>
          <t>Friday</t>
        </is>
      </c>
      <c r="L255" s="2" t="inlineStr">
        <is>
          <t>Saturday</t>
        </is>
      </c>
      <c r="M255" s="2" t="inlineStr">
        <is>
          <t>Sunday</t>
        </is>
      </c>
      <c r="N255" s="2" t="inlineStr">
        <is>
          <t>Monday</t>
        </is>
      </c>
      <c r="O255" s="2" t="inlineStr">
        <is>
          <t>Tuesday</t>
        </is>
      </c>
      <c r="P255" s="2" t="inlineStr">
        <is>
          <t>Wednesday</t>
        </is>
      </c>
      <c r="Q255" s="2" t="inlineStr">
        <is>
          <t>Thursday</t>
        </is>
      </c>
      <c r="R255" s="2" t="inlineStr">
        <is>
          <t>Friday</t>
        </is>
      </c>
      <c r="S255" s="2" t="inlineStr">
        <is>
          <t>Saturday</t>
        </is>
      </c>
      <c r="T255" s="2" t="inlineStr">
        <is>
          <t>Sunday</t>
        </is>
      </c>
      <c r="U255" s="2" t="inlineStr">
        <is>
          <t>Monday</t>
        </is>
      </c>
      <c r="V255" s="2" t="inlineStr">
        <is>
          <t>Tuesday</t>
        </is>
      </c>
      <c r="W255" s="2" t="inlineStr">
        <is>
          <t>Wednesday</t>
        </is>
      </c>
      <c r="X255" s="2" t="inlineStr">
        <is>
          <t>Thursday</t>
        </is>
      </c>
      <c r="Y255" s="2" t="inlineStr">
        <is>
          <t>Friday</t>
        </is>
      </c>
      <c r="Z255" s="2" t="inlineStr">
        <is>
          <t>Saturday</t>
        </is>
      </c>
      <c r="AA255" s="2" t="inlineStr">
        <is>
          <t>Sunday</t>
        </is>
      </c>
      <c r="AB255" s="34" t="inlineStr">
        <is>
          <t>Monday</t>
        </is>
      </c>
      <c r="AC255" s="2" t="inlineStr">
        <is>
          <t>Tuesday</t>
        </is>
      </c>
      <c r="AD255" s="2" t="inlineStr">
        <is>
          <t>Wednesday</t>
        </is>
      </c>
      <c r="AE255" s="2" t="inlineStr">
        <is>
          <t>Thursday</t>
        </is>
      </c>
      <c r="AF255" s="2" t="inlineStr">
        <is>
          <t>Friday</t>
        </is>
      </c>
      <c r="AG255" s="2" t="inlineStr">
        <is>
          <t>Total</t>
        </is>
      </c>
    </row>
    <row r="256">
      <c r="A256" s="1" t="n"/>
      <c r="B256" s="7" t="inlineStr">
        <is>
          <t>1st</t>
        </is>
      </c>
      <c r="C256" s="7" t="inlineStr">
        <is>
          <t>2nd</t>
        </is>
      </c>
      <c r="D256" s="7" t="inlineStr">
        <is>
          <t>3rd</t>
        </is>
      </c>
      <c r="E256" s="7" t="inlineStr">
        <is>
          <t>4th</t>
        </is>
      </c>
      <c r="F256" s="7" t="inlineStr">
        <is>
          <t>5th</t>
        </is>
      </c>
      <c r="G256" s="4" t="inlineStr">
        <is>
          <t>6th</t>
        </is>
      </c>
      <c r="H256" s="4" t="inlineStr">
        <is>
          <t>7th</t>
        </is>
      </c>
      <c r="I256" s="4" t="inlineStr">
        <is>
          <t>8th</t>
        </is>
      </c>
      <c r="J256" s="4" t="inlineStr">
        <is>
          <t>9th</t>
        </is>
      </c>
      <c r="K256" s="4" t="inlineStr">
        <is>
          <t>10th</t>
        </is>
      </c>
      <c r="L256" s="4" t="inlineStr">
        <is>
          <t>11th</t>
        </is>
      </c>
      <c r="M256" s="4" t="inlineStr">
        <is>
          <t>12th</t>
        </is>
      </c>
      <c r="N256" s="5" t="inlineStr">
        <is>
          <t>13th</t>
        </is>
      </c>
      <c r="O256" s="5" t="inlineStr">
        <is>
          <t>14th</t>
        </is>
      </c>
      <c r="P256" s="5" t="inlineStr">
        <is>
          <t>15th</t>
        </is>
      </c>
      <c r="Q256" s="5" t="inlineStr">
        <is>
          <t>16th</t>
        </is>
      </c>
      <c r="R256" s="5" t="inlineStr">
        <is>
          <t>17th</t>
        </is>
      </c>
      <c r="S256" s="5" t="inlineStr">
        <is>
          <t>18th</t>
        </is>
      </c>
      <c r="T256" s="5" t="inlineStr">
        <is>
          <t>19th</t>
        </is>
      </c>
      <c r="U256" s="6" t="inlineStr">
        <is>
          <t>20th</t>
        </is>
      </c>
      <c r="V256" s="6" t="inlineStr">
        <is>
          <t>21st</t>
        </is>
      </c>
      <c r="W256" s="6" t="inlineStr">
        <is>
          <t>22nd</t>
        </is>
      </c>
      <c r="X256" s="6" t="inlineStr">
        <is>
          <t>23rd</t>
        </is>
      </c>
      <c r="Y256" s="6" t="inlineStr">
        <is>
          <t>24th</t>
        </is>
      </c>
      <c r="Z256" s="6" t="inlineStr">
        <is>
          <t>25th</t>
        </is>
      </c>
      <c r="AA256" s="6" t="inlineStr">
        <is>
          <t>26th</t>
        </is>
      </c>
      <c r="AB256" s="7" t="inlineStr">
        <is>
          <t>27th</t>
        </is>
      </c>
      <c r="AC256" s="7" t="inlineStr">
        <is>
          <t>28th</t>
        </is>
      </c>
      <c r="AD256" s="7" t="inlineStr">
        <is>
          <t>29th</t>
        </is>
      </c>
      <c r="AE256" s="7" t="inlineStr">
        <is>
          <t>30th</t>
        </is>
      </c>
      <c r="AF256" s="7" t="inlineStr">
        <is>
          <t>31st</t>
        </is>
      </c>
      <c r="AG256" s="1" t="n"/>
    </row>
    <row r="257" ht="18.75" customHeight="1">
      <c r="A257" s="8" t="inlineStr">
        <is>
          <t>B-HAM CITY COUNCIL-200790-70489166</t>
        </is>
      </c>
      <c r="C257" s="9" t="n"/>
      <c r="D257" s="12" t="n"/>
      <c r="E257" s="9" t="n"/>
      <c r="F257" s="12" t="n"/>
      <c r="G257" s="79" t="n"/>
      <c r="H257" s="10" t="n"/>
      <c r="I257" s="11" t="n"/>
      <c r="J257" s="9" t="n"/>
      <c r="L257" s="12" t="n"/>
      <c r="M257" s="12" t="n"/>
      <c r="N257" s="12" t="n"/>
      <c r="P257" t="n">
        <v>5230.45</v>
      </c>
      <c r="Q257" s="10" t="n"/>
      <c r="R257" s="12" t="n"/>
      <c r="S257" s="12" t="n"/>
      <c r="T257" s="12" t="n"/>
      <c r="V257" s="11" t="n"/>
      <c r="Y257" s="85" t="n">
        <v>74350</v>
      </c>
      <c r="Z257" s="9" t="n"/>
      <c r="AB257" s="77" t="n"/>
      <c r="AD257" s="12">
        <f>7335.99</f>
        <v/>
      </c>
      <c r="AE257" s="9" t="n"/>
      <c r="AF257" s="9" t="n"/>
      <c r="AG257" s="13">
        <f>SUM(B257:AF257)</f>
        <v/>
      </c>
    </row>
    <row r="258" ht="18.75" customHeight="1">
      <c r="A258" s="8" t="inlineStr">
        <is>
          <t>Accord/Age uk</t>
        </is>
      </c>
      <c r="B258" s="12" t="n"/>
      <c r="C258" s="12" t="n"/>
      <c r="D258" s="12" t="n"/>
      <c r="E258" s="12" t="n"/>
      <c r="F258" s="12" t="n"/>
      <c r="G258" s="79" t="n"/>
      <c r="H258" s="9" t="n"/>
      <c r="I258" s="11" t="n"/>
      <c r="J258" s="9" t="n"/>
      <c r="K258" s="12" t="n"/>
      <c r="L258" s="12" t="n"/>
      <c r="M258" s="12" t="n"/>
      <c r="N258" s="12" t="n"/>
      <c r="O258" s="9" t="n"/>
      <c r="P258" s="9" t="n"/>
      <c r="Q258" s="12" t="n"/>
      <c r="R258" s="12" t="n"/>
      <c r="S258" s="11" t="n"/>
      <c r="T258" s="12" t="n"/>
      <c r="U258" s="11" t="n"/>
      <c r="V258" s="9" t="n"/>
      <c r="W258" s="9" t="n"/>
      <c r="X258" s="9" t="n"/>
      <c r="Y258" s="12" t="n"/>
      <c r="Z258" s="9" t="n"/>
      <c r="AA258" s="9" t="n"/>
      <c r="AB258" s="77" t="n"/>
      <c r="AC258" s="9" t="n"/>
      <c r="AD258" s="9" t="n"/>
      <c r="AE258" s="9" t="n"/>
      <c r="AF258" s="9" t="n"/>
      <c r="AG258" s="13">
        <f>SUM(B258:AF258)</f>
        <v/>
      </c>
    </row>
    <row r="259" ht="15.75" customHeight="1">
      <c r="A259" s="8" t="inlineStr">
        <is>
          <t>Buckingham</t>
        </is>
      </c>
      <c r="C259" s="9" t="n"/>
      <c r="D259" s="9" t="n"/>
      <c r="E259" s="9" t="n"/>
      <c r="F259" s="9" t="n"/>
      <c r="G259" s="80" t="n"/>
      <c r="H259" s="26" t="n"/>
      <c r="I259" s="26" t="n"/>
      <c r="J259" s="26" t="n"/>
      <c r="K259" s="31" t="n">
        <v>5134.44</v>
      </c>
      <c r="L259" s="26" t="n"/>
      <c r="M259" s="26" t="n"/>
      <c r="N259" s="26" t="n"/>
      <c r="O259" s="9" t="n"/>
      <c r="P259" s="12" t="n"/>
      <c r="Q259" s="9" t="n"/>
      <c r="R259" s="9" t="n"/>
      <c r="S259" s="9" t="n"/>
      <c r="T259" s="9" t="n"/>
      <c r="U259" s="9" t="n"/>
      <c r="V259" s="9" t="n"/>
      <c r="W259" s="9" t="n"/>
      <c r="X259" s="9" t="n"/>
      <c r="Y259" s="9" t="n"/>
      <c r="Z259" s="9" t="n"/>
      <c r="AA259" s="9" t="n"/>
      <c r="AB259" s="77" t="n"/>
      <c r="AC259" s="9" t="n"/>
      <c r="AD259" s="9" t="n"/>
      <c r="AE259" s="9" t="n"/>
      <c r="AF259" s="9" t="n"/>
      <c r="AG259" s="13">
        <f>SUM(B259:AF259)</f>
        <v/>
      </c>
    </row>
    <row r="260" ht="15.75" customHeight="1">
      <c r="A260" s="8" t="inlineStr">
        <is>
          <t>Sandwell respite est</t>
        </is>
      </c>
      <c r="B260" s="9" t="n"/>
      <c r="C260" s="9" t="n"/>
      <c r="D260" s="9" t="n"/>
      <c r="E260" s="9" t="n"/>
      <c r="F260" s="9" t="n"/>
      <c r="G260" s="80" t="n"/>
      <c r="H260" s="26" t="n"/>
      <c r="I260" s="26" t="n"/>
      <c r="J260" s="26" t="n"/>
      <c r="K260" s="26" t="n"/>
      <c r="L260" s="26" t="n"/>
      <c r="M260" s="26" t="n"/>
      <c r="N260" t="n">
        <v>9872.459999999999</v>
      </c>
      <c r="P260" t="n">
        <v>2284.8</v>
      </c>
      <c r="Q260" s="9" t="n"/>
      <c r="R260" s="9" t="n"/>
      <c r="S260" s="9" t="n"/>
      <c r="T260" s="9" t="n"/>
      <c r="U260" s="9" t="n"/>
      <c r="V260" s="9" t="n"/>
      <c r="W260" s="9" t="n"/>
      <c r="X260" s="9" t="n"/>
      <c r="Y260" s="9" t="n"/>
      <c r="Z260" s="9" t="n"/>
      <c r="AA260" s="9" t="n"/>
      <c r="AB260" s="77" t="n"/>
      <c r="AC260" s="9" t="n"/>
      <c r="AD260" s="9" t="n"/>
      <c r="AE260" s="9" t="n"/>
      <c r="AF260" s="10">
        <f>20000-N260-P260</f>
        <v/>
      </c>
      <c r="AG260" s="13">
        <f>SUM(B260:AF260)</f>
        <v/>
      </c>
    </row>
    <row r="261" ht="15.75" customHeight="1">
      <c r="A261" s="8" t="inlineStr">
        <is>
          <t xml:space="preserve">Wolverhampton respite est </t>
        </is>
      </c>
      <c r="B261" s="9" t="n"/>
      <c r="C261" s="16" t="n">
        <v>6710.38</v>
      </c>
      <c r="D261" s="9" t="n"/>
      <c r="E261" s="9" t="n"/>
      <c r="F261" s="9" t="n"/>
      <c r="G261" s="80" t="n"/>
      <c r="H261" s="26" t="n"/>
      <c r="I261" s="26" t="n"/>
      <c r="J261" s="26" t="n"/>
      <c r="K261" s="26" t="n">
        <v>7794.54</v>
      </c>
      <c r="L261" s="26" t="n"/>
      <c r="M261" s="26" t="n"/>
      <c r="N261" s="26" t="n"/>
      <c r="O261" s="9" t="n"/>
      <c r="P261" s="9" t="n"/>
      <c r="Q261" s="16" t="n">
        <v>7088.1</v>
      </c>
      <c r="R261" s="9" t="n"/>
      <c r="S261" s="9" t="n"/>
      <c r="T261" s="9" t="n"/>
      <c r="U261" s="9" t="n"/>
      <c r="V261" s="9" t="n"/>
      <c r="W261" s="9" t="n"/>
      <c r="X261" s="10" t="n">
        <v>7088.1</v>
      </c>
      <c r="Y261" s="9" t="n"/>
      <c r="Z261" s="9" t="n"/>
      <c r="AA261" s="9" t="n"/>
      <c r="AB261" s="77" t="n"/>
      <c r="AC261" s="9" t="n"/>
      <c r="AD261" s="9" t="n"/>
      <c r="AE261" s="9" t="n"/>
      <c r="AF261" s="10">
        <f>30000-C261-K261-Q261-X261</f>
        <v/>
      </c>
      <c r="AG261" s="13">
        <f>SUM(B261:AF261)</f>
        <v/>
      </c>
    </row>
    <row r="262" ht="15.75" customHeight="1">
      <c r="A262" s="8" t="inlineStr">
        <is>
          <t>Walsall Respite</t>
        </is>
      </c>
      <c r="B262" s="9" t="n"/>
      <c r="C262" s="26" t="n"/>
      <c r="D262" s="9" t="n"/>
      <c r="E262" s="9" t="n"/>
      <c r="F262" s="9" t="n"/>
      <c r="G262" s="81" t="n"/>
      <c r="H262" s="26" t="n">
        <v>11806.4</v>
      </c>
      <c r="I262" s="26" t="n"/>
      <c r="J262" s="26" t="n"/>
      <c r="K262" s="31" t="n"/>
      <c r="L262" s="26" t="n"/>
      <c r="M262" s="26" t="n"/>
      <c r="N262" s="26" t="n"/>
      <c r="O262" s="9" t="n"/>
      <c r="P262" s="9" t="n"/>
      <c r="Q262" s="26" t="n"/>
      <c r="R262" t="n">
        <v>3040</v>
      </c>
      <c r="S262" s="9" t="n"/>
      <c r="T262" s="9" t="n"/>
      <c r="U262" s="9" t="n"/>
      <c r="V262" s="9" t="n"/>
      <c r="W262" s="9" t="n"/>
      <c r="X262" s="9" t="n"/>
      <c r="Y262" s="9" t="n"/>
      <c r="Z262" s="9" t="n"/>
      <c r="AA262" s="9" t="n"/>
      <c r="AB262" s="77" t="n"/>
      <c r="AC262" s="9" t="n"/>
      <c r="AD262" s="9" t="n"/>
      <c r="AE262" s="9" t="n"/>
      <c r="AF262" s="9" t="n"/>
      <c r="AG262" s="13">
        <f>SUM(B262:AF262)</f>
        <v/>
      </c>
    </row>
    <row r="263" ht="18.75" customHeight="1">
      <c r="A263" s="8" t="inlineStr">
        <is>
          <t>Ideal for All Ltd</t>
        </is>
      </c>
      <c r="B263" s="9" t="n"/>
      <c r="C263" s="31" t="n"/>
      <c r="D263" s="12" t="n"/>
      <c r="E263" s="11" t="n"/>
      <c r="F263" s="9" t="n"/>
      <c r="G263" s="79" t="n"/>
      <c r="H263" s="76" t="n"/>
      <c r="I263" s="31" t="n"/>
      <c r="J263" s="31" t="n"/>
      <c r="K263" s="31" t="n">
        <v>2516.8</v>
      </c>
      <c r="L263" s="26" t="n"/>
      <c r="M263" s="31" t="n"/>
      <c r="N263" s="31" t="n"/>
      <c r="O263" s="12" t="n"/>
      <c r="P263" s="12" t="n"/>
      <c r="Q263" s="31" t="n"/>
      <c r="R263" s="9" t="n"/>
      <c r="S263" s="9" t="n"/>
      <c r="T263" s="9" t="n"/>
      <c r="U263" t="n">
        <v>3814.88</v>
      </c>
      <c r="V263" s="9" t="n"/>
      <c r="W263" s="9" t="n"/>
      <c r="X263" s="11" t="n"/>
      <c r="Y263" s="9" t="n"/>
      <c r="Z263" s="9" t="n"/>
      <c r="AA263" s="9" t="n"/>
      <c r="AB263" s="77" t="n"/>
      <c r="AC263" s="9" t="n"/>
      <c r="AD263" s="12" t="n">
        <v>2536.8</v>
      </c>
      <c r="AE263" s="9" t="n"/>
      <c r="AF263" s="9" t="n"/>
      <c r="AG263" s="13">
        <f>SUM(B263:AF263)</f>
        <v/>
      </c>
    </row>
    <row r="264" ht="15.75" customHeight="1">
      <c r="A264" s="8" t="inlineStr">
        <is>
          <t>KIRKLEES COUNCIL-204312-63046958</t>
        </is>
      </c>
      <c r="B264" s="9" t="n"/>
      <c r="C264" s="26" t="n"/>
      <c r="D264" s="9" t="n"/>
      <c r="E264" s="9" t="n"/>
      <c r="F264" s="9" t="n"/>
      <c r="G264" s="80" t="n"/>
      <c r="H264" s="31" t="n">
        <v>5698.2</v>
      </c>
      <c r="I264" s="31" t="n"/>
      <c r="J264" s="26" t="n"/>
      <c r="K264" s="31" t="n"/>
      <c r="L264" s="26" t="n"/>
      <c r="M264" s="26" t="n"/>
      <c r="N264" s="31" t="n"/>
      <c r="O264" s="9" t="n"/>
      <c r="P264" s="12" t="n"/>
      <c r="Q264" s="26" t="n"/>
      <c r="R264" s="9" t="n"/>
      <c r="S264" s="9" t="n"/>
      <c r="T264" s="9" t="n"/>
      <c r="V264" t="n">
        <v>5888.14</v>
      </c>
      <c r="W264" s="12" t="n"/>
      <c r="X264" s="9" t="n"/>
      <c r="Y264" s="9" t="n"/>
      <c r="Z264" s="9" t="n"/>
      <c r="AA264" s="9" t="n"/>
      <c r="AB264" s="77" t="n"/>
      <c r="AC264" s="12" t="n"/>
      <c r="AD264" s="9" t="n"/>
      <c r="AE264" s="12" t="n"/>
      <c r="AF264" s="12" t="n"/>
      <c r="AG264" s="13">
        <f>SUM(B264:AF264)</f>
        <v/>
      </c>
    </row>
    <row r="265" ht="15.75" customHeight="1">
      <c r="A265" s="8" t="inlineStr">
        <is>
          <t>LBH PAYMENTS BACS-602210-72430192</t>
        </is>
      </c>
      <c r="B265" s="9" t="n"/>
      <c r="C265" s="26" t="n"/>
      <c r="D265" s="9" t="n"/>
      <c r="E265" s="9" t="n"/>
      <c r="F265" s="9" t="n"/>
      <c r="G265" s="80" t="n"/>
      <c r="H265" s="26" t="n"/>
      <c r="I265" s="26" t="n"/>
      <c r="J265" s="26" t="n"/>
      <c r="K265" s="31" t="n"/>
      <c r="L265" s="26" t="n"/>
      <c r="M265" s="26" t="n"/>
      <c r="N265" s="26" t="n"/>
      <c r="O265" s="9" t="n"/>
      <c r="P265" s="9" t="n"/>
      <c r="Q265" s="31" t="n"/>
      <c r="R265" s="9" t="n"/>
      <c r="S265" s="9" t="n"/>
      <c r="T265" s="9" t="n"/>
      <c r="U265" t="n">
        <v>5040</v>
      </c>
      <c r="V265" s="9" t="n"/>
      <c r="W265" s="9" t="n"/>
      <c r="X265" s="9" t="n"/>
      <c r="Y265" s="9" t="n"/>
      <c r="Z265" s="9" t="n"/>
      <c r="AA265" s="9" t="n"/>
      <c r="AB265" s="77" t="n"/>
      <c r="AC265" s="9" t="n"/>
      <c r="AD265" s="9" t="n"/>
      <c r="AE265" s="9" t="n"/>
      <c r="AF265" s="9" t="n"/>
      <c r="AG265" s="13">
        <f>SUM(B265:AF265)</f>
        <v/>
      </c>
    </row>
    <row r="266" ht="15.75" customHeight="1">
      <c r="A266" s="8" t="inlineStr">
        <is>
          <t>NHS BIRMINGHAM &amp; S-607080-10017097</t>
        </is>
      </c>
      <c r="B266" s="9" t="n"/>
      <c r="C266" s="26" t="n"/>
      <c r="D266" s="9" t="n"/>
      <c r="E266" s="9" t="n"/>
      <c r="F266" s="12" t="n"/>
      <c r="G266" s="80" t="n"/>
      <c r="H266" s="26" t="n"/>
      <c r="I266" s="31" t="n"/>
      <c r="J266" s="31" t="n">
        <v>6891.9</v>
      </c>
      <c r="K266" s="31" t="n"/>
      <c r="L266" s="31" t="n"/>
      <c r="M266" s="31" t="n"/>
      <c r="N266" s="31" t="n"/>
      <c r="O266" s="9" t="inlineStr"/>
      <c r="P266" s="9" t="n"/>
      <c r="Q266" s="26" t="n"/>
      <c r="R266" s="9" t="n"/>
      <c r="S266" s="9" t="n"/>
      <c r="T266" s="9" t="n"/>
      <c r="U266" s="9" t="n"/>
      <c r="V266" s="9" t="n"/>
      <c r="W266" s="9" t="n"/>
      <c r="X266" s="9" t="n"/>
      <c r="Y266" s="9" t="n"/>
      <c r="Z266" s="9" t="n"/>
      <c r="AA266" s="9" t="n"/>
      <c r="AB266" s="77" t="n"/>
      <c r="AC266" s="9" t="n"/>
      <c r="AD266" s="9" t="n"/>
      <c r="AE266" s="9" t="n"/>
      <c r="AF266" s="9" t="n"/>
      <c r="AG266" s="13">
        <f>SUM(B266:AF266)</f>
        <v/>
      </c>
    </row>
    <row r="267" ht="15.75" customHeight="1">
      <c r="A267" s="8" t="inlineStr">
        <is>
          <t>NHS BLACK COUNTRY-607080-10015272</t>
        </is>
      </c>
      <c r="B267" s="9" t="n"/>
      <c r="C267" s="31" t="n"/>
      <c r="D267" s="9" t="n"/>
      <c r="E267" s="12" t="n"/>
      <c r="F267" s="9" t="n"/>
      <c r="G267" s="80" t="n"/>
      <c r="H267" s="26" t="n"/>
      <c r="I267" s="26" t="n"/>
      <c r="J267" s="26" t="inlineStr"/>
      <c r="K267" s="31" t="n"/>
      <c r="L267" s="26" t="inlineStr"/>
      <c r="M267" s="26" t="inlineStr"/>
      <c r="N267" s="31" t="n">
        <v>13625.17</v>
      </c>
      <c r="O267" s="12" t="n"/>
      <c r="P267" s="9" t="n"/>
      <c r="Q267" s="26" t="n"/>
      <c r="R267" s="9" t="n"/>
      <c r="S267" s="9" t="n"/>
      <c r="T267" s="12" t="n"/>
      <c r="U267" s="9" t="n"/>
      <c r="V267" s="9" t="n"/>
      <c r="W267" s="9" t="n">
        <v>1101.6</v>
      </c>
      <c r="Y267" s="9" t="n"/>
      <c r="Z267" s="9" t="n"/>
      <c r="AA267" s="9" t="n"/>
      <c r="AB267" s="77" t="n"/>
      <c r="AC267" s="9" t="n"/>
      <c r="AD267" s="9" t="n"/>
      <c r="AE267" s="9" t="n"/>
      <c r="AF267" s="9" t="n"/>
      <c r="AG267" s="13">
        <f>SUM(B267:AF267)</f>
        <v/>
      </c>
    </row>
    <row r="268" ht="15.75" customHeight="1">
      <c r="A268" s="14" t="inlineStr">
        <is>
          <t>SANDWELL MBC  BEN-601539-69624151</t>
        </is>
      </c>
      <c r="B268" s="9" t="n"/>
      <c r="C268" s="26" t="n"/>
      <c r="D268" s="9" t="n"/>
      <c r="E268" s="9" t="n"/>
      <c r="F268" s="9" t="n"/>
      <c r="G268" s="80" t="n"/>
      <c r="H268" s="26" t="n"/>
      <c r="I268" s="26" t="n"/>
      <c r="J268" s="26" t="n"/>
      <c r="K268" s="26" t="n"/>
      <c r="L268" s="26" t="n"/>
      <c r="M268" s="31" t="n"/>
      <c r="N268" s="26" t="n"/>
      <c r="O268" s="9" t="n"/>
      <c r="P268" s="9" t="n"/>
      <c r="Q268" s="26" t="n"/>
      <c r="R268" s="9" t="n"/>
      <c r="S268" s="9" t="n"/>
      <c r="T268" s="9" t="n"/>
      <c r="U268" s="9" t="n"/>
      <c r="V268" s="9" t="n"/>
      <c r="W268" s="9" t="n"/>
      <c r="X268" s="9" t="n"/>
      <c r="Y268" s="12" t="n"/>
      <c r="Z268" s="9" t="n"/>
      <c r="AA268" s="9" t="n"/>
      <c r="AB268" s="77" t="n"/>
      <c r="AC268" s="12" t="n">
        <v>2950.96</v>
      </c>
      <c r="AD268" s="9" t="n"/>
      <c r="AE268" s="9" t="n"/>
      <c r="AF268" s="9" t="n"/>
      <c r="AG268" s="13">
        <f>SUM(B268:AF268)</f>
        <v/>
      </c>
    </row>
    <row r="269" ht="15.75" customHeight="1">
      <c r="A269" s="14" t="inlineStr">
        <is>
          <t>SANDWELL MBC-601539-69624135</t>
        </is>
      </c>
      <c r="B269" t="n">
        <v>120054.72</v>
      </c>
      <c r="C269" s="26" t="n"/>
      <c r="D269" s="9" t="n"/>
      <c r="E269" s="9" t="n"/>
      <c r="F269" s="9" t="n"/>
      <c r="G269" s="80" t="n"/>
      <c r="H269" s="26" t="n"/>
      <c r="I269" s="26" t="n"/>
      <c r="J269" s="26" t="n"/>
      <c r="K269" s="26" t="n"/>
      <c r="L269" s="26" t="n"/>
      <c r="M269" s="26" t="n"/>
      <c r="N269" s="31" t="n"/>
      <c r="O269" s="12" t="n"/>
      <c r="Q269" s="31" t="n"/>
      <c r="R269" s="9" t="n"/>
      <c r="S269" s="9" t="n"/>
      <c r="T269" s="9" t="n"/>
      <c r="U269" t="n">
        <v>129344.64</v>
      </c>
      <c r="V269" s="9" t="n"/>
      <c r="W269" s="9" t="n"/>
      <c r="X269" s="9" t="n"/>
      <c r="Y269" s="9" t="n"/>
      <c r="Z269" s="9" t="n"/>
      <c r="AA269" s="9" t="n"/>
      <c r="AB269" s="78" t="n"/>
      <c r="AC269" s="32" t="n"/>
      <c r="AD269" s="9" t="n">
        <v>120000</v>
      </c>
      <c r="AE269" s="9" t="n"/>
      <c r="AF269" s="9" t="n"/>
      <c r="AG269" s="13">
        <f>SUM(B269:AF269)</f>
        <v/>
      </c>
    </row>
    <row r="270" ht="15.75" customHeight="1">
      <c r="A270" s="15" t="inlineStr">
        <is>
          <t>SOLIHULL MBC EXP.-200771-00561525</t>
        </is>
      </c>
      <c r="B270" s="9" t="n"/>
      <c r="C270" s="26" t="n"/>
      <c r="D270" s="9" t="n"/>
      <c r="E270" s="9" t="n"/>
      <c r="F270" s="9" t="n"/>
      <c r="G270" s="80" t="n"/>
      <c r="H270" s="26" t="n"/>
      <c r="I270" s="26" t="n"/>
      <c r="J270" s="26" t="n"/>
      <c r="K270" s="26" t="n"/>
      <c r="L270" s="26" t="n"/>
      <c r="M270" s="26" t="n"/>
      <c r="N270" s="31" t="n"/>
      <c r="O270" s="9" t="n"/>
      <c r="P270" s="9" t="n"/>
      <c r="Q270" s="26" t="n"/>
      <c r="R270" s="12" t="n"/>
      <c r="S270" s="9" t="n"/>
      <c r="T270" s="9" t="n"/>
      <c r="U270" t="n">
        <v>32010.44</v>
      </c>
      <c r="V270" s="84" t="n"/>
      <c r="W270" s="9" t="n"/>
      <c r="X270" s="9" t="n"/>
      <c r="Y270" s="9" t="n"/>
      <c r="Z270" s="9" t="n"/>
      <c r="AA270" s="9" t="n"/>
      <c r="AB270" s="77" t="n"/>
      <c r="AC270" s="9" t="n"/>
      <c r="AD270" s="9" t="n"/>
      <c r="AE270" s="9" t="n"/>
      <c r="AF270" s="9" t="n"/>
      <c r="AG270" s="13">
        <f>SUM(B270:AF270)</f>
        <v/>
      </c>
    </row>
    <row r="271" ht="15.75" customHeight="1">
      <c r="A271" s="15" t="inlineStr">
        <is>
          <t>WALSALL MBC BARC-209073-10731692</t>
        </is>
      </c>
      <c r="B271" s="9" t="n"/>
      <c r="C271" s="26" t="n"/>
      <c r="D271" s="9" t="n"/>
      <c r="E271" s="9" t="n"/>
      <c r="F271" s="9" t="n"/>
      <c r="G271" s="81" t="n"/>
      <c r="H271" s="16">
        <f>187335.81-H262</f>
        <v/>
      </c>
      <c r="I271" s="26" t="n"/>
      <c r="J271" s="26" t="n"/>
      <c r="K271" s="31" t="n"/>
      <c r="L271" s="26" t="n"/>
      <c r="M271" s="26" t="n"/>
      <c r="N271" s="26" t="n"/>
      <c r="O271" s="9" t="n"/>
      <c r="P271" s="9" t="n"/>
      <c r="Q271" s="26" t="n"/>
      <c r="R271" s="9" t="n"/>
      <c r="S271" s="9" t="n"/>
      <c r="T271" s="9" t="n"/>
      <c r="U271" s="9" t="n"/>
      <c r="V271" s="9" t="n"/>
      <c r="W271" s="9" t="n"/>
      <c r="X271" s="9" t="n"/>
      <c r="Y271" s="9" t="n"/>
      <c r="Z271" s="9" t="n"/>
      <c r="AA271" s="9" t="n"/>
      <c r="AB271" s="77" t="n"/>
      <c r="AC271" s="9" t="n"/>
      <c r="AD271" s="9" t="n"/>
      <c r="AE271" s="9" t="n"/>
      <c r="AF271" s="9" t="n"/>
      <c r="AG271" s="13">
        <f>SUM(B271:AF271)</f>
        <v/>
      </c>
    </row>
    <row r="272" ht="15.75" customHeight="1">
      <c r="A272" s="15" t="inlineStr">
        <is>
          <t>WOLVERHAMPTON CC-560069-44470320</t>
        </is>
      </c>
      <c r="B272" s="9" t="n"/>
      <c r="C272" s="26" t="n">
        <v>110245.52</v>
      </c>
      <c r="D272" t="n">
        <v>1681.6</v>
      </c>
      <c r="E272" s="9" t="n"/>
      <c r="F272" s="9" t="n"/>
      <c r="G272" s="80" t="n"/>
      <c r="H272" s="26" t="n"/>
      <c r="I272" s="26" t="n"/>
      <c r="J272" s="31" t="n"/>
      <c r="K272" s="26">
        <f>119259.74-K261</f>
        <v/>
      </c>
      <c r="L272" s="26" t="n"/>
      <c r="M272" s="26" t="n"/>
      <c r="N272" s="26" t="n">
        <v>7528.8</v>
      </c>
      <c r="O272" s="9" t="n"/>
      <c r="P272" s="9" t="n"/>
      <c r="Q272" s="16">
        <f>119405.04-Q261</f>
        <v/>
      </c>
      <c r="R272" s="9" t="n"/>
      <c r="S272" s="9" t="n"/>
      <c r="T272" s="9" t="n"/>
      <c r="U272" s="9" t="n"/>
      <c r="V272" s="9" t="n"/>
      <c r="W272" s="9" t="n"/>
      <c r="X272" s="9" t="n">
        <v>121335.2</v>
      </c>
      <c r="Y272" s="9" t="n"/>
      <c r="Z272" s="9" t="n"/>
      <c r="AA272" s="9" t="n"/>
      <c r="AB272" s="77" t="n"/>
      <c r="AC272" s="9" t="n"/>
      <c r="AD272" s="9" t="n"/>
      <c r="AE272" s="9" t="n"/>
      <c r="AF272" s="9" t="n">
        <v>112000</v>
      </c>
      <c r="AG272" s="13">
        <f>SUM(B272:AF272)</f>
        <v/>
      </c>
    </row>
    <row r="273" ht="15.75" customHeight="1">
      <c r="A273" s="15" t="inlineStr">
        <is>
          <t>Portsmouth PCC</t>
        </is>
      </c>
      <c r="B273" s="9" t="n"/>
      <c r="C273" s="26" t="n"/>
      <c r="E273" s="9" t="n"/>
      <c r="F273" s="9" t="n"/>
      <c r="G273" s="80" t="n"/>
      <c r="H273" s="31" t="n">
        <v>6771.43</v>
      </c>
      <c r="I273" s="9" t="n"/>
      <c r="K273" s="9" t="n"/>
      <c r="L273" s="9" t="n"/>
      <c r="M273" s="9" t="n"/>
      <c r="N273" s="9" t="n"/>
      <c r="O273" s="9" t="n"/>
      <c r="P273" s="9" t="n"/>
      <c r="Q273" s="9" t="n"/>
      <c r="R273" s="9" t="n"/>
      <c r="S273" s="9" t="n"/>
      <c r="T273" s="9" t="n"/>
      <c r="U273" s="9" t="n"/>
      <c r="V273" s="9" t="n"/>
      <c r="W273" s="9" t="n"/>
      <c r="X273" s="9" t="n"/>
      <c r="Y273" s="9" t="n"/>
      <c r="Z273" s="9" t="n"/>
      <c r="AA273" s="9" t="n"/>
      <c r="AB273" s="77" t="n"/>
      <c r="AC273" s="9" t="n"/>
      <c r="AD273" s="9" t="n"/>
      <c r="AE273" s="9" t="n"/>
      <c r="AF273" s="9" t="n"/>
      <c r="AG273" s="13">
        <f>SUM(B273:AF273)</f>
        <v/>
      </c>
    </row>
    <row r="274" ht="15.75" customHeight="1">
      <c r="A274" s="15" t="inlineStr">
        <is>
          <t>TLC</t>
        </is>
      </c>
      <c r="B274" s="9" t="n"/>
      <c r="C274" s="9" t="n"/>
      <c r="D274" s="12" t="n"/>
      <c r="E274" s="12" t="n"/>
      <c r="F274" s="9" t="n"/>
      <c r="G274" s="80" t="n"/>
      <c r="H274" s="9" t="n"/>
      <c r="I274" s="9" t="n"/>
      <c r="J274" s="9" t="n"/>
      <c r="K274" s="9" t="n"/>
      <c r="L274" s="12" t="n"/>
      <c r="M274" s="12" t="n"/>
      <c r="N274" s="9" t="n"/>
      <c r="O274" s="12" t="n"/>
      <c r="P274" s="12" t="n"/>
      <c r="Q274" s="9" t="n"/>
      <c r="R274" s="9" t="n"/>
      <c r="S274" s="12" t="n"/>
      <c r="T274" s="9" t="n"/>
      <c r="U274" s="9" t="n"/>
      <c r="V274" s="9" t="n"/>
      <c r="W274" s="9" t="n"/>
      <c r="X274" s="9" t="n"/>
      <c r="Y274" s="9" t="n"/>
      <c r="Z274" s="9" t="n"/>
      <c r="AA274" s="9" t="n"/>
      <c r="AB274" s="77" t="n"/>
      <c r="AC274" s="12" t="n"/>
      <c r="AD274" s="9" t="n"/>
      <c r="AE274" s="9" t="n"/>
      <c r="AF274" s="9" t="n"/>
      <c r="AG274" s="13">
        <f>SUM(B274:AF274)</f>
        <v/>
      </c>
    </row>
    <row r="275" ht="15.75" customHeight="1">
      <c r="A275" s="15" t="inlineStr">
        <is>
          <t>HB SC</t>
        </is>
      </c>
      <c r="B275" s="16" t="n">
        <v>10595.3</v>
      </c>
      <c r="C275" s="16" t="n">
        <v>1448.470000000001</v>
      </c>
      <c r="D275" s="16" t="n">
        <v>5539.050000000001</v>
      </c>
      <c r="E275" s="16" t="n">
        <v>0</v>
      </c>
      <c r="F275" s="16" t="n">
        <v>250</v>
      </c>
      <c r="G275" s="16" t="n">
        <v>0</v>
      </c>
      <c r="H275" s="16" t="n">
        <v>5072.209999999996</v>
      </c>
      <c r="I275" s="16" t="n">
        <v>1564.85</v>
      </c>
      <c r="J275" s="16" t="n">
        <v>2175.729999999996</v>
      </c>
      <c r="K275" s="16" t="n">
        <v>4587.850000000012</v>
      </c>
      <c r="L275" s="16" t="n">
        <v>600</v>
      </c>
      <c r="M275" s="16" t="n">
        <v>150</v>
      </c>
      <c r="N275" s="16">
        <f>13979.59-N260</f>
        <v/>
      </c>
      <c r="O275" s="16" t="n">
        <v>2399.86</v>
      </c>
      <c r="P275" s="16" t="n">
        <v>2725.360000000001</v>
      </c>
      <c r="Q275" s="16" t="n">
        <v>3327.430000000008</v>
      </c>
      <c r="R275" s="16" t="n">
        <v>3144.290000000001</v>
      </c>
      <c r="S275" s="16" t="n">
        <v>0</v>
      </c>
      <c r="T275" s="16" t="n">
        <v>150</v>
      </c>
      <c r="U275" s="16" t="n">
        <v>6044.610000000005</v>
      </c>
      <c r="V275" s="16" t="n">
        <v>1296.55</v>
      </c>
      <c r="W275" s="16" t="n">
        <v>3500</v>
      </c>
      <c r="X275" s="16" t="n">
        <v>3500</v>
      </c>
      <c r="Y275" s="16" t="n">
        <v>3500</v>
      </c>
      <c r="Z275" s="16" t="n">
        <v>3500</v>
      </c>
      <c r="AA275" s="16" t="n">
        <v>3500</v>
      </c>
      <c r="AB275" s="16" t="n">
        <v>3500</v>
      </c>
      <c r="AC275" s="16" t="n">
        <v>3500</v>
      </c>
      <c r="AD275" s="16" t="n">
        <v>3500</v>
      </c>
      <c r="AE275" s="16" t="n">
        <v>3500</v>
      </c>
      <c r="AF275" s="16" t="n">
        <v>3500</v>
      </c>
      <c r="AG275" s="13">
        <f>SUM(B275:AF275)</f>
        <v/>
      </c>
    </row>
    <row r="276" ht="16.5" customHeight="1" thickBot="1">
      <c r="A276" s="15" t="inlineStr">
        <is>
          <t>Ruunning Total</t>
        </is>
      </c>
      <c r="B276">
        <f>B275</f>
        <v/>
      </c>
      <c r="C276">
        <f>B276+C275</f>
        <v/>
      </c>
      <c r="D276">
        <f>C276+D275</f>
        <v/>
      </c>
      <c r="E276">
        <f>D276+E275</f>
        <v/>
      </c>
      <c r="F276">
        <f>E276+F275</f>
        <v/>
      </c>
      <c r="G276">
        <f>F276+G275</f>
        <v/>
      </c>
      <c r="H276">
        <f>G276+H275</f>
        <v/>
      </c>
      <c r="I276">
        <f>H276+I275</f>
        <v/>
      </c>
      <c r="J276">
        <f>I276+J275</f>
        <v/>
      </c>
      <c r="K276">
        <f>J276+K275</f>
        <v/>
      </c>
      <c r="L276">
        <f>K276+L275</f>
        <v/>
      </c>
      <c r="M276">
        <f>L276+M275</f>
        <v/>
      </c>
      <c r="N276">
        <f>M276+N275</f>
        <v/>
      </c>
      <c r="O276">
        <f>N276+O275</f>
        <v/>
      </c>
      <c r="P276">
        <f>O276+P275</f>
        <v/>
      </c>
      <c r="Q276">
        <f>P276+Q275</f>
        <v/>
      </c>
      <c r="R276">
        <f>Q276+R275</f>
        <v/>
      </c>
      <c r="S276">
        <f>R276+S275</f>
        <v/>
      </c>
      <c r="T276">
        <f>S276+T275</f>
        <v/>
      </c>
      <c r="U276">
        <f>T276+U275</f>
        <v/>
      </c>
      <c r="V276">
        <f>U276+V275</f>
        <v/>
      </c>
      <c r="W276">
        <f>V276+W275</f>
        <v/>
      </c>
      <c r="X276">
        <f>W276+X275</f>
        <v/>
      </c>
      <c r="Y276">
        <f>X276+Y275</f>
        <v/>
      </c>
      <c r="Z276">
        <f>Y276+Z275</f>
        <v/>
      </c>
      <c r="AA276">
        <f>Z276+AA275</f>
        <v/>
      </c>
      <c r="AB276">
        <f>AA276+AB275</f>
        <v/>
      </c>
      <c r="AC276">
        <f>AB276+AC275</f>
        <v/>
      </c>
      <c r="AD276">
        <f>AC276+AD275</f>
        <v/>
      </c>
      <c r="AE276">
        <f>AD276+AE275</f>
        <v/>
      </c>
      <c r="AF276">
        <f>AE276+AF275</f>
        <v/>
      </c>
      <c r="AG276" s="22">
        <f>SUM(AG257:AG275)</f>
        <v/>
      </c>
    </row>
    <row r="277" ht="15.75" customHeight="1" thickTop="1"/>
    <row r="279">
      <c r="A279" s="1" t="n"/>
      <c r="B279" s="2" t="inlineStr">
        <is>
          <t>June</t>
        </is>
      </c>
      <c r="C279" s="2" t="n"/>
      <c r="D279" s="2" t="n"/>
      <c r="E279" s="2" t="n"/>
      <c r="F279" s="2" t="n"/>
      <c r="G279" s="2" t="n"/>
      <c r="H279" s="2" t="n"/>
      <c r="I279" s="2" t="n"/>
      <c r="J279" s="2" t="n"/>
      <c r="K279" s="2" t="n"/>
      <c r="L279" s="2" t="n"/>
      <c r="M279" s="2" t="n"/>
      <c r="N279" s="2" t="n"/>
      <c r="O279" s="2" t="n"/>
      <c r="P279" s="2" t="n"/>
      <c r="Q279" s="2" t="n"/>
      <c r="R279" s="2" t="n"/>
      <c r="S279" s="2" t="n"/>
      <c r="T279" s="2" t="n"/>
      <c r="U279" s="2" t="n"/>
      <c r="V279" s="2" t="n"/>
      <c r="W279" s="2" t="n"/>
      <c r="X279" s="2" t="n"/>
      <c r="Y279" s="2" t="n"/>
      <c r="Z279" s="2" t="n"/>
      <c r="AA279" s="2" t="n"/>
      <c r="AB279" s="2" t="n"/>
      <c r="AC279" s="2" t="n"/>
      <c r="AD279" s="2" t="n"/>
      <c r="AE279" s="1" t="n"/>
      <c r="AF279" s="1" t="n"/>
      <c r="AG279" s="1" t="n"/>
    </row>
    <row r="280">
      <c r="A280" s="1" t="n"/>
      <c r="B280" s="2" t="inlineStr">
        <is>
          <t>Saturday</t>
        </is>
      </c>
      <c r="C280" s="2" t="inlineStr">
        <is>
          <t>Sunday</t>
        </is>
      </c>
      <c r="D280" s="2" t="inlineStr">
        <is>
          <t>Monday</t>
        </is>
      </c>
      <c r="E280" s="2" t="inlineStr">
        <is>
          <t>Tuesday</t>
        </is>
      </c>
      <c r="F280" s="2" t="inlineStr">
        <is>
          <t>Wednesday</t>
        </is>
      </c>
      <c r="G280" s="2" t="inlineStr">
        <is>
          <t>Thursday</t>
        </is>
      </c>
      <c r="H280" s="2" t="inlineStr">
        <is>
          <t>Friday</t>
        </is>
      </c>
      <c r="I280" s="2" t="inlineStr">
        <is>
          <t>Saturday</t>
        </is>
      </c>
      <c r="J280" s="2" t="inlineStr">
        <is>
          <t>Sunday</t>
        </is>
      </c>
      <c r="K280" s="2" t="inlineStr">
        <is>
          <t>Monday</t>
        </is>
      </c>
      <c r="L280" s="2" t="inlineStr">
        <is>
          <t>Tuesday</t>
        </is>
      </c>
      <c r="M280" s="2" t="inlineStr">
        <is>
          <t>Wednesday</t>
        </is>
      </c>
      <c r="N280" s="2" t="inlineStr">
        <is>
          <t>Thursday</t>
        </is>
      </c>
      <c r="O280" s="2" t="inlineStr">
        <is>
          <t>Friday</t>
        </is>
      </c>
      <c r="P280" s="2" t="inlineStr">
        <is>
          <t>Saturday</t>
        </is>
      </c>
      <c r="Q280" s="2" t="inlineStr">
        <is>
          <t>Sunday</t>
        </is>
      </c>
      <c r="R280" s="2" t="inlineStr">
        <is>
          <t>Monday</t>
        </is>
      </c>
      <c r="S280" s="2" t="inlineStr">
        <is>
          <t>Tuesday</t>
        </is>
      </c>
      <c r="T280" s="2" t="inlineStr">
        <is>
          <t>Wednesday</t>
        </is>
      </c>
      <c r="U280" s="2" t="inlineStr">
        <is>
          <t>Thursday</t>
        </is>
      </c>
      <c r="V280" s="2" t="inlineStr">
        <is>
          <t>Friday</t>
        </is>
      </c>
      <c r="W280" s="2" t="inlineStr">
        <is>
          <t>Saturday</t>
        </is>
      </c>
      <c r="X280" s="2" t="inlineStr">
        <is>
          <t>Sunday</t>
        </is>
      </c>
      <c r="Y280" s="2" t="inlineStr">
        <is>
          <t>Monday</t>
        </is>
      </c>
      <c r="Z280" s="2" t="inlineStr">
        <is>
          <t>Tuesday</t>
        </is>
      </c>
      <c r="AA280" s="2" t="inlineStr">
        <is>
          <t>Wednesday</t>
        </is>
      </c>
      <c r="AB280" s="2" t="inlineStr">
        <is>
          <t>Thursday</t>
        </is>
      </c>
      <c r="AC280" s="2" t="inlineStr">
        <is>
          <t>Friday</t>
        </is>
      </c>
      <c r="AD280" s="2" t="inlineStr">
        <is>
          <t>Saturday</t>
        </is>
      </c>
      <c r="AE280" s="2" t="inlineStr">
        <is>
          <t>Sunday</t>
        </is>
      </c>
      <c r="AF280" s="2" t="n"/>
      <c r="AG280" s="2" t="inlineStr">
        <is>
          <t>Total</t>
        </is>
      </c>
    </row>
    <row r="281">
      <c r="A281" s="1" t="n"/>
      <c r="B281" s="7" t="inlineStr">
        <is>
          <t>1st</t>
        </is>
      </c>
      <c r="C281" s="7" t="inlineStr">
        <is>
          <t>2nd</t>
        </is>
      </c>
      <c r="D281" s="3" t="inlineStr">
        <is>
          <t>3rd</t>
        </is>
      </c>
      <c r="E281" s="3" t="inlineStr">
        <is>
          <t>4th</t>
        </is>
      </c>
      <c r="F281" s="3" t="inlineStr">
        <is>
          <t>5th</t>
        </is>
      </c>
      <c r="G281" s="3" t="inlineStr">
        <is>
          <t>6th</t>
        </is>
      </c>
      <c r="H281" s="3" t="inlineStr">
        <is>
          <t>7th</t>
        </is>
      </c>
      <c r="I281" s="3" t="inlineStr">
        <is>
          <t>8th</t>
        </is>
      </c>
      <c r="J281" s="3" t="inlineStr">
        <is>
          <t>9th</t>
        </is>
      </c>
      <c r="K281" s="4" t="inlineStr">
        <is>
          <t>10th</t>
        </is>
      </c>
      <c r="L281" s="4" t="inlineStr">
        <is>
          <t>11th</t>
        </is>
      </c>
      <c r="M281" s="4" t="inlineStr">
        <is>
          <t>12th</t>
        </is>
      </c>
      <c r="N281" s="4" t="inlineStr">
        <is>
          <t>13th</t>
        </is>
      </c>
      <c r="O281" s="4" t="inlineStr">
        <is>
          <t>14th</t>
        </is>
      </c>
      <c r="P281" s="4" t="inlineStr">
        <is>
          <t>15th</t>
        </is>
      </c>
      <c r="Q281" s="4" t="inlineStr">
        <is>
          <t>16th</t>
        </is>
      </c>
      <c r="R281" s="5" t="inlineStr">
        <is>
          <t>17th</t>
        </is>
      </c>
      <c r="S281" s="5" t="inlineStr">
        <is>
          <t>18th</t>
        </is>
      </c>
      <c r="T281" s="5" t="inlineStr">
        <is>
          <t>19th</t>
        </is>
      </c>
      <c r="U281" s="5" t="inlineStr">
        <is>
          <t>20th</t>
        </is>
      </c>
      <c r="V281" s="5" t="inlineStr">
        <is>
          <t>21st</t>
        </is>
      </c>
      <c r="W281" s="5" t="inlineStr">
        <is>
          <t>22nd</t>
        </is>
      </c>
      <c r="X281" s="5" t="inlineStr">
        <is>
          <t>23rd</t>
        </is>
      </c>
      <c r="Y281" s="6" t="inlineStr">
        <is>
          <t>24th</t>
        </is>
      </c>
      <c r="Z281" s="6" t="inlineStr">
        <is>
          <t>25th</t>
        </is>
      </c>
      <c r="AA281" s="6" t="inlineStr">
        <is>
          <t>26th</t>
        </is>
      </c>
      <c r="AB281" s="6" t="inlineStr">
        <is>
          <t>27th</t>
        </is>
      </c>
      <c r="AC281" s="6" t="inlineStr">
        <is>
          <t>28th</t>
        </is>
      </c>
      <c r="AD281" s="6" t="inlineStr">
        <is>
          <t>29th</t>
        </is>
      </c>
      <c r="AE281" s="6" t="inlineStr">
        <is>
          <t>30th</t>
        </is>
      </c>
      <c r="AF281" s="7" t="n"/>
      <c r="AG281" s="1" t="n"/>
    </row>
    <row r="282" ht="18.75" customHeight="1">
      <c r="A282" s="8" t="inlineStr">
        <is>
          <t>B-HAM CITY COUNCIL-200790-70489166</t>
        </is>
      </c>
      <c r="B282" s="9" t="n"/>
      <c r="C282" s="9" t="n"/>
      <c r="D282" s="9" t="n"/>
      <c r="E282" s="9" t="n"/>
      <c r="F282" s="12">
        <f>5041.28</f>
        <v/>
      </c>
      <c r="G282" s="10" t="n"/>
      <c r="H282" s="11" t="n"/>
      <c r="I282" s="9" t="n"/>
      <c r="J282" s="12" t="n"/>
      <c r="K282" s="12" t="n">
        <v>75502.24000000001</v>
      </c>
      <c r="L282" s="10" t="n"/>
      <c r="M282" s="11" t="n"/>
      <c r="N282" s="9" t="n"/>
      <c r="O282" s="12" t="n"/>
      <c r="P282" s="12" t="n"/>
      <c r="Q282" s="12" t="n"/>
      <c r="R282" s="12" t="n"/>
      <c r="S282" s="9" t="n"/>
      <c r="T282" s="12" t="n"/>
      <c r="U282" s="9" t="n"/>
      <c r="V282" s="12" t="n"/>
      <c r="W282" s="12" t="n"/>
      <c r="X282" s="10" t="n"/>
      <c r="Y282" s="11" t="n"/>
      <c r="Z282" s="9" t="n"/>
      <c r="AA282" s="12" t="n"/>
      <c r="AB282" s="9" t="n"/>
      <c r="AC282" s="9" t="n"/>
      <c r="AD282" s="9" t="n"/>
      <c r="AE282" s="9" t="n"/>
      <c r="AF282" s="9" t="n"/>
      <c r="AG282" s="13">
        <f>SUM(B282:AE282)</f>
        <v/>
      </c>
    </row>
    <row r="283" ht="15.75" customHeight="1">
      <c r="A283" s="8" t="inlineStr">
        <is>
          <t>Buckingham</t>
        </is>
      </c>
      <c r="B283" s="9" t="n"/>
      <c r="C283" s="9" t="n"/>
      <c r="D283" s="9" t="n"/>
      <c r="E283" s="9" t="n"/>
      <c r="F283" s="9" t="n"/>
      <c r="G283" s="9" t="n"/>
      <c r="H283" s="31" t="n">
        <v>5134.44</v>
      </c>
      <c r="I283" s="9" t="n"/>
      <c r="J283" s="9" t="n"/>
      <c r="K283" s="9" t="n"/>
      <c r="L283" s="9" t="n"/>
      <c r="M283" s="9" t="n"/>
      <c r="N283" s="9" t="n"/>
      <c r="O283" s="9" t="n"/>
      <c r="P283" s="9" t="n"/>
      <c r="Q283" s="9" t="n"/>
      <c r="R283" s="12" t="n"/>
      <c r="S283" s="9" t="n"/>
      <c r="T283" s="9" t="n"/>
      <c r="U283" s="9" t="n"/>
      <c r="V283" s="9" t="n"/>
      <c r="W283" s="9" t="n"/>
      <c r="X283" s="9" t="n"/>
      <c r="Y283" s="9" t="n"/>
      <c r="Z283" s="9" t="n"/>
      <c r="AA283" s="9" t="n"/>
      <c r="AB283" s="9" t="n"/>
      <c r="AC283" s="9" t="n"/>
      <c r="AD283" s="9" t="n"/>
      <c r="AE283" s="9" t="n"/>
      <c r="AF283" s="9" t="n"/>
      <c r="AG283" s="13">
        <f>SUM(B283:AE283)</f>
        <v/>
      </c>
    </row>
    <row r="284" ht="15.75" customHeight="1">
      <c r="A284" s="8" t="inlineStr">
        <is>
          <t>Sandwell respite est</t>
        </is>
      </c>
      <c r="B284" s="9" t="n"/>
      <c r="C284" s="9" t="n"/>
      <c r="D284" s="9" t="n"/>
      <c r="E284" s="9" t="n"/>
      <c r="F284" s="9" t="n"/>
      <c r="G284" s="9" t="n"/>
      <c r="H284" s="9" t="n"/>
      <c r="I284" s="9" t="n"/>
      <c r="J284" s="9" t="n"/>
      <c r="K284" s="9" t="n"/>
      <c r="L284" s="9" t="n"/>
      <c r="M284" s="9" t="n"/>
      <c r="N284" s="9" t="n"/>
      <c r="O284" s="9" t="n"/>
      <c r="P284" s="9" t="n"/>
      <c r="Q284" s="9" t="n"/>
      <c r="R284" s="9" t="n"/>
      <c r="S284" s="9" t="n"/>
      <c r="T284" s="9" t="n"/>
      <c r="U284" s="9" t="n"/>
      <c r="V284" s="9" t="n"/>
      <c r="W284" s="9" t="n"/>
      <c r="X284" s="9" t="n"/>
      <c r="Y284" s="9" t="n"/>
      <c r="Z284" s="9" t="n"/>
      <c r="AA284" s="9" t="n"/>
      <c r="AB284" s="9" t="n"/>
      <c r="AC284" s="9" t="n"/>
      <c r="AD284" s="9" t="n"/>
      <c r="AE284" s="9" t="n">
        <v>20000</v>
      </c>
      <c r="AF284" s="9" t="n"/>
      <c r="AG284" s="13">
        <f>SUM(B284:AE284)</f>
        <v/>
      </c>
    </row>
    <row r="285" ht="15.75" customHeight="1">
      <c r="A285" s="8" t="inlineStr">
        <is>
          <t xml:space="preserve">Wolverhampton respite est </t>
        </is>
      </c>
      <c r="B285" s="9" t="n"/>
      <c r="C285" s="9" t="n"/>
      <c r="D285" s="9" t="n"/>
      <c r="E285" s="9" t="n"/>
      <c r="F285" s="9" t="n"/>
      <c r="G285" s="9" t="n"/>
      <c r="H285" s="9" t="n"/>
      <c r="I285" s="9" t="n"/>
      <c r="J285" s="9" t="n"/>
      <c r="K285" s="9" t="n"/>
      <c r="L285" s="9" t="n"/>
      <c r="M285" s="9" t="n"/>
      <c r="N285" s="9" t="n"/>
      <c r="O285" s="9" t="n"/>
      <c r="P285" s="9" t="n"/>
      <c r="Q285" s="9" t="n"/>
      <c r="R285" s="9" t="n"/>
      <c r="S285" s="9" t="n"/>
      <c r="T285" s="9" t="n"/>
      <c r="U285" s="9" t="n"/>
      <c r="V285" s="9" t="n"/>
      <c r="W285" s="9" t="n"/>
      <c r="X285" s="9" t="n"/>
      <c r="Y285" s="9" t="n"/>
      <c r="Z285" s="9" t="n"/>
      <c r="AA285" s="9" t="n"/>
      <c r="AB285" s="9" t="n"/>
      <c r="AC285" s="9" t="n"/>
      <c r="AD285" s="9" t="n"/>
      <c r="AE285" s="9" t="n">
        <v>30000</v>
      </c>
      <c r="AF285" s="9" t="n"/>
      <c r="AG285" s="13">
        <f>SUM(B285:AE285)</f>
        <v/>
      </c>
    </row>
    <row r="286" ht="15.75" customHeight="1">
      <c r="A286" s="8" t="inlineStr">
        <is>
          <t>Walsall Respite</t>
        </is>
      </c>
      <c r="B286" s="9" t="n"/>
      <c r="C286" s="9" t="n"/>
      <c r="D286" s="9" t="n"/>
      <c r="E286" s="9" t="n"/>
      <c r="F286" s="9" t="n"/>
      <c r="H286" s="9" t="n"/>
      <c r="I286" s="9" t="n"/>
      <c r="J286" s="9" t="n"/>
      <c r="K286" s="9" t="n"/>
      <c r="L286" s="9" t="n"/>
      <c r="M286" s="9" t="n"/>
      <c r="N286" s="9" t="n"/>
      <c r="O286" s="9" t="n"/>
      <c r="P286" s="9" t="n"/>
      <c r="Q286" s="9" t="n"/>
      <c r="R286" s="9" t="n"/>
      <c r="S286" s="9" t="n"/>
      <c r="T286" s="9" t="n"/>
      <c r="U286" s="9" t="n"/>
      <c r="V286" s="9" t="n"/>
      <c r="W286" s="9" t="n"/>
      <c r="X286" s="9" t="n"/>
      <c r="Y286" s="9" t="n"/>
      <c r="Z286" s="9" t="n"/>
      <c r="AA286" s="9" t="n"/>
      <c r="AB286" s="9" t="n"/>
      <c r="AC286" s="9" t="n"/>
      <c r="AD286" s="9" t="n"/>
      <c r="AE286" s="9" t="n">
        <v>15000</v>
      </c>
      <c r="AF286" s="9" t="n"/>
      <c r="AG286" s="13">
        <f>SUM(B286:AE286)</f>
        <v/>
      </c>
    </row>
    <row r="287" ht="18.75" customHeight="1">
      <c r="A287" s="8" t="inlineStr">
        <is>
          <t>Ideal for All Ltd</t>
        </is>
      </c>
      <c r="B287" s="9" t="n"/>
      <c r="C287" s="9" t="n"/>
      <c r="D287" s="31" t="n"/>
      <c r="E287" s="31" t="n"/>
      <c r="F287" t="n">
        <v>3344</v>
      </c>
      <c r="G287" s="9" t="n"/>
      <c r="J287" s="12" t="n"/>
      <c r="K287" s="11" t="n"/>
      <c r="L287" s="11" t="n">
        <v>3661.88</v>
      </c>
      <c r="M287" s="9" t="n"/>
      <c r="N287" s="9" t="n"/>
      <c r="O287" s="9" t="n"/>
      <c r="P287" s="12" t="n">
        <v>2536.8</v>
      </c>
      <c r="Q287" s="9" t="n"/>
      <c r="R287" s="9" t="n"/>
      <c r="S287" s="9" t="n"/>
      <c r="T287" s="9" t="n"/>
      <c r="U287" s="9" t="n"/>
      <c r="V287" s="9" t="n"/>
      <c r="W287" s="9" t="n"/>
      <c r="X287" s="9" t="n"/>
      <c r="Y287" s="9" t="n"/>
      <c r="Z287" s="9" t="n"/>
      <c r="AA287" s="9" t="n"/>
      <c r="AB287" s="9" t="n"/>
      <c r="AC287" s="9" t="n"/>
      <c r="AD287" s="9" t="n"/>
      <c r="AE287" s="9" t="n"/>
      <c r="AF287" s="9" t="n"/>
      <c r="AG287" s="13">
        <f>SUM(B287:AE287)</f>
        <v/>
      </c>
    </row>
    <row r="288" ht="18.75" customHeight="1">
      <c r="A288" s="8" t="inlineStr">
        <is>
          <t>KIRKLEES COUNCIL-204312-63046958</t>
        </is>
      </c>
      <c r="B288" s="9" t="n"/>
      <c r="C288" s="9" t="n"/>
      <c r="D288" s="31" t="n"/>
      <c r="E288" s="26" t="n"/>
      <c r="F288" s="12" t="n"/>
      <c r="G288" s="9" t="n"/>
      <c r="H288" s="9" t="n"/>
      <c r="I288" s="12" t="n"/>
      <c r="J288" s="9" t="n"/>
      <c r="K288" s="12" t="n"/>
      <c r="L288" s="9" t="n"/>
      <c r="M288" s="9" t="n"/>
      <c r="N288" s="9" t="n"/>
      <c r="O288" s="9" t="n"/>
      <c r="Q288" s="12" t="n"/>
      <c r="R288" s="12" t="n">
        <v>5554.89</v>
      </c>
      <c r="S288" s="9" t="n"/>
      <c r="T288" s="9" t="n"/>
      <c r="U288" s="9" t="n"/>
      <c r="V288" s="9" t="n"/>
      <c r="W288" s="9" t="n"/>
      <c r="X288" s="9" t="n"/>
      <c r="Y288" s="9" t="n"/>
      <c r="Z288" s="9" t="n"/>
      <c r="AA288" s="9" t="n"/>
      <c r="AB288" s="9" t="n"/>
      <c r="AC288" s="9" t="n"/>
      <c r="AD288" s="9" t="n"/>
      <c r="AE288" s="12" t="n"/>
      <c r="AF288" s="12" t="n"/>
      <c r="AG288" s="13">
        <f>SUM(B288:AE288)</f>
        <v/>
      </c>
    </row>
    <row r="289" ht="15.75" customHeight="1">
      <c r="A289" s="8" t="inlineStr">
        <is>
          <t>LBH PAYMENTS BACS-602210-72430192</t>
        </is>
      </c>
      <c r="B289" s="9" t="n"/>
      <c r="C289" s="9" t="n"/>
      <c r="D289" s="26" t="n"/>
      <c r="E289" s="26" t="n"/>
      <c r="F289" s="12" t="n"/>
      <c r="G289" s="9" t="n"/>
      <c r="H289" s="9" t="n"/>
      <c r="I289" s="9" t="n"/>
      <c r="J289" s="9" t="n"/>
      <c r="K289" s="9" t="n"/>
      <c r="L289" s="12" t="n"/>
      <c r="M289" s="9" t="n"/>
      <c r="N289" s="9" t="n"/>
      <c r="O289" s="9" t="n"/>
      <c r="P289" s="9" t="n">
        <v>5040</v>
      </c>
      <c r="Q289" s="9" t="n"/>
      <c r="R289" s="9" t="n"/>
      <c r="S289" s="9" t="n"/>
      <c r="T289" s="9" t="n"/>
      <c r="U289" s="9" t="n"/>
      <c r="V289" s="9" t="n"/>
      <c r="W289" s="9" t="n"/>
      <c r="X289" s="9" t="n"/>
      <c r="Y289" s="9" t="n"/>
      <c r="Z289" s="9" t="n"/>
      <c r="AA289" s="9" t="n"/>
      <c r="AB289" s="9" t="n"/>
      <c r="AC289" s="9" t="n"/>
      <c r="AD289" s="9" t="n"/>
      <c r="AE289" s="9" t="n"/>
      <c r="AF289" s="9" t="n"/>
      <c r="AG289" s="13">
        <f>SUM(B289:AE289)</f>
        <v/>
      </c>
    </row>
    <row r="290" ht="15.75" customHeight="1">
      <c r="A290" s="8" t="inlineStr">
        <is>
          <t>NHS BIRMINGHAM &amp; S-607080-10017097</t>
        </is>
      </c>
      <c r="B290" s="9" t="n"/>
      <c r="C290" s="9" t="n"/>
      <c r="D290" s="31" t="n">
        <v>7121.63</v>
      </c>
      <c r="E290" s="31" t="n"/>
      <c r="F290" s="12" t="n"/>
      <c r="G290" s="12" t="n"/>
      <c r="H290" s="12" t="n"/>
      <c r="I290" s="12" t="n"/>
      <c r="J290" s="9" t="inlineStr"/>
      <c r="K290" s="9" t="n"/>
      <c r="L290" s="9" t="n"/>
      <c r="M290" s="9" t="n"/>
      <c r="N290" s="9" t="n"/>
      <c r="O290" s="9" t="n"/>
      <c r="P290" s="9" t="n"/>
      <c r="Q290" s="9" t="n"/>
      <c r="R290" s="9" t="n"/>
      <c r="S290" s="9" t="n"/>
      <c r="T290" s="9" t="n"/>
      <c r="U290" s="9" t="n"/>
      <c r="V290" s="9" t="n"/>
      <c r="W290" s="9" t="n"/>
      <c r="X290" s="9" t="n"/>
      <c r="Y290" s="9" t="n"/>
      <c r="Z290" s="9" t="n"/>
      <c r="AA290" s="9" t="n"/>
      <c r="AB290" s="9" t="n"/>
      <c r="AC290" s="9" t="n"/>
      <c r="AD290" s="9" t="n"/>
      <c r="AE290" s="9" t="n"/>
      <c r="AF290" s="9" t="n"/>
      <c r="AG290" s="13">
        <f>SUM(B290:AE290)</f>
        <v/>
      </c>
    </row>
    <row r="291" ht="15.75" customHeight="1">
      <c r="A291" s="8" t="inlineStr">
        <is>
          <t>NHS BLACK COUNTRY-607080-10015272</t>
        </is>
      </c>
      <c r="B291" s="9" t="n"/>
      <c r="C291" s="9" t="n"/>
      <c r="D291" s="26" t="n"/>
      <c r="E291" s="26" t="inlineStr"/>
      <c r="G291" s="9" t="inlineStr"/>
      <c r="H291" s="9" t="inlineStr"/>
      <c r="I291" t="inlineStr">
        <is>
          <t>.</t>
        </is>
      </c>
      <c r="J291" s="12" t="n"/>
      <c r="K291" s="9" t="n"/>
      <c r="L291" s="9" t="n"/>
      <c r="M291" s="9" t="n"/>
      <c r="N291" s="9" t="n"/>
      <c r="O291" t="n">
        <v>13185.64</v>
      </c>
      <c r="P291" s="31" t="n"/>
      <c r="Q291" s="26" t="n"/>
      <c r="R291" s="26" t="n"/>
      <c r="S291" s="26" t="n"/>
      <c r="T291" s="26" t="n"/>
      <c r="U291" s="31" t="n"/>
      <c r="V291" s="26" t="n"/>
      <c r="W291" s="26" t="n"/>
      <c r="X291" s="26" t="n"/>
      <c r="Y291" s="26" t="n"/>
      <c r="Z291" s="9" t="n"/>
      <c r="AA291" s="26" t="n"/>
      <c r="AB291" s="26" t="n"/>
      <c r="AC291" s="31" t="n">
        <v>8073.21</v>
      </c>
      <c r="AD291" s="9" t="n"/>
      <c r="AE291" s="9" t="n"/>
      <c r="AF291" s="9" t="n"/>
      <c r="AG291" s="13">
        <f>SUM(B291:AE291)</f>
        <v/>
      </c>
    </row>
    <row r="292" ht="15.75" customHeight="1">
      <c r="A292" s="14" t="inlineStr">
        <is>
          <t>SANDWELL MBC  BEN-601539-69624151</t>
        </is>
      </c>
      <c r="B292" s="9" t="n"/>
      <c r="C292" s="9" t="n"/>
      <c r="D292" s="9" t="n"/>
      <c r="E292" s="9" t="n"/>
      <c r="F292" s="9" t="n"/>
      <c r="G292" s="9" t="n"/>
      <c r="H292" s="12" t="n"/>
      <c r="I292" s="9" t="n"/>
      <c r="J292" s="9" t="n"/>
      <c r="K292" s="9" t="n"/>
      <c r="L292" s="9" t="n"/>
      <c r="M292" s="9" t="n"/>
      <c r="N292" s="9" t="n"/>
      <c r="O292" s="9" t="n"/>
      <c r="P292" s="9" t="n"/>
      <c r="Q292" s="9" t="n"/>
      <c r="R292" s="9" t="n"/>
      <c r="S292" s="9" t="n"/>
      <c r="T292" s="12" t="n"/>
      <c r="U292" s="9" t="n"/>
      <c r="V292" s="9" t="n"/>
      <c r="W292" s="9" t="n"/>
      <c r="X292" s="9" t="n"/>
      <c r="Y292" s="12" t="n">
        <v>3000</v>
      </c>
      <c r="Z292" s="9" t="n"/>
      <c r="AA292" s="9" t="n"/>
      <c r="AB292" s="9" t="n"/>
      <c r="AC292" s="9" t="n"/>
      <c r="AD292" s="9" t="n"/>
      <c r="AE292" s="9" t="n"/>
      <c r="AF292" s="9" t="n"/>
      <c r="AG292" s="13">
        <f>SUM(B292:AE292)</f>
        <v/>
      </c>
    </row>
    <row r="293" ht="15.75" customHeight="1">
      <c r="A293" s="14" t="inlineStr">
        <is>
          <t>SANDWELL MBC-601539-69624135</t>
        </is>
      </c>
      <c r="B293" s="9" t="n"/>
      <c r="C293" s="9" t="n"/>
      <c r="D293" s="9" t="n"/>
      <c r="E293" s="9" t="n"/>
      <c r="F293" s="9" t="n"/>
      <c r="G293" s="9" t="n"/>
      <c r="H293" s="9" t="n"/>
      <c r="I293" s="9" t="n"/>
      <c r="J293" s="9" t="n"/>
      <c r="K293" s="9" t="n"/>
      <c r="L293" s="9" t="n"/>
      <c r="M293" s="9" t="n"/>
      <c r="N293" s="9" t="n">
        <v>120000</v>
      </c>
      <c r="O293" s="9" t="n"/>
      <c r="P293" s="9" t="n"/>
      <c r="Q293" s="9" t="n"/>
      <c r="R293" s="9" t="n"/>
      <c r="S293" s="9" t="n"/>
      <c r="T293" s="9" t="n"/>
      <c r="U293" s="9" t="n"/>
      <c r="V293" s="9" t="n"/>
      <c r="W293" s="9" t="n"/>
      <c r="X293" s="9" t="n"/>
      <c r="Y293" s="9" t="n"/>
      <c r="Z293" s="9" t="n"/>
      <c r="AA293" s="9" t="n">
        <v>120000</v>
      </c>
      <c r="AB293" s="9" t="n"/>
      <c r="AC293" s="9" t="n"/>
      <c r="AD293" s="9" t="n"/>
      <c r="AE293" s="9" t="n"/>
      <c r="AF293" s="9" t="n"/>
      <c r="AG293" s="13">
        <f>SUM(B293:AE293)</f>
        <v/>
      </c>
    </row>
    <row r="294" ht="15.75" customHeight="1">
      <c r="A294" s="15" t="inlineStr">
        <is>
          <t>SOLIHULL MBC EXP.-200771-00561525</t>
        </is>
      </c>
      <c r="B294" s="9" t="n"/>
      <c r="C294" s="9" t="n"/>
      <c r="D294" s="9" t="n"/>
      <c r="E294" s="9" t="n"/>
      <c r="F294" s="9" t="n"/>
      <c r="G294" s="9" t="n"/>
      <c r="H294" s="9" t="n"/>
      <c r="I294" s="9" t="n"/>
      <c r="J294" s="9" t="n"/>
      <c r="K294" s="9" t="n"/>
      <c r="L294" s="9" t="n"/>
      <c r="M294" s="9" t="n"/>
      <c r="N294" s="9" t="n"/>
      <c r="O294" s="9" t="n"/>
      <c r="P294" s="9" t="n"/>
      <c r="R294" s="12" t="n">
        <v>32000</v>
      </c>
      <c r="S294" s="9" t="n"/>
      <c r="T294" s="12" t="n"/>
      <c r="U294" s="9" t="n"/>
      <c r="V294" s="9" t="n"/>
      <c r="W294" s="9" t="n"/>
      <c r="X294" s="9" t="n"/>
      <c r="Y294" s="9" t="n"/>
      <c r="Z294" s="9" t="n"/>
      <c r="AA294" s="9" t="n"/>
      <c r="AB294" s="9" t="n"/>
      <c r="AC294" s="9" t="n"/>
      <c r="AD294" s="9" t="n"/>
      <c r="AE294" s="9" t="n"/>
      <c r="AF294" s="9" t="n"/>
      <c r="AG294" s="13">
        <f>SUM(B294:AE294)</f>
        <v/>
      </c>
    </row>
    <row r="295" ht="15.75" customHeight="1">
      <c r="A295" s="15" t="inlineStr">
        <is>
          <t>WALSALL MBC BARC-209073-10731692</t>
        </is>
      </c>
      <c r="B295" s="9" t="n"/>
      <c r="C295" s="9" t="n"/>
      <c r="D295" s="9" t="n"/>
      <c r="E295" s="9" t="n">
        <v>187000</v>
      </c>
      <c r="F295" s="9" t="n"/>
      <c r="H295" s="9" t="n"/>
      <c r="I295" s="9" t="n"/>
      <c r="J295" s="9" t="n"/>
      <c r="K295" s="9" t="n"/>
      <c r="L295" s="9" t="n"/>
      <c r="M295" s="9" t="n"/>
      <c r="N295" s="9" t="n"/>
      <c r="O295" s="9" t="n"/>
      <c r="P295" s="9" t="n"/>
      <c r="Q295" s="9" t="n"/>
      <c r="R295" s="9" t="n"/>
      <c r="S295" s="9" t="n"/>
      <c r="T295" s="9" t="n"/>
      <c r="U295" s="9" t="n"/>
      <c r="V295" s="9" t="n"/>
      <c r="W295" s="9" t="n"/>
      <c r="X295" s="9" t="n"/>
      <c r="Y295" s="9" t="n"/>
      <c r="Z295" s="9" t="n"/>
      <c r="AA295" s="9" t="n"/>
      <c r="AB295" s="9" t="n"/>
      <c r="AC295" s="9" t="n"/>
      <c r="AD295" s="9" t="n"/>
      <c r="AE295" s="9" t="n"/>
      <c r="AF295" s="9" t="n"/>
      <c r="AG295" s="13">
        <f>SUM(B295:AE295)</f>
        <v/>
      </c>
    </row>
    <row r="296" ht="15.75" customHeight="1">
      <c r="A296" s="15" t="inlineStr">
        <is>
          <t>WOLVERHAMPTON CC-560069-44470320</t>
        </is>
      </c>
      <c r="B296" s="9" t="n"/>
      <c r="C296" s="9" t="n"/>
      <c r="D296" s="9" t="n"/>
      <c r="E296" s="9" t="n"/>
      <c r="F296" s="9" t="n"/>
      <c r="G296" s="9" t="n">
        <v>112000</v>
      </c>
      <c r="H296" s="9" t="n"/>
      <c r="I296" s="9" t="n"/>
      <c r="J296" s="9" t="n"/>
      <c r="K296" s="9" t="n"/>
      <c r="L296" s="9" t="n"/>
      <c r="M296" s="9" t="n"/>
      <c r="N296" s="9" t="n">
        <v>112000</v>
      </c>
      <c r="O296" s="9" t="n"/>
      <c r="P296" s="9" t="n"/>
      <c r="Q296" s="9" t="n"/>
      <c r="R296" s="9" t="n"/>
      <c r="S296" s="9" t="n"/>
      <c r="T296" s="9" t="n"/>
      <c r="U296" s="9" t="n">
        <v>112000</v>
      </c>
      <c r="V296" s="9" t="n"/>
      <c r="W296" s="9" t="n"/>
      <c r="X296" s="9" t="n"/>
      <c r="Y296" s="9" t="n"/>
      <c r="Z296" s="9" t="n"/>
      <c r="AA296" s="9" t="n"/>
      <c r="AB296" s="9" t="n">
        <v>112000</v>
      </c>
      <c r="AC296" s="9" t="n"/>
      <c r="AD296" s="9" t="n"/>
      <c r="AE296" s="9" t="n"/>
      <c r="AF296" s="9" t="n"/>
      <c r="AG296" s="13">
        <f>SUM(B296:AE296)</f>
        <v/>
      </c>
    </row>
    <row r="297" ht="15.75" customHeight="1">
      <c r="A297" s="15" t="inlineStr">
        <is>
          <t>Portsmouth</t>
        </is>
      </c>
      <c r="B297" s="9" t="n"/>
      <c r="C297" s="9" t="n"/>
      <c r="D297" s="9" t="n">
        <v>5247.86</v>
      </c>
      <c r="E297" s="9" t="n"/>
      <c r="F297" s="9" t="n"/>
      <c r="G297" s="9" t="n"/>
      <c r="H297" s="9" t="n"/>
      <c r="I297" s="9" t="n"/>
      <c r="J297" s="9" t="n"/>
      <c r="K297" s="9" t="n"/>
      <c r="L297" s="9" t="n"/>
      <c r="M297" s="9" t="n"/>
      <c r="N297" s="9" t="n"/>
      <c r="O297" s="9" t="n"/>
      <c r="P297" s="9" t="n"/>
      <c r="Q297" s="9" t="n"/>
      <c r="R297" s="9" t="n"/>
      <c r="S297" s="9" t="n"/>
      <c r="T297" s="9" t="n"/>
      <c r="U297" s="9" t="n"/>
      <c r="V297" s="9" t="n"/>
      <c r="W297" s="9" t="n"/>
      <c r="X297" s="9" t="n"/>
      <c r="Y297" s="9" t="n"/>
      <c r="Z297" s="9" t="n"/>
      <c r="AA297" s="9" t="n"/>
      <c r="AB297" s="9" t="n"/>
      <c r="AC297" s="9" t="n"/>
      <c r="AD297" s="9" t="n"/>
      <c r="AE297" s="9" t="n"/>
      <c r="AF297" s="9" t="n"/>
      <c r="AG297" s="13">
        <f>SUM(B297:AE297)</f>
        <v/>
      </c>
    </row>
    <row r="298" ht="15.75" customHeight="1">
      <c r="A298" s="15" t="inlineStr">
        <is>
          <t>HB SC</t>
        </is>
      </c>
      <c r="B298" s="16" t="n">
        <v>3800</v>
      </c>
      <c r="C298" s="16" t="n">
        <v>3800</v>
      </c>
      <c r="D298" s="16" t="n">
        <v>3800</v>
      </c>
      <c r="E298" s="16" t="n">
        <v>3800</v>
      </c>
      <c r="F298" s="16" t="n">
        <v>3800</v>
      </c>
      <c r="G298" s="16" t="n">
        <v>3800</v>
      </c>
      <c r="H298" s="16" t="n">
        <v>3800</v>
      </c>
      <c r="I298" s="16" t="n">
        <v>3800</v>
      </c>
      <c r="J298" s="16" t="n">
        <v>3800</v>
      </c>
      <c r="K298" s="16" t="n">
        <v>3800</v>
      </c>
      <c r="L298" s="16" t="n">
        <v>3800</v>
      </c>
      <c r="M298" s="16" t="n">
        <v>3800</v>
      </c>
      <c r="N298" s="16" t="n">
        <v>3800</v>
      </c>
      <c r="O298" s="16" t="n">
        <v>3800</v>
      </c>
      <c r="P298" s="16" t="n">
        <v>3800</v>
      </c>
      <c r="Q298" s="16" t="n">
        <v>3800</v>
      </c>
      <c r="R298" s="16" t="n">
        <v>3800</v>
      </c>
      <c r="S298" s="16" t="n">
        <v>3800</v>
      </c>
      <c r="T298" s="16" t="n">
        <v>3800</v>
      </c>
      <c r="U298" s="16" t="n">
        <v>3800</v>
      </c>
      <c r="V298" s="16" t="n">
        <v>3800</v>
      </c>
      <c r="W298" s="16" t="n">
        <v>3800</v>
      </c>
      <c r="X298" s="16" t="n">
        <v>3800</v>
      </c>
      <c r="Y298" s="16" t="n">
        <v>3800</v>
      </c>
      <c r="Z298" s="16" t="n">
        <v>3800</v>
      </c>
      <c r="AA298" s="16" t="n">
        <v>3800</v>
      </c>
      <c r="AB298" s="16" t="n">
        <v>3800</v>
      </c>
      <c r="AC298" s="16" t="n">
        <v>3800</v>
      </c>
      <c r="AD298" s="16" t="n">
        <v>3800</v>
      </c>
      <c r="AE298" s="16" t="n">
        <v>3800</v>
      </c>
      <c r="AF298" s="16" t="n"/>
      <c r="AG298" s="13">
        <f>SUM(B298:AE298)</f>
        <v/>
      </c>
    </row>
    <row r="299" ht="16.5" customHeight="1" thickBot="1">
      <c r="A299" s="15" t="inlineStr">
        <is>
          <t>Total</t>
        </is>
      </c>
      <c r="B299">
        <f>SUM(B282:B298)</f>
        <v/>
      </c>
      <c r="C299">
        <f>SUM(C282:C298)</f>
        <v/>
      </c>
      <c r="D299">
        <f>SUM(D282:D298)</f>
        <v/>
      </c>
      <c r="E299">
        <f>SUM(E282:E298)</f>
        <v/>
      </c>
      <c r="F299">
        <f>SUM(F282:F298)</f>
        <v/>
      </c>
      <c r="G299">
        <f>SUM(G282:G298)</f>
        <v/>
      </c>
      <c r="H299">
        <f>SUM(H282:H298)</f>
        <v/>
      </c>
      <c r="I299">
        <f>SUM(I282:I298)</f>
        <v/>
      </c>
      <c r="J299">
        <f>SUM(J282:J298)</f>
        <v/>
      </c>
      <c r="K299">
        <f>SUM(K282:K298)</f>
        <v/>
      </c>
      <c r="L299">
        <f>SUM(L282:L298)</f>
        <v/>
      </c>
      <c r="M299">
        <f>SUM(M282:M298)</f>
        <v/>
      </c>
      <c r="N299">
        <f>SUM(N282:N298)</f>
        <v/>
      </c>
      <c r="O299">
        <f>SUM(O282:O298)</f>
        <v/>
      </c>
      <c r="P299">
        <f>SUM(P282:P298)</f>
        <v/>
      </c>
      <c r="Q299">
        <f>SUM(Q282:Q298)</f>
        <v/>
      </c>
      <c r="R299">
        <f>SUM(R282:R298)</f>
        <v/>
      </c>
      <c r="S299">
        <f>SUM(S282:S298)</f>
        <v/>
      </c>
      <c r="T299">
        <f>SUM(T282:T298)</f>
        <v/>
      </c>
      <c r="U299">
        <f>SUM(U282:U298)</f>
        <v/>
      </c>
      <c r="V299">
        <f>SUM(V282:V298)</f>
        <v/>
      </c>
      <c r="W299">
        <f>SUM(W282:W298)</f>
        <v/>
      </c>
      <c r="X299">
        <f>SUM(X282:X298)</f>
        <v/>
      </c>
      <c r="Y299">
        <f>SUM(Y282:Y298)</f>
        <v/>
      </c>
      <c r="Z299">
        <f>SUM(Z282:Z298)</f>
        <v/>
      </c>
      <c r="AA299">
        <f>SUM(AA282:AA298)</f>
        <v/>
      </c>
      <c r="AB299">
        <f>SUM(AB282:AB298)</f>
        <v/>
      </c>
      <c r="AC299">
        <f>SUM(AC282:AC298)</f>
        <v/>
      </c>
      <c r="AD299">
        <f>SUM(AD282:AD298)</f>
        <v/>
      </c>
      <c r="AE299">
        <f>SUM(AE282:AE298)</f>
        <v/>
      </c>
      <c r="AG299" s="252">
        <f>SUM(AG282:AG298)</f>
        <v/>
      </c>
    </row>
    <row r="300" ht="15.75" customHeight="1" thickTop="1">
      <c r="A300" s="15" t="inlineStr">
        <is>
          <t>Ruunning Total</t>
        </is>
      </c>
      <c r="B300">
        <f>B299</f>
        <v/>
      </c>
      <c r="C300">
        <f>B300+C299</f>
        <v/>
      </c>
      <c r="D300">
        <f>C300+D299</f>
        <v/>
      </c>
      <c r="E300">
        <f>D300+E299</f>
        <v/>
      </c>
      <c r="F300">
        <f>E300+F299</f>
        <v/>
      </c>
      <c r="G300">
        <f>F300+G299</f>
        <v/>
      </c>
      <c r="H300">
        <f>G300+H299</f>
        <v/>
      </c>
      <c r="I300">
        <f>H300+I299</f>
        <v/>
      </c>
      <c r="J300">
        <f>I300+J299</f>
        <v/>
      </c>
      <c r="K300">
        <f>J300+K299</f>
        <v/>
      </c>
      <c r="L300">
        <f>K300+L299</f>
        <v/>
      </c>
      <c r="M300">
        <f>L300+M299</f>
        <v/>
      </c>
      <c r="N300">
        <f>M300+N299</f>
        <v/>
      </c>
      <c r="O300">
        <f>N300+O299</f>
        <v/>
      </c>
      <c r="P300">
        <f>O300+P299</f>
        <v/>
      </c>
      <c r="Q300">
        <f>P300+Q299</f>
        <v/>
      </c>
      <c r="R300">
        <f>Q300+R299</f>
        <v/>
      </c>
      <c r="S300">
        <f>R300+S299</f>
        <v/>
      </c>
      <c r="T300">
        <f>S300+T299</f>
        <v/>
      </c>
      <c r="U300">
        <f>T300+U299</f>
        <v/>
      </c>
      <c r="V300">
        <f>U300+V299</f>
        <v/>
      </c>
      <c r="W300">
        <f>V300+W299</f>
        <v/>
      </c>
      <c r="X300">
        <f>W300+X299</f>
        <v/>
      </c>
      <c r="Y300">
        <f>X300+Y299</f>
        <v/>
      </c>
      <c r="Z300">
        <f>Y300+Z299</f>
        <v/>
      </c>
      <c r="AA300">
        <f>Z300+AA299</f>
        <v/>
      </c>
      <c r="AB300">
        <f>AA300+AB299</f>
        <v/>
      </c>
      <c r="AC300">
        <f>AB300+AC299</f>
        <v/>
      </c>
      <c r="AD300">
        <f>AC300+AD299</f>
        <v/>
      </c>
      <c r="AE300">
        <f>AD300+AE299</f>
        <v/>
      </c>
    </row>
    <row r="303">
      <c r="A303" s="1" t="n"/>
      <c r="B303" s="2" t="inlineStr">
        <is>
          <t xml:space="preserve">July </t>
        </is>
      </c>
      <c r="C303" s="2" t="n"/>
      <c r="D303" s="2" t="n"/>
      <c r="E303" s="2" t="n"/>
      <c r="F303" s="2" t="n"/>
      <c r="G303" s="2" t="n"/>
      <c r="H303" s="2" t="n"/>
      <c r="I303" s="2" t="n"/>
      <c r="J303" s="2" t="n"/>
      <c r="K303" s="2" t="n"/>
      <c r="L303" s="2" t="n"/>
      <c r="M303" s="2" t="n"/>
      <c r="N303" s="2" t="n"/>
      <c r="O303" s="2" t="n"/>
      <c r="P303" s="2" t="n"/>
      <c r="Q303" s="2" t="n"/>
      <c r="R303" s="2" t="n"/>
      <c r="S303" s="2" t="n"/>
      <c r="T303" s="2" t="n"/>
      <c r="U303" s="2" t="n"/>
      <c r="V303" s="2" t="n"/>
      <c r="W303" s="2" t="n"/>
      <c r="X303" s="2" t="n"/>
      <c r="Y303" s="2" t="n"/>
      <c r="Z303" s="2" t="n"/>
      <c r="AA303" s="2" t="n"/>
      <c r="AB303" s="2" t="n"/>
      <c r="AC303" s="2" t="n"/>
      <c r="AD303" s="2" t="n"/>
      <c r="AE303" s="1" t="n"/>
      <c r="AF303" s="1" t="n"/>
      <c r="AG303" s="1" t="n"/>
    </row>
    <row r="304">
      <c r="A304" s="1" t="n"/>
      <c r="B304" s="2" t="inlineStr">
        <is>
          <t>Monday</t>
        </is>
      </c>
      <c r="C304" s="2" t="inlineStr">
        <is>
          <t>Tuesday</t>
        </is>
      </c>
      <c r="D304" s="2" t="inlineStr">
        <is>
          <t>Wednesday</t>
        </is>
      </c>
      <c r="E304" s="2" t="inlineStr">
        <is>
          <t>Thursday</t>
        </is>
      </c>
      <c r="F304" s="2" t="inlineStr">
        <is>
          <t>Friday</t>
        </is>
      </c>
      <c r="G304" s="2" t="inlineStr">
        <is>
          <t>Saturday</t>
        </is>
      </c>
      <c r="H304" s="2" t="inlineStr">
        <is>
          <t>Sunday</t>
        </is>
      </c>
      <c r="I304" s="2" t="inlineStr">
        <is>
          <t>Monday</t>
        </is>
      </c>
      <c r="J304" s="2" t="inlineStr">
        <is>
          <t>Tuesday</t>
        </is>
      </c>
      <c r="K304" s="2" t="inlineStr">
        <is>
          <t>Wednesday</t>
        </is>
      </c>
      <c r="L304" s="2" t="inlineStr">
        <is>
          <t>Thursday</t>
        </is>
      </c>
      <c r="M304" s="2" t="inlineStr">
        <is>
          <t>Friday</t>
        </is>
      </c>
      <c r="N304" s="2" t="inlineStr">
        <is>
          <t>Saturday</t>
        </is>
      </c>
      <c r="O304" s="2" t="inlineStr">
        <is>
          <t>Sunday</t>
        </is>
      </c>
      <c r="P304" s="2" t="inlineStr">
        <is>
          <t>Monday</t>
        </is>
      </c>
      <c r="Q304" s="2" t="inlineStr">
        <is>
          <t>Tuesday</t>
        </is>
      </c>
      <c r="R304" s="2" t="inlineStr">
        <is>
          <t>Wednesday</t>
        </is>
      </c>
      <c r="S304" s="2" t="inlineStr">
        <is>
          <t>Thursday</t>
        </is>
      </c>
      <c r="T304" s="2" t="inlineStr">
        <is>
          <t>Friday</t>
        </is>
      </c>
      <c r="U304" s="2" t="inlineStr">
        <is>
          <t>Saturday</t>
        </is>
      </c>
      <c r="V304" s="2" t="inlineStr">
        <is>
          <t>Sunday</t>
        </is>
      </c>
      <c r="W304" s="2" t="inlineStr">
        <is>
          <t>Monday</t>
        </is>
      </c>
      <c r="X304" s="2" t="inlineStr">
        <is>
          <t>Tuesday</t>
        </is>
      </c>
      <c r="Y304" s="2" t="inlineStr">
        <is>
          <t>Wednesday</t>
        </is>
      </c>
      <c r="Z304" s="2" t="inlineStr">
        <is>
          <t>Thursday</t>
        </is>
      </c>
      <c r="AA304" s="2" t="inlineStr">
        <is>
          <t>Friday</t>
        </is>
      </c>
      <c r="AB304" s="2" t="inlineStr">
        <is>
          <t>Saturday</t>
        </is>
      </c>
      <c r="AC304" s="2" t="inlineStr">
        <is>
          <t>Sunday</t>
        </is>
      </c>
      <c r="AD304" s="2" t="inlineStr">
        <is>
          <t>Monday</t>
        </is>
      </c>
      <c r="AE304" s="2" t="inlineStr">
        <is>
          <t>Tueday</t>
        </is>
      </c>
      <c r="AF304" s="2" t="inlineStr">
        <is>
          <t>Wedneeday</t>
        </is>
      </c>
      <c r="AG304" s="2" t="inlineStr">
        <is>
          <t>Total</t>
        </is>
      </c>
    </row>
    <row r="305">
      <c r="A305" s="1" t="n"/>
      <c r="B305" s="3" t="inlineStr">
        <is>
          <t>1st</t>
        </is>
      </c>
      <c r="C305" s="3" t="inlineStr">
        <is>
          <t>2nd</t>
        </is>
      </c>
      <c r="D305" s="3" t="inlineStr">
        <is>
          <t>3rd</t>
        </is>
      </c>
      <c r="E305" s="3" t="inlineStr">
        <is>
          <t>4th</t>
        </is>
      </c>
      <c r="F305" s="3" t="inlineStr">
        <is>
          <t>5th</t>
        </is>
      </c>
      <c r="G305" s="3" t="inlineStr">
        <is>
          <t>6th</t>
        </is>
      </c>
      <c r="H305" s="3" t="inlineStr">
        <is>
          <t>7th</t>
        </is>
      </c>
      <c r="I305" s="4" t="inlineStr">
        <is>
          <t>8th</t>
        </is>
      </c>
      <c r="J305" s="4" t="inlineStr">
        <is>
          <t>9th</t>
        </is>
      </c>
      <c r="K305" s="4" t="inlineStr">
        <is>
          <t>10th</t>
        </is>
      </c>
      <c r="L305" s="4" t="inlineStr">
        <is>
          <t>11th</t>
        </is>
      </c>
      <c r="M305" s="4" t="inlineStr">
        <is>
          <t>12th</t>
        </is>
      </c>
      <c r="N305" s="4" t="inlineStr">
        <is>
          <t>13th</t>
        </is>
      </c>
      <c r="O305" s="4" t="inlineStr">
        <is>
          <t>14th</t>
        </is>
      </c>
      <c r="P305" s="5" t="inlineStr">
        <is>
          <t>15th</t>
        </is>
      </c>
      <c r="Q305" s="5" t="inlineStr">
        <is>
          <t>16th</t>
        </is>
      </c>
      <c r="R305" s="5" t="inlineStr">
        <is>
          <t>17th</t>
        </is>
      </c>
      <c r="S305" s="5" t="inlineStr">
        <is>
          <t>18th</t>
        </is>
      </c>
      <c r="T305" s="5" t="inlineStr">
        <is>
          <t>19th</t>
        </is>
      </c>
      <c r="U305" s="5" t="inlineStr">
        <is>
          <t>20th</t>
        </is>
      </c>
      <c r="V305" s="5" t="inlineStr">
        <is>
          <t>21st</t>
        </is>
      </c>
      <c r="W305" s="6" t="inlineStr">
        <is>
          <t>22nd</t>
        </is>
      </c>
      <c r="X305" s="6" t="inlineStr">
        <is>
          <t>23rd</t>
        </is>
      </c>
      <c r="Y305" s="6" t="inlineStr">
        <is>
          <t>24th</t>
        </is>
      </c>
      <c r="Z305" s="6" t="inlineStr">
        <is>
          <t>25th</t>
        </is>
      </c>
      <c r="AA305" s="6" t="inlineStr">
        <is>
          <t>26th</t>
        </is>
      </c>
      <c r="AB305" s="6" t="inlineStr">
        <is>
          <t>27th</t>
        </is>
      </c>
      <c r="AC305" s="6" t="inlineStr">
        <is>
          <t>28th</t>
        </is>
      </c>
      <c r="AD305" s="7" t="inlineStr">
        <is>
          <t>29th</t>
        </is>
      </c>
      <c r="AE305" s="7" t="inlineStr">
        <is>
          <t>30th</t>
        </is>
      </c>
      <c r="AF305" s="7" t="inlineStr">
        <is>
          <t>31st</t>
        </is>
      </c>
      <c r="AG305" s="1" t="n"/>
    </row>
    <row r="306" ht="18.75" customHeight="1">
      <c r="A306" s="8" t="inlineStr">
        <is>
          <t>B-HAM CITY COUNCIL-200790-70489166</t>
        </is>
      </c>
      <c r="B306" s="9" t="n"/>
      <c r="C306" s="9" t="n"/>
      <c r="D306" s="12">
        <f>5041.28</f>
        <v/>
      </c>
      <c r="E306" s="10" t="n"/>
      <c r="F306" s="11" t="n"/>
      <c r="G306" s="9" t="n"/>
      <c r="H306" s="12" t="n"/>
      <c r="I306" s="12" t="n">
        <v>75502.24000000001</v>
      </c>
      <c r="L306" s="10" t="n"/>
      <c r="M306" s="11" t="n"/>
      <c r="N306" s="9" t="n"/>
      <c r="O306" s="12" t="n"/>
      <c r="P306" s="12" t="n"/>
      <c r="Q306" s="12" t="n"/>
      <c r="R306" s="12" t="n"/>
      <c r="S306" s="9" t="n"/>
      <c r="T306" s="12" t="n"/>
      <c r="U306" s="9" t="n"/>
      <c r="V306" s="12" t="n"/>
      <c r="W306" s="12" t="n"/>
      <c r="X306" s="10" t="n"/>
      <c r="Y306" s="11" t="n"/>
      <c r="Z306" s="9" t="n"/>
      <c r="AA306" s="12" t="n"/>
      <c r="AB306" s="9" t="n"/>
      <c r="AC306" s="9" t="n"/>
      <c r="AD306" s="9" t="n"/>
      <c r="AE306" s="12">
        <f>5041.28</f>
        <v/>
      </c>
      <c r="AF306" s="9" t="n"/>
      <c r="AG306" s="13">
        <f>SUM(B306:AE306)</f>
        <v/>
      </c>
    </row>
    <row r="307" ht="15.75" customHeight="1">
      <c r="A307" s="8" t="inlineStr">
        <is>
          <t>Buckingham</t>
        </is>
      </c>
      <c r="B307" s="9" t="n"/>
      <c r="C307" s="9" t="n"/>
      <c r="D307" s="9" t="n"/>
      <c r="E307" s="9" t="n"/>
      <c r="F307" s="31" t="n">
        <v>5134.44</v>
      </c>
      <c r="G307" s="9" t="n"/>
      <c r="H307" s="9" t="n"/>
      <c r="I307" s="9" t="n"/>
      <c r="J307" s="9" t="n"/>
      <c r="K307" s="9" t="n"/>
      <c r="L307" s="9" t="n"/>
      <c r="M307" s="9" t="n"/>
      <c r="N307" s="9" t="n"/>
      <c r="O307" s="9" t="n"/>
      <c r="P307" s="9" t="n"/>
      <c r="Q307" s="9" t="n"/>
      <c r="R307" s="12" t="n">
        <v>4937.64</v>
      </c>
      <c r="S307" s="9" t="n"/>
      <c r="T307" s="9" t="n"/>
      <c r="U307" s="9" t="n"/>
      <c r="V307" s="9" t="n"/>
      <c r="W307" s="9" t="n"/>
      <c r="X307" s="9" t="n"/>
      <c r="Y307" s="9" t="n"/>
      <c r="Z307" s="9" t="n"/>
      <c r="AA307" s="9" t="n"/>
      <c r="AB307" s="9" t="n"/>
      <c r="AC307" s="9" t="n"/>
      <c r="AD307" s="9" t="n"/>
      <c r="AE307" s="9" t="n"/>
      <c r="AF307" s="9" t="n"/>
      <c r="AG307" s="13">
        <f>SUM(B307:AE307)</f>
        <v/>
      </c>
    </row>
    <row r="308" ht="15.75" customHeight="1">
      <c r="A308" s="8" t="inlineStr">
        <is>
          <t>Sandwell respite est</t>
        </is>
      </c>
      <c r="B308" s="9" t="n"/>
      <c r="C308" s="9" t="n"/>
      <c r="D308" s="9" t="n"/>
      <c r="E308" s="9" t="n"/>
      <c r="F308" s="9" t="n"/>
      <c r="G308" s="9" t="n"/>
      <c r="H308" s="9" t="n"/>
      <c r="I308" s="9" t="n"/>
      <c r="J308" s="9" t="n"/>
      <c r="K308" s="9" t="n"/>
      <c r="L308" s="9" t="n"/>
      <c r="M308" s="9" t="n"/>
      <c r="N308" s="9" t="n"/>
      <c r="O308" s="9" t="n"/>
      <c r="P308" s="9" t="n"/>
      <c r="Q308" s="9" t="n"/>
      <c r="R308" s="9" t="n"/>
      <c r="S308" s="9" t="n"/>
      <c r="T308" s="9" t="n"/>
      <c r="U308" s="9" t="n"/>
      <c r="V308" s="9" t="n"/>
      <c r="W308" s="9" t="n"/>
      <c r="X308" s="9" t="n"/>
      <c r="Y308" s="9" t="n"/>
      <c r="Z308" s="9" t="n"/>
      <c r="AA308" s="9" t="n"/>
      <c r="AB308" s="9" t="n"/>
      <c r="AC308" s="9" t="n"/>
      <c r="AD308" s="9" t="n"/>
      <c r="AE308" s="9" t="n">
        <v>20000</v>
      </c>
      <c r="AF308" s="9" t="n"/>
      <c r="AG308" s="13">
        <f>SUM(B308:AE308)</f>
        <v/>
      </c>
    </row>
    <row r="309" ht="15.75" customHeight="1">
      <c r="A309" s="8" t="inlineStr">
        <is>
          <t xml:space="preserve">Wolverhampton respite est </t>
        </is>
      </c>
      <c r="B309" s="9" t="n"/>
      <c r="C309" s="9" t="n"/>
      <c r="D309" s="9" t="n"/>
      <c r="E309" s="9" t="n"/>
      <c r="F309" s="9" t="n"/>
      <c r="G309" s="9" t="n"/>
      <c r="H309" s="9" t="n"/>
      <c r="I309" s="9" t="n"/>
      <c r="J309" s="9" t="n"/>
      <c r="K309" s="9" t="n"/>
      <c r="L309" s="9" t="n"/>
      <c r="M309" s="9" t="n"/>
      <c r="N309" s="9" t="n"/>
      <c r="O309" s="9" t="n"/>
      <c r="P309" s="9" t="n"/>
      <c r="Q309" s="9" t="n"/>
      <c r="R309" s="9" t="n"/>
      <c r="S309" s="9" t="n"/>
      <c r="T309" s="9" t="n"/>
      <c r="U309" s="9" t="n"/>
      <c r="V309" s="9" t="n"/>
      <c r="W309" s="9" t="n"/>
      <c r="X309" s="9" t="n"/>
      <c r="Y309" s="9" t="n"/>
      <c r="Z309" s="9" t="n"/>
      <c r="AA309" s="9" t="n"/>
      <c r="AB309" s="9" t="n"/>
      <c r="AC309" s="9" t="n"/>
      <c r="AD309" s="9" t="n"/>
      <c r="AE309" s="9" t="n">
        <v>30000</v>
      </c>
      <c r="AF309" s="9" t="n"/>
      <c r="AG309" s="13">
        <f>SUM(B309:AE309)</f>
        <v/>
      </c>
    </row>
    <row r="310" ht="15.75" customHeight="1">
      <c r="A310" s="8" t="inlineStr">
        <is>
          <t>Walsall Respite</t>
        </is>
      </c>
      <c r="B310" s="9" t="n"/>
      <c r="C310" s="9" t="n"/>
      <c r="D310" s="9" t="n"/>
      <c r="E310" s="9" t="n"/>
      <c r="F310" s="9" t="n"/>
      <c r="H310" s="9" t="n"/>
      <c r="I310" s="9" t="n"/>
      <c r="J310" s="9" t="n"/>
      <c r="K310" s="9" t="n"/>
      <c r="L310" s="9" t="n"/>
      <c r="M310" s="9" t="n"/>
      <c r="N310" s="9" t="n"/>
      <c r="O310" s="9" t="n"/>
      <c r="P310" s="9" t="n"/>
      <c r="Q310" s="9" t="n"/>
      <c r="R310" s="9" t="n"/>
      <c r="S310" s="9" t="n"/>
      <c r="T310" s="9" t="n"/>
      <c r="U310" s="9" t="n"/>
      <c r="V310" s="9" t="n"/>
      <c r="W310" s="9" t="n"/>
      <c r="X310" s="9" t="n"/>
      <c r="Y310" s="9" t="n"/>
      <c r="Z310" s="9" t="n"/>
      <c r="AA310" s="9" t="n"/>
      <c r="AB310" s="9" t="n"/>
      <c r="AC310" s="9" t="n"/>
      <c r="AD310" s="9" t="n"/>
      <c r="AE310" s="9" t="n">
        <v>15000</v>
      </c>
      <c r="AF310" s="9" t="n"/>
      <c r="AG310" s="13">
        <f>SUM(B310:AE310)</f>
        <v/>
      </c>
    </row>
    <row r="311" ht="18.75" customHeight="1">
      <c r="A311" s="8" t="inlineStr">
        <is>
          <t>Ideal for All Ltd</t>
        </is>
      </c>
      <c r="B311" s="9" t="n"/>
      <c r="C311" s="9" t="n"/>
      <c r="D311" s="31" t="n"/>
      <c r="E311" s="31" t="n"/>
      <c r="F311" t="n">
        <v>3344</v>
      </c>
      <c r="G311" s="9" t="n"/>
      <c r="J311" s="12" t="n"/>
      <c r="K311" s="11" t="n"/>
      <c r="L311" s="11" t="n">
        <v>3661.88</v>
      </c>
      <c r="M311" s="9" t="n"/>
      <c r="N311" s="9" t="n"/>
      <c r="O311" s="9" t="n"/>
      <c r="P311" s="12" t="n">
        <v>2536.8</v>
      </c>
      <c r="Q311" s="9" t="n"/>
      <c r="R311" s="9" t="n"/>
      <c r="S311" s="9" t="n"/>
      <c r="T311" s="9" t="n"/>
      <c r="U311" s="9" t="n"/>
      <c r="V311" s="9" t="n"/>
      <c r="W311" s="9" t="n"/>
      <c r="X311" s="9" t="n"/>
      <c r="Y311" s="9" t="n"/>
      <c r="Z311" s="9" t="n"/>
      <c r="AA311" s="9" t="n"/>
      <c r="AB311" s="9" t="n"/>
      <c r="AC311" s="9" t="n"/>
      <c r="AD311" s="9" t="n"/>
      <c r="AE311" s="9" t="n"/>
      <c r="AF311" s="9" t="n"/>
      <c r="AG311" s="13">
        <f>SUM(B311:AE311)</f>
        <v/>
      </c>
    </row>
    <row r="312" ht="15.75" customHeight="1">
      <c r="A312" s="8" t="inlineStr">
        <is>
          <t>KIRKLEES COUNCIL-204312-63046958</t>
        </is>
      </c>
      <c r="B312" s="9" t="n"/>
      <c r="C312" s="9" t="n"/>
      <c r="D312" s="31" t="n"/>
      <c r="E312" s="26" t="n"/>
      <c r="F312" s="12" t="n"/>
      <c r="G312" s="9" t="n"/>
      <c r="H312" s="9" t="n"/>
      <c r="I312" s="12" t="n"/>
      <c r="J312" s="9" t="n"/>
      <c r="K312" s="12" t="n"/>
      <c r="L312" s="9" t="n"/>
      <c r="M312" s="9" t="n"/>
      <c r="N312" s="9" t="n"/>
      <c r="O312" s="9" t="n"/>
      <c r="Q312" s="12" t="n"/>
      <c r="R312" s="12" t="n">
        <v>5554.89</v>
      </c>
      <c r="S312" s="9" t="n"/>
      <c r="T312" s="9" t="n"/>
      <c r="U312" s="9" t="n"/>
      <c r="V312" s="9" t="n"/>
      <c r="W312" s="9" t="n"/>
      <c r="X312" s="9" t="n"/>
      <c r="Y312" s="9" t="n"/>
      <c r="Z312" s="9" t="n"/>
      <c r="AA312" s="9" t="n"/>
      <c r="AB312" s="9" t="n"/>
      <c r="AC312" s="9" t="n"/>
      <c r="AD312" s="9" t="n"/>
      <c r="AE312" s="12" t="n"/>
      <c r="AF312" s="12" t="n"/>
      <c r="AG312" s="13">
        <f>SUM(B312:AE312)</f>
        <v/>
      </c>
    </row>
    <row r="313" ht="15.75" customHeight="1">
      <c r="A313" s="8" t="inlineStr">
        <is>
          <t>LBH PAYMENTS BACS-602210-72430192</t>
        </is>
      </c>
      <c r="B313" s="9" t="n"/>
      <c r="C313" s="9" t="n"/>
      <c r="D313" s="26" t="n"/>
      <c r="E313" s="26" t="n"/>
      <c r="F313" s="12" t="n"/>
      <c r="G313" s="9" t="n"/>
      <c r="H313" s="9" t="n"/>
      <c r="I313" s="9" t="n"/>
      <c r="J313" s="9" t="n"/>
      <c r="K313" s="9" t="n"/>
      <c r="L313" s="12" t="n"/>
      <c r="M313" s="9" t="n"/>
      <c r="N313" s="9" t="n"/>
      <c r="O313" s="9" t="n"/>
      <c r="P313" s="9" t="n">
        <v>5040</v>
      </c>
      <c r="Q313" s="9" t="n"/>
      <c r="R313" s="9" t="n"/>
      <c r="S313" s="9" t="n"/>
      <c r="T313" s="9" t="n"/>
      <c r="U313" s="9" t="n"/>
      <c r="V313" s="9" t="n"/>
      <c r="W313" s="9" t="n"/>
      <c r="X313" s="9" t="n"/>
      <c r="Y313" s="9" t="n"/>
      <c r="Z313" s="9" t="n"/>
      <c r="AA313" s="9" t="n"/>
      <c r="AB313" s="9" t="n"/>
      <c r="AC313" s="9" t="n"/>
      <c r="AD313" s="9" t="n"/>
      <c r="AE313" s="9" t="n"/>
      <c r="AF313" s="9" t="n"/>
      <c r="AG313" s="13">
        <f>SUM(B313:AE313)</f>
        <v/>
      </c>
    </row>
    <row r="314" ht="15.75" customHeight="1">
      <c r="A314" s="8" t="inlineStr">
        <is>
          <t>NHS BIRMINGHAM &amp; S-607080-10017097</t>
        </is>
      </c>
      <c r="B314" s="9" t="n"/>
      <c r="C314" s="9" t="n"/>
      <c r="D314" s="31" t="n">
        <v>7121.63</v>
      </c>
      <c r="E314" s="31" t="n"/>
      <c r="F314" s="12" t="n"/>
      <c r="G314" s="12" t="n"/>
      <c r="H314" s="12" t="n"/>
      <c r="I314" s="12" t="n"/>
      <c r="J314" s="9" t="inlineStr"/>
      <c r="K314" s="9" t="n"/>
      <c r="L314" s="9" t="n"/>
      <c r="M314" s="9" t="n"/>
      <c r="N314" s="9" t="n"/>
      <c r="O314" s="9" t="n"/>
      <c r="P314" s="9" t="n"/>
      <c r="Q314" s="9" t="n"/>
      <c r="R314" s="9" t="n"/>
      <c r="S314" s="9" t="n"/>
      <c r="T314" s="9" t="n"/>
      <c r="U314" s="9" t="n"/>
      <c r="V314" s="9" t="n"/>
      <c r="W314" s="9" t="n"/>
      <c r="X314" s="9" t="n"/>
      <c r="Y314" s="9" t="n"/>
      <c r="Z314" s="9" t="n"/>
      <c r="AA314" s="9" t="n"/>
      <c r="AB314" s="9" t="n"/>
      <c r="AC314" s="9" t="n"/>
      <c r="AD314" s="9" t="n"/>
      <c r="AE314" s="9" t="n"/>
      <c r="AF314" s="9" t="n"/>
      <c r="AG314" s="13">
        <f>SUM(B314:AE314)</f>
        <v/>
      </c>
    </row>
    <row r="315" ht="15.75" customHeight="1">
      <c r="A315" s="8" t="inlineStr">
        <is>
          <t>NHS BLACK COUNTRY-607080-10015272</t>
        </is>
      </c>
      <c r="B315" s="9" t="n"/>
      <c r="C315" s="9" t="n"/>
      <c r="D315" s="26" t="n"/>
      <c r="E315" s="26" t="inlineStr"/>
      <c r="G315" s="9" t="inlineStr"/>
      <c r="H315" s="9" t="inlineStr"/>
      <c r="I315" t="inlineStr">
        <is>
          <t>.</t>
        </is>
      </c>
      <c r="J315" s="12" t="n"/>
      <c r="K315" s="9" t="n"/>
      <c r="L315" s="9" t="n"/>
      <c r="M315" s="9" t="n"/>
      <c r="N315" s="9" t="n"/>
      <c r="O315" t="n">
        <v>13185.64</v>
      </c>
      <c r="P315" s="31" t="n"/>
      <c r="Q315" s="26" t="n"/>
      <c r="R315" s="26" t="n"/>
      <c r="S315" s="26" t="n"/>
      <c r="T315" s="26" t="n"/>
      <c r="U315" s="31" t="n"/>
      <c r="V315" s="26" t="n"/>
      <c r="W315" s="26" t="n"/>
      <c r="X315" s="26" t="n"/>
      <c r="Y315" s="26" t="n"/>
      <c r="Z315" s="9" t="n"/>
      <c r="AA315" s="26" t="n"/>
      <c r="AB315" s="26" t="n"/>
      <c r="AC315" s="31" t="n">
        <v>8073.21</v>
      </c>
      <c r="AD315" s="9" t="n"/>
      <c r="AE315" s="9" t="n"/>
      <c r="AF315" s="9" t="n"/>
      <c r="AG315" s="13">
        <f>SUM(B315:AE315)</f>
        <v/>
      </c>
    </row>
    <row r="316" ht="15.75" customHeight="1">
      <c r="A316" s="14" t="inlineStr">
        <is>
          <t>SANDWELL MBC  BEN-601539-69624151</t>
        </is>
      </c>
      <c r="B316" s="9" t="n"/>
      <c r="C316" s="9" t="n"/>
      <c r="D316" s="9" t="n"/>
      <c r="E316" s="9" t="n"/>
      <c r="F316" s="9" t="n"/>
      <c r="G316" s="9" t="n"/>
      <c r="H316" s="12" t="n"/>
      <c r="I316" s="9" t="n"/>
      <c r="J316" s="9" t="n"/>
      <c r="K316" s="9" t="n"/>
      <c r="L316" s="9" t="n"/>
      <c r="M316" s="9" t="n"/>
      <c r="N316" s="9" t="n"/>
      <c r="O316" s="9" t="n"/>
      <c r="P316" s="9" t="n"/>
      <c r="Q316" s="9" t="n"/>
      <c r="R316" s="9" t="n"/>
      <c r="S316" s="9" t="n"/>
      <c r="T316" s="12" t="n"/>
      <c r="U316" s="9" t="n"/>
      <c r="V316" s="9" t="n"/>
      <c r="W316" s="9" t="n"/>
      <c r="X316" s="9" t="n"/>
      <c r="Y316" s="12" t="n">
        <v>3000</v>
      </c>
      <c r="Z316" s="9" t="n"/>
      <c r="AA316" s="9" t="n"/>
      <c r="AB316" s="9" t="n"/>
      <c r="AC316" s="9" t="n"/>
      <c r="AD316" s="9" t="n"/>
      <c r="AE316" s="9" t="n"/>
      <c r="AF316" s="9" t="n"/>
      <c r="AG316" s="13">
        <f>SUM(B316:AE316)</f>
        <v/>
      </c>
    </row>
    <row r="317" ht="15.75" customHeight="1">
      <c r="A317" s="14" t="inlineStr">
        <is>
          <t>SANDWELL MBC-601539-69624135</t>
        </is>
      </c>
      <c r="B317" s="9" t="n"/>
      <c r="C317" s="9" t="n"/>
      <c r="D317" s="9" t="n"/>
      <c r="E317" s="9" t="n"/>
      <c r="F317" s="9" t="n"/>
      <c r="G317" s="9" t="n"/>
      <c r="H317" s="9" t="n"/>
      <c r="I317" s="9" t="n"/>
      <c r="J317" s="9" t="n"/>
      <c r="K317" s="9" t="n">
        <v>120000</v>
      </c>
      <c r="L317" s="9" t="n"/>
      <c r="M317" s="9" t="n"/>
      <c r="N317" s="9" t="n"/>
      <c r="O317" s="9" t="n"/>
      <c r="P317" s="9" t="n"/>
      <c r="Q317" s="9" t="n"/>
      <c r="R317" s="9" t="n"/>
      <c r="S317" s="9" t="n"/>
      <c r="T317" s="9" t="n"/>
      <c r="U317" s="9" t="n"/>
      <c r="V317" s="9" t="n"/>
      <c r="W317" s="9" t="n"/>
      <c r="X317" s="9" t="n"/>
      <c r="Y317" s="9" t="n">
        <v>120000</v>
      </c>
      <c r="Z317" s="9" t="n"/>
      <c r="AA317" s="9" t="n"/>
      <c r="AB317" s="9" t="n"/>
      <c r="AC317" s="9" t="n"/>
      <c r="AD317" s="9" t="n"/>
      <c r="AE317" s="9" t="n"/>
      <c r="AF317" s="9" t="n"/>
      <c r="AG317" s="13">
        <f>SUM(B317:AE317)</f>
        <v/>
      </c>
    </row>
    <row r="318" ht="15.75" customHeight="1">
      <c r="A318" s="15" t="inlineStr">
        <is>
          <t>SOLIHULL MBC EXP.-200771-00561525</t>
        </is>
      </c>
      <c r="B318" s="9" t="n"/>
      <c r="C318" s="9" t="n"/>
      <c r="D318" s="9" t="n"/>
      <c r="E318" s="9" t="n"/>
      <c r="F318" s="9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9" t="n"/>
      <c r="P318" s="12" t="n">
        <v>32000</v>
      </c>
      <c r="Q318" s="9" t="n"/>
      <c r="R318" s="12" t="n"/>
      <c r="S318" s="9" t="n"/>
      <c r="U318" s="9" t="n"/>
      <c r="V318" s="9" t="n"/>
      <c r="W318" s="9" t="n"/>
      <c r="X318" s="9" t="n"/>
      <c r="Y318" s="9" t="n"/>
      <c r="Z318" s="9" t="n"/>
      <c r="AA318" s="9" t="n"/>
      <c r="AB318" s="9" t="n"/>
      <c r="AC318" s="9" t="n"/>
      <c r="AD318" s="9" t="n"/>
      <c r="AE318" s="9" t="n"/>
      <c r="AF318" s="9" t="n"/>
      <c r="AG318" s="13">
        <f>SUM(B318:AE318)</f>
        <v/>
      </c>
    </row>
    <row r="319" ht="15.75" customHeight="1">
      <c r="A319" s="15" t="inlineStr">
        <is>
          <t>WALSALL MBC BARC-209073-10731692</t>
        </is>
      </c>
      <c r="B319" s="9" t="n"/>
      <c r="C319" s="9" t="n">
        <v>187000</v>
      </c>
      <c r="D319" s="9" t="n"/>
      <c r="E319" s="9" t="n"/>
      <c r="F319" s="9" t="n"/>
      <c r="H319" s="9" t="n"/>
      <c r="I319" s="9" t="n"/>
      <c r="J319" s="9" t="n"/>
      <c r="K319" s="9" t="n"/>
      <c r="L319" s="9" t="n"/>
      <c r="M319" s="9" t="n"/>
      <c r="N319" s="9" t="n"/>
      <c r="O319" s="9" t="n"/>
      <c r="P319" s="9" t="n"/>
      <c r="Q319" s="9" t="n"/>
      <c r="R319" s="9" t="n"/>
      <c r="S319" s="9" t="n"/>
      <c r="T319" s="9" t="n"/>
      <c r="U319" s="9" t="n"/>
      <c r="V319" s="9" t="n"/>
      <c r="W319" s="9" t="n"/>
      <c r="X319" s="9" t="n"/>
      <c r="Y319" s="9" t="n"/>
      <c r="Z319" s="9" t="n"/>
      <c r="AA319" s="9" t="n"/>
      <c r="AB319" s="9" t="n"/>
      <c r="AC319" s="9" t="n"/>
      <c r="AD319" s="9" t="n"/>
      <c r="AE319" s="9" t="n">
        <v>187000</v>
      </c>
      <c r="AF319" s="9" t="n"/>
      <c r="AG319" s="13">
        <f>SUM(B319:AE319)</f>
        <v/>
      </c>
    </row>
    <row r="320" ht="15.75" customHeight="1">
      <c r="A320" s="15" t="inlineStr">
        <is>
          <t>WOLVERHAMPTON CC-560069-44470320</t>
        </is>
      </c>
      <c r="B320" s="9" t="n"/>
      <c r="C320" s="9" t="n"/>
      <c r="D320" s="9" t="n"/>
      <c r="E320" s="9" t="n">
        <v>112000</v>
      </c>
      <c r="F320" s="9" t="n"/>
      <c r="G320" s="9" t="n"/>
      <c r="H320" s="9" t="n"/>
      <c r="I320" s="9" t="n"/>
      <c r="J320" s="9" t="n"/>
      <c r="K320" s="9" t="n"/>
      <c r="L320" s="9" t="n">
        <v>112000</v>
      </c>
      <c r="M320" s="9" t="n"/>
      <c r="N320" s="9" t="n"/>
      <c r="O320" s="9" t="n"/>
      <c r="P320" s="9" t="n"/>
      <c r="Q320" s="9" t="n"/>
      <c r="R320" s="9" t="n"/>
      <c r="S320" s="9" t="n">
        <v>112000</v>
      </c>
      <c r="T320" s="9" t="n"/>
      <c r="U320" s="9" t="n"/>
      <c r="V320" s="9" t="n"/>
      <c r="W320" s="9" t="n"/>
      <c r="X320" s="9" t="n"/>
      <c r="Y320" s="9" t="n"/>
      <c r="Z320" s="9" t="n">
        <v>112000</v>
      </c>
      <c r="AA320" s="9" t="n"/>
      <c r="AB320" s="9" t="n"/>
      <c r="AC320" s="9" t="n"/>
      <c r="AD320" s="9" t="n"/>
      <c r="AE320" s="9" t="n"/>
      <c r="AF320" s="9" t="n"/>
      <c r="AG320" s="13">
        <f>SUM(B320:AE320)</f>
        <v/>
      </c>
    </row>
    <row r="321" ht="15.75" customHeight="1">
      <c r="A321" s="15" t="inlineStr">
        <is>
          <t>Portsmouth</t>
        </is>
      </c>
      <c r="B321" s="9" t="n"/>
      <c r="C321" s="9" t="n"/>
      <c r="D321" s="9" t="n">
        <v>5247.86</v>
      </c>
      <c r="E321" s="9" t="n"/>
      <c r="F321" s="9" t="n"/>
      <c r="G321" s="9" t="n"/>
      <c r="H321" s="9" t="n"/>
      <c r="I321" s="9" t="n"/>
      <c r="J321" s="9" t="n"/>
      <c r="K321" s="9" t="n"/>
      <c r="L321" s="9" t="n"/>
      <c r="M321" s="9" t="n"/>
      <c r="N321" s="9" t="n"/>
      <c r="O321" s="9" t="n"/>
      <c r="P321" s="9" t="n"/>
      <c r="Q321" s="9" t="n"/>
      <c r="R321" s="9" t="n"/>
      <c r="S321" s="9" t="n"/>
      <c r="T321" s="9" t="n"/>
      <c r="U321" s="9" t="n"/>
      <c r="V321" s="9" t="n"/>
      <c r="W321" s="9" t="n"/>
      <c r="X321" s="9" t="n"/>
      <c r="Y321" s="9" t="n"/>
      <c r="Z321" s="9" t="n"/>
      <c r="AA321" s="9" t="n"/>
      <c r="AB321" s="9" t="n"/>
      <c r="AC321" s="9" t="n"/>
      <c r="AD321" s="9" t="n"/>
      <c r="AE321" s="9" t="n"/>
      <c r="AF321" s="9" t="n"/>
      <c r="AG321" s="13">
        <f>SUM(B321:AE321)</f>
        <v/>
      </c>
    </row>
    <row r="322" ht="15.75" customHeight="1">
      <c r="A322" s="15" t="inlineStr">
        <is>
          <t>HB SC</t>
        </is>
      </c>
      <c r="B322" s="16" t="n">
        <v>3800</v>
      </c>
      <c r="C322" s="16" t="n">
        <v>3800</v>
      </c>
      <c r="D322" s="16" t="n">
        <v>3800</v>
      </c>
      <c r="E322" s="16" t="n">
        <v>3800</v>
      </c>
      <c r="F322" s="16" t="n">
        <v>3800</v>
      </c>
      <c r="G322" s="16" t="n">
        <v>3800</v>
      </c>
      <c r="H322" s="16" t="n">
        <v>3800</v>
      </c>
      <c r="I322" s="16" t="n">
        <v>3800</v>
      </c>
      <c r="J322" s="16" t="n">
        <v>3800</v>
      </c>
      <c r="K322" s="16" t="n">
        <v>3800</v>
      </c>
      <c r="L322" s="16" t="n">
        <v>3800</v>
      </c>
      <c r="M322" s="16" t="n">
        <v>3800</v>
      </c>
      <c r="N322" s="16" t="n">
        <v>3800</v>
      </c>
      <c r="O322" s="16" t="n">
        <v>3800</v>
      </c>
      <c r="P322" s="16" t="n">
        <v>3800</v>
      </c>
      <c r="Q322" s="16" t="n">
        <v>3800</v>
      </c>
      <c r="R322" s="16" t="n">
        <v>3800</v>
      </c>
      <c r="S322" s="16" t="n">
        <v>3800</v>
      </c>
      <c r="T322" s="16" t="n">
        <v>3800</v>
      </c>
      <c r="U322" s="16" t="n">
        <v>3800</v>
      </c>
      <c r="V322" s="16" t="n">
        <v>3800</v>
      </c>
      <c r="W322" s="16" t="n">
        <v>3800</v>
      </c>
      <c r="X322" s="16" t="n">
        <v>3800</v>
      </c>
      <c r="Y322" s="16" t="n">
        <v>3800</v>
      </c>
      <c r="Z322" s="16" t="n">
        <v>3800</v>
      </c>
      <c r="AA322" s="16" t="n">
        <v>3800</v>
      </c>
      <c r="AB322" s="16" t="n">
        <v>3800</v>
      </c>
      <c r="AC322" s="16" t="n">
        <v>3800</v>
      </c>
      <c r="AD322" s="16" t="n">
        <v>3800</v>
      </c>
      <c r="AE322" s="16" t="n">
        <v>3800</v>
      </c>
      <c r="AF322" s="16" t="n"/>
      <c r="AG322" s="13">
        <f>SUM(B322:AE322)</f>
        <v/>
      </c>
    </row>
    <row r="323" ht="16.5" customHeight="1" thickBot="1">
      <c r="A323" s="15" t="inlineStr">
        <is>
          <t>Total</t>
        </is>
      </c>
      <c r="B323">
        <f>SUM(B306:B322)</f>
        <v/>
      </c>
      <c r="C323">
        <f>SUM(C306:C322)</f>
        <v/>
      </c>
      <c r="D323">
        <f>SUM(D306:D322)</f>
        <v/>
      </c>
      <c r="E323">
        <f>SUM(E306:E322)</f>
        <v/>
      </c>
      <c r="F323">
        <f>SUM(F306:F322)</f>
        <v/>
      </c>
      <c r="G323">
        <f>SUM(G306:G322)</f>
        <v/>
      </c>
      <c r="H323">
        <f>SUM(H306:H322)</f>
        <v/>
      </c>
      <c r="I323">
        <f>SUM(I306:I322)</f>
        <v/>
      </c>
      <c r="J323">
        <f>SUM(J306:J322)</f>
        <v/>
      </c>
      <c r="K323">
        <f>SUM(K306:K322)</f>
        <v/>
      </c>
      <c r="L323">
        <f>SUM(L306:L322)</f>
        <v/>
      </c>
      <c r="M323">
        <f>SUM(M306:M322)</f>
        <v/>
      </c>
      <c r="N323">
        <f>SUM(N306:N322)</f>
        <v/>
      </c>
      <c r="O323">
        <f>SUM(O306:O322)</f>
        <v/>
      </c>
      <c r="P323">
        <f>SUM(P306:P322)</f>
        <v/>
      </c>
      <c r="Q323">
        <f>SUM(Q306:Q322)</f>
        <v/>
      </c>
      <c r="R323">
        <f>SUM(R306:R322)</f>
        <v/>
      </c>
      <c r="S323">
        <f>SUM(S306:S322)</f>
        <v/>
      </c>
      <c r="T323">
        <f>SUM(T306:T322)</f>
        <v/>
      </c>
      <c r="U323">
        <f>SUM(U306:U322)</f>
        <v/>
      </c>
      <c r="V323">
        <f>SUM(V306:V322)</f>
        <v/>
      </c>
      <c r="W323">
        <f>SUM(W306:W322)</f>
        <v/>
      </c>
      <c r="X323">
        <f>SUM(X306:X322)</f>
        <v/>
      </c>
      <c r="Y323">
        <f>SUM(Y306:Y322)</f>
        <v/>
      </c>
      <c r="Z323">
        <f>SUM(Z306:Z322)</f>
        <v/>
      </c>
      <c r="AA323">
        <f>SUM(AA306:AA322)</f>
        <v/>
      </c>
      <c r="AB323">
        <f>SUM(AB306:AB322)</f>
        <v/>
      </c>
      <c r="AC323">
        <f>SUM(AC306:AC322)</f>
        <v/>
      </c>
      <c r="AD323">
        <f>SUM(AD306:AD322)</f>
        <v/>
      </c>
      <c r="AE323">
        <f>SUM(AE306:AE322)</f>
        <v/>
      </c>
      <c r="AG323" s="252">
        <f>SUM(AG306:AG322)</f>
        <v/>
      </c>
    </row>
    <row r="324" ht="15.75" customHeight="1" thickTop="1">
      <c r="A324" s="15" t="inlineStr">
        <is>
          <t>Ruunning Total</t>
        </is>
      </c>
      <c r="B324">
        <f>B323</f>
        <v/>
      </c>
      <c r="C324">
        <f>B324+C323</f>
        <v/>
      </c>
      <c r="D324">
        <f>C324+D323</f>
        <v/>
      </c>
      <c r="E324">
        <f>D324+E323</f>
        <v/>
      </c>
      <c r="F324">
        <f>E324+F323</f>
        <v/>
      </c>
      <c r="G324">
        <f>F324+G323</f>
        <v/>
      </c>
      <c r="H324">
        <f>G324+H323</f>
        <v/>
      </c>
      <c r="I324">
        <f>H324+I323</f>
        <v/>
      </c>
      <c r="J324">
        <f>I324+J323</f>
        <v/>
      </c>
      <c r="K324">
        <f>J324+K323</f>
        <v/>
      </c>
      <c r="L324">
        <f>K324+L323</f>
        <v/>
      </c>
      <c r="M324">
        <f>L324+M323</f>
        <v/>
      </c>
      <c r="N324">
        <f>M324+N323</f>
        <v/>
      </c>
      <c r="O324">
        <f>N324+O323</f>
        <v/>
      </c>
      <c r="P324">
        <f>O324+P323</f>
        <v/>
      </c>
      <c r="Q324">
        <f>P324+Q323</f>
        <v/>
      </c>
      <c r="R324">
        <f>Q324+R323</f>
        <v/>
      </c>
      <c r="S324">
        <f>R324+S323</f>
        <v/>
      </c>
      <c r="T324">
        <f>S324+T323</f>
        <v/>
      </c>
      <c r="U324">
        <f>T324+U323</f>
        <v/>
      </c>
      <c r="V324">
        <f>U324+V323</f>
        <v/>
      </c>
      <c r="W324">
        <f>V324+W323</f>
        <v/>
      </c>
      <c r="X324">
        <f>W324+X323</f>
        <v/>
      </c>
      <c r="Y324">
        <f>X324+Y323</f>
        <v/>
      </c>
      <c r="Z324">
        <f>Y324+Z323</f>
        <v/>
      </c>
      <c r="AA324">
        <f>Z324+AA323</f>
        <v/>
      </c>
      <c r="AB324">
        <f>AA324+AB323</f>
        <v/>
      </c>
      <c r="AC324">
        <f>AB324+AC323</f>
        <v/>
      </c>
      <c r="AD324">
        <f>AC324+AD323</f>
        <v/>
      </c>
      <c r="AE324">
        <f>AD324+AE323</f>
        <v/>
      </c>
    </row>
    <row r="327">
      <c r="A327" s="1" t="n"/>
      <c r="B327" s="2" t="inlineStr">
        <is>
          <t>August</t>
        </is>
      </c>
      <c r="C327" s="2" t="n"/>
      <c r="D327" s="2" t="n"/>
      <c r="E327" s="2" t="n"/>
      <c r="F327" s="2" t="n"/>
      <c r="G327" s="2" t="n"/>
      <c r="H327" s="2" t="n"/>
      <c r="I327" s="2" t="n"/>
      <c r="J327" s="2" t="n"/>
      <c r="K327" s="2" t="n"/>
      <c r="L327" s="2" t="n"/>
      <c r="M327" s="2" t="n"/>
      <c r="N327" s="2" t="n"/>
      <c r="O327" s="2" t="n"/>
      <c r="P327" s="2" t="n"/>
      <c r="Q327" s="2" t="n"/>
      <c r="R327" s="2" t="n"/>
      <c r="S327" s="2" t="n"/>
      <c r="T327" s="2" t="n"/>
      <c r="U327" s="2" t="n"/>
      <c r="V327" s="2" t="n"/>
      <c r="W327" s="2" t="n"/>
      <c r="X327" s="2" t="n"/>
      <c r="Y327" s="2" t="n"/>
      <c r="Z327" s="2" t="n"/>
      <c r="AA327" s="2" t="n"/>
      <c r="AB327" s="2" t="n"/>
      <c r="AC327" s="2" t="n"/>
      <c r="AD327" s="2" t="n"/>
      <c r="AE327" s="1" t="n"/>
      <c r="AF327" s="1" t="n"/>
      <c r="AG327" s="1" t="n"/>
    </row>
    <row r="328">
      <c r="A328" s="1" t="n"/>
      <c r="B328" s="2" t="inlineStr">
        <is>
          <t>Thursday</t>
        </is>
      </c>
      <c r="C328" s="2" t="inlineStr">
        <is>
          <t>Friday</t>
        </is>
      </c>
      <c r="D328" s="2" t="inlineStr">
        <is>
          <t>Saturday</t>
        </is>
      </c>
      <c r="E328" s="2" t="inlineStr">
        <is>
          <t>Sunday</t>
        </is>
      </c>
      <c r="F328" s="2" t="inlineStr">
        <is>
          <t>Monday</t>
        </is>
      </c>
      <c r="G328" s="2" t="inlineStr">
        <is>
          <t>Tuesday</t>
        </is>
      </c>
      <c r="H328" s="2" t="inlineStr">
        <is>
          <t>Wednesday</t>
        </is>
      </c>
      <c r="I328" s="2" t="inlineStr">
        <is>
          <t>Thursday</t>
        </is>
      </c>
      <c r="J328" s="2" t="inlineStr">
        <is>
          <t>Friday</t>
        </is>
      </c>
      <c r="K328" s="2" t="inlineStr">
        <is>
          <t>Saturday</t>
        </is>
      </c>
      <c r="L328" s="2" t="inlineStr">
        <is>
          <t>Sunday</t>
        </is>
      </c>
      <c r="M328" s="2" t="inlineStr">
        <is>
          <t>Monday</t>
        </is>
      </c>
      <c r="N328" s="2" t="inlineStr">
        <is>
          <t>Tuesday</t>
        </is>
      </c>
      <c r="O328" s="2" t="inlineStr">
        <is>
          <t>Wednesday</t>
        </is>
      </c>
      <c r="P328" s="2" t="inlineStr">
        <is>
          <t>Thursday</t>
        </is>
      </c>
      <c r="Q328" s="2" t="inlineStr">
        <is>
          <t>Friday</t>
        </is>
      </c>
      <c r="R328" s="2" t="inlineStr">
        <is>
          <t>Saturday</t>
        </is>
      </c>
      <c r="S328" s="2" t="inlineStr">
        <is>
          <t>Sunday</t>
        </is>
      </c>
      <c r="T328" s="2" t="inlineStr">
        <is>
          <t>Monday</t>
        </is>
      </c>
      <c r="U328" s="2" t="inlineStr">
        <is>
          <t>Tuesday</t>
        </is>
      </c>
      <c r="V328" s="2" t="inlineStr">
        <is>
          <t>Wednesday</t>
        </is>
      </c>
      <c r="W328" s="2" t="inlineStr">
        <is>
          <t>Thursday</t>
        </is>
      </c>
      <c r="X328" s="2" t="inlineStr">
        <is>
          <t>Friday</t>
        </is>
      </c>
      <c r="Y328" s="2" t="inlineStr">
        <is>
          <t>Saturday</t>
        </is>
      </c>
      <c r="Z328" s="2" t="inlineStr">
        <is>
          <t>Sunday</t>
        </is>
      </c>
      <c r="AA328" s="2" t="inlineStr">
        <is>
          <t>Monday</t>
        </is>
      </c>
      <c r="AB328" s="2" t="inlineStr">
        <is>
          <t>Tuesday</t>
        </is>
      </c>
      <c r="AC328" s="2" t="inlineStr">
        <is>
          <t>Wednesday</t>
        </is>
      </c>
      <c r="AD328" s="2" t="inlineStr">
        <is>
          <t>Thursday</t>
        </is>
      </c>
      <c r="AE328" s="2" t="inlineStr">
        <is>
          <t>Friday</t>
        </is>
      </c>
      <c r="AF328" s="2" t="inlineStr">
        <is>
          <t>Saturday</t>
        </is>
      </c>
      <c r="AG328" s="2" t="inlineStr">
        <is>
          <t>Total</t>
        </is>
      </c>
    </row>
    <row r="329">
      <c r="A329" s="1" t="n"/>
      <c r="B329" s="7" t="inlineStr">
        <is>
          <t>1st</t>
        </is>
      </c>
      <c r="C329" s="7" t="inlineStr">
        <is>
          <t>2nd</t>
        </is>
      </c>
      <c r="D329" s="7" t="inlineStr">
        <is>
          <t>3rd</t>
        </is>
      </c>
      <c r="E329" s="7" t="inlineStr">
        <is>
          <t>4th</t>
        </is>
      </c>
      <c r="F329" s="3" t="inlineStr">
        <is>
          <t>5th</t>
        </is>
      </c>
      <c r="G329" s="3" t="inlineStr">
        <is>
          <t>6th</t>
        </is>
      </c>
      <c r="H329" s="3" t="inlineStr">
        <is>
          <t>7th</t>
        </is>
      </c>
      <c r="I329" s="3" t="inlineStr">
        <is>
          <t>8th</t>
        </is>
      </c>
      <c r="J329" s="3" t="inlineStr">
        <is>
          <t>9th</t>
        </is>
      </c>
      <c r="K329" s="3" t="inlineStr">
        <is>
          <t>10th</t>
        </is>
      </c>
      <c r="L329" s="3" t="inlineStr">
        <is>
          <t>11th</t>
        </is>
      </c>
      <c r="M329" s="4" t="inlineStr">
        <is>
          <t>12th</t>
        </is>
      </c>
      <c r="N329" s="4" t="inlineStr">
        <is>
          <t>13th</t>
        </is>
      </c>
      <c r="O329" s="4" t="inlineStr">
        <is>
          <t>14th</t>
        </is>
      </c>
      <c r="P329" s="4" t="inlineStr">
        <is>
          <t>15th</t>
        </is>
      </c>
      <c r="Q329" s="4" t="inlineStr">
        <is>
          <t>16th</t>
        </is>
      </c>
      <c r="R329" s="4" t="inlineStr">
        <is>
          <t>17th</t>
        </is>
      </c>
      <c r="S329" s="4" t="inlineStr">
        <is>
          <t>18th</t>
        </is>
      </c>
      <c r="T329" s="5" t="inlineStr">
        <is>
          <t>19th</t>
        </is>
      </c>
      <c r="U329" s="5" t="inlineStr">
        <is>
          <t>20th</t>
        </is>
      </c>
      <c r="V329" s="5" t="inlineStr">
        <is>
          <t>21st</t>
        </is>
      </c>
      <c r="W329" s="5" t="inlineStr">
        <is>
          <t>22nd</t>
        </is>
      </c>
      <c r="X329" s="5" t="inlineStr">
        <is>
          <t>23rd</t>
        </is>
      </c>
      <c r="Y329" s="5" t="inlineStr">
        <is>
          <t>24th</t>
        </is>
      </c>
      <c r="Z329" s="5" t="inlineStr">
        <is>
          <t>25th</t>
        </is>
      </c>
      <c r="AA329" s="6" t="inlineStr">
        <is>
          <t>26th</t>
        </is>
      </c>
      <c r="AB329" s="6" t="inlineStr">
        <is>
          <t>27th</t>
        </is>
      </c>
      <c r="AC329" s="6" t="inlineStr">
        <is>
          <t>28th</t>
        </is>
      </c>
      <c r="AD329" s="6" t="inlineStr">
        <is>
          <t>29th</t>
        </is>
      </c>
      <c r="AE329" s="6" t="inlineStr">
        <is>
          <t>30th</t>
        </is>
      </c>
      <c r="AF329" s="6" t="inlineStr">
        <is>
          <t>31st</t>
        </is>
      </c>
      <c r="AG329" s="1" t="n"/>
    </row>
    <row r="330" ht="18.75" customHeight="1">
      <c r="A330" s="8" t="inlineStr">
        <is>
          <t>B-HAM CITY COUNCIL-200790-70489166</t>
        </is>
      </c>
      <c r="B330" s="9" t="n"/>
      <c r="C330" s="9" t="n"/>
      <c r="D330" s="9" t="n"/>
      <c r="E330" s="9" t="n"/>
      <c r="F330" s="12" t="n">
        <v>75502.24000000001</v>
      </c>
      <c r="K330" s="9" t="n"/>
      <c r="N330" s="10" t="n"/>
      <c r="O330" s="11" t="n"/>
      <c r="P330" s="9" t="n"/>
      <c r="Q330" s="12" t="n"/>
      <c r="S330" s="9" t="n"/>
      <c r="T330" s="12" t="n"/>
      <c r="U330" s="9" t="n"/>
      <c r="V330" s="12" t="n"/>
      <c r="W330" s="12" t="n"/>
      <c r="X330" s="10" t="n"/>
      <c r="Y330" s="11" t="n"/>
      <c r="Z330" s="9" t="n"/>
      <c r="AA330" s="78" t="n"/>
      <c r="AB330" s="9" t="n"/>
      <c r="AC330" s="12">
        <f>5041.28</f>
        <v/>
      </c>
      <c r="AD330" s="9" t="n"/>
      <c r="AE330" s="9" t="n"/>
      <c r="AF330" s="9" t="n"/>
      <c r="AG330" s="13">
        <f>SUM(B330:AE330)</f>
        <v/>
      </c>
    </row>
    <row r="331" ht="15.75" customHeight="1">
      <c r="A331" s="8" t="inlineStr">
        <is>
          <t>Buckingham</t>
        </is>
      </c>
      <c r="B331" s="9" t="n"/>
      <c r="C331" s="31" t="n">
        <v>5134.44</v>
      </c>
      <c r="D331" s="9" t="n"/>
      <c r="E331" s="9" t="n"/>
      <c r="F331" s="9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9" t="n"/>
      <c r="P331" s="9" t="n"/>
      <c r="Q331" s="9" t="n"/>
      <c r="S331" s="9" t="n"/>
      <c r="T331" s="12" t="n">
        <v>4937.64</v>
      </c>
      <c r="U331" s="9" t="n"/>
      <c r="V331" s="9" t="n"/>
      <c r="W331" s="9" t="n"/>
      <c r="X331" s="9" t="n"/>
      <c r="Y331" s="9" t="n"/>
      <c r="Z331" s="9" t="n"/>
      <c r="AA331" s="77" t="n"/>
      <c r="AB331" s="9" t="n"/>
      <c r="AC331" s="9" t="n"/>
      <c r="AD331" s="9" t="n"/>
      <c r="AE331" s="31" t="n">
        <v>5134.44</v>
      </c>
      <c r="AF331" s="9" t="n"/>
      <c r="AG331" s="13">
        <f>SUM(B331:AE331)</f>
        <v/>
      </c>
    </row>
    <row r="332" ht="15.75" customHeight="1">
      <c r="A332" s="8" t="inlineStr">
        <is>
          <t>Sandwell respite est</t>
        </is>
      </c>
      <c r="B332" s="9" t="n"/>
      <c r="C332" s="9" t="n"/>
      <c r="D332" s="9" t="n"/>
      <c r="E332" s="9" t="n"/>
      <c r="F332" s="9" t="n"/>
      <c r="G332" s="9" t="n"/>
      <c r="H332" s="9" t="n"/>
      <c r="I332" s="9" t="n"/>
      <c r="J332" s="9" t="n"/>
      <c r="K332" s="9" t="n"/>
      <c r="L332" s="9" t="n"/>
      <c r="M332" s="9" t="n"/>
      <c r="N332" s="9" t="n"/>
      <c r="O332" s="9" t="n"/>
      <c r="P332" s="9" t="n"/>
      <c r="Q332" s="9" t="n"/>
      <c r="S332" s="9" t="n"/>
      <c r="T332" s="9" t="n"/>
      <c r="U332" s="9" t="n"/>
      <c r="V332" s="9" t="n"/>
      <c r="W332" s="9" t="n"/>
      <c r="X332" s="9" t="n"/>
      <c r="Y332" s="9" t="n"/>
      <c r="Z332" s="9" t="n"/>
      <c r="AA332" s="77" t="n"/>
      <c r="AB332" s="9" t="n"/>
      <c r="AC332" s="9" t="n"/>
      <c r="AD332" s="9" t="n"/>
      <c r="AE332" s="9" t="n">
        <v>20000</v>
      </c>
      <c r="AF332" s="9" t="n"/>
      <c r="AG332" s="13">
        <f>SUM(B332:AE332)</f>
        <v/>
      </c>
    </row>
    <row r="333" ht="15.75" customHeight="1">
      <c r="A333" s="8" t="inlineStr">
        <is>
          <t xml:space="preserve">Wolverhampton respite est </t>
        </is>
      </c>
      <c r="B333" s="9" t="n"/>
      <c r="C333" s="9" t="n"/>
      <c r="D333" s="9" t="n"/>
      <c r="E333" s="9" t="n"/>
      <c r="F333" s="9" t="n"/>
      <c r="G333" s="9" t="n"/>
      <c r="H333" s="9" t="n"/>
      <c r="I333" s="9" t="n"/>
      <c r="J333" s="9" t="n"/>
      <c r="K333" s="9" t="n"/>
      <c r="L333" s="9" t="n"/>
      <c r="M333" s="9" t="n"/>
      <c r="N333" s="9" t="n"/>
      <c r="O333" s="9" t="n"/>
      <c r="P333" s="9" t="n"/>
      <c r="Q333" s="9" t="n"/>
      <c r="S333" s="9" t="n"/>
      <c r="T333" s="9" t="n"/>
      <c r="U333" s="9" t="n"/>
      <c r="V333" s="9" t="n"/>
      <c r="W333" s="9" t="n"/>
      <c r="X333" s="9" t="n"/>
      <c r="Y333" s="9" t="n"/>
      <c r="Z333" s="9" t="n"/>
      <c r="AA333" s="77" t="n"/>
      <c r="AB333" s="9" t="n"/>
      <c r="AC333" s="9" t="n"/>
      <c r="AD333" s="9" t="n"/>
      <c r="AE333" s="9" t="n">
        <v>30000</v>
      </c>
      <c r="AF333" s="9" t="n"/>
      <c r="AG333" s="13">
        <f>SUM(B333:AE333)</f>
        <v/>
      </c>
    </row>
    <row r="334" ht="15.75" customHeight="1">
      <c r="A334" s="8" t="inlineStr">
        <is>
          <t>Walsall Respite</t>
        </is>
      </c>
      <c r="B334" s="9" t="n"/>
      <c r="C334" s="9" t="n"/>
      <c r="D334" s="9" t="n"/>
      <c r="E334" s="9" t="n"/>
      <c r="F334" s="9" t="n"/>
      <c r="H334" s="9" t="n"/>
      <c r="I334" s="9" t="n"/>
      <c r="J334" s="9" t="n"/>
      <c r="K334" s="9" t="n"/>
      <c r="L334" s="9" t="n"/>
      <c r="M334" s="9" t="n"/>
      <c r="N334" s="9" t="n"/>
      <c r="O334" s="9" t="n"/>
      <c r="P334" s="9" t="n"/>
      <c r="Q334" s="9" t="n"/>
      <c r="S334" s="9" t="n"/>
      <c r="T334" s="9" t="n"/>
      <c r="U334" s="9" t="n"/>
      <c r="V334" s="9" t="n"/>
      <c r="W334" s="9" t="n"/>
      <c r="X334" s="9" t="n"/>
      <c r="Y334" s="9" t="n"/>
      <c r="Z334" s="9" t="n"/>
      <c r="AA334" s="77" t="n"/>
      <c r="AB334" s="9" t="n"/>
      <c r="AC334" s="9" t="n"/>
      <c r="AD334" s="9" t="n"/>
      <c r="AE334" s="9" t="n">
        <v>15000</v>
      </c>
      <c r="AF334" s="9" t="n"/>
      <c r="AG334" s="13">
        <f>SUM(B334:AE334)</f>
        <v/>
      </c>
    </row>
    <row r="335" ht="18.75" customHeight="1">
      <c r="A335" s="8" t="inlineStr">
        <is>
          <t>Ideal for All Ltd</t>
        </is>
      </c>
      <c r="B335" s="9" t="n"/>
      <c r="C335" s="9" t="n"/>
      <c r="D335" s="31" t="n"/>
      <c r="E335" s="31" t="n"/>
      <c r="F335" t="n">
        <v>3344</v>
      </c>
      <c r="G335" s="9" t="n"/>
      <c r="J335" s="12" t="n"/>
      <c r="K335" s="11" t="n"/>
      <c r="M335" s="11" t="n">
        <v>3661.88</v>
      </c>
      <c r="N335" s="9" t="n"/>
      <c r="O335" s="9" t="n"/>
      <c r="P335" s="12" t="n">
        <v>2536.8</v>
      </c>
      <c r="Q335" s="9" t="n"/>
      <c r="S335" s="9" t="n"/>
      <c r="T335" s="9" t="n"/>
      <c r="U335" s="9" t="n"/>
      <c r="V335" s="9" t="n"/>
      <c r="W335" s="9" t="n"/>
      <c r="X335" s="9" t="n"/>
      <c r="Y335" s="9" t="n"/>
      <c r="Z335" s="9" t="n"/>
      <c r="AA335" s="77" t="n"/>
      <c r="AB335" s="9" t="n"/>
      <c r="AC335" s="9" t="n"/>
      <c r="AD335" s="9" t="n"/>
      <c r="AE335" s="9" t="n"/>
      <c r="AF335" s="9" t="n"/>
      <c r="AG335" s="13">
        <f>SUM(B335:AE335)</f>
        <v/>
      </c>
    </row>
    <row r="336" ht="15.75" customHeight="1">
      <c r="A336" s="8" t="inlineStr">
        <is>
          <t>KIRKLEES COUNCIL-204312-63046958</t>
        </is>
      </c>
      <c r="B336" s="9" t="n"/>
      <c r="C336" s="9" t="n"/>
      <c r="D336" s="31" t="n"/>
      <c r="E336" s="26" t="n"/>
      <c r="F336" s="12" t="n"/>
      <c r="G336" s="9" t="n"/>
      <c r="H336" s="9" t="n"/>
      <c r="I336" s="12" t="n"/>
      <c r="J336" s="9" t="n"/>
      <c r="K336" s="12" t="n"/>
      <c r="L336" s="9" t="n"/>
      <c r="M336" s="9" t="n"/>
      <c r="N336" s="9" t="n"/>
      <c r="O336" s="9" t="n"/>
      <c r="Q336" s="12" t="n"/>
      <c r="S336" s="9" t="n"/>
      <c r="T336" s="12" t="n">
        <v>5554.89</v>
      </c>
      <c r="U336" s="9" t="n"/>
      <c r="V336" s="9" t="n"/>
      <c r="W336" s="9" t="n"/>
      <c r="X336" s="9" t="n"/>
      <c r="Y336" s="9" t="n"/>
      <c r="Z336" s="9" t="n"/>
      <c r="AA336" s="77" t="n"/>
      <c r="AB336" s="9" t="n"/>
      <c r="AC336" s="9" t="n"/>
      <c r="AD336" s="9" t="n"/>
      <c r="AE336" s="12" t="n"/>
      <c r="AF336" s="12" t="n"/>
      <c r="AG336" s="13">
        <f>SUM(B336:AE336)</f>
        <v/>
      </c>
    </row>
    <row r="337" ht="15.75" customHeight="1">
      <c r="A337" s="8" t="inlineStr">
        <is>
          <t>LBH PAYMENTS BACS-602210-72430192</t>
        </is>
      </c>
      <c r="B337" s="9" t="n"/>
      <c r="C337" s="9" t="n"/>
      <c r="D337" s="26" t="n"/>
      <c r="E337" s="26" t="n"/>
      <c r="F337" s="12" t="n"/>
      <c r="G337" s="9" t="n"/>
      <c r="H337" s="9" t="n"/>
      <c r="I337" s="9" t="n"/>
      <c r="J337" s="9" t="n"/>
      <c r="K337" s="9" t="n"/>
      <c r="L337" s="12" t="n"/>
      <c r="M337" s="9" t="n"/>
      <c r="N337" s="9" t="n"/>
      <c r="O337" s="9" t="n"/>
      <c r="P337" s="9" t="n">
        <v>5040</v>
      </c>
      <c r="Q337" s="9" t="n"/>
      <c r="R337" s="9" t="n"/>
      <c r="S337" s="9" t="n"/>
      <c r="T337" s="9" t="n"/>
      <c r="U337" s="9" t="n"/>
      <c r="V337" s="9" t="n"/>
      <c r="W337" s="9" t="n"/>
      <c r="X337" s="9" t="n"/>
      <c r="Y337" s="9" t="n"/>
      <c r="Z337" s="9" t="n"/>
      <c r="AA337" s="77" t="n"/>
      <c r="AB337" s="9" t="n"/>
      <c r="AC337" s="9" t="n"/>
      <c r="AD337" s="9" t="n"/>
      <c r="AE337" s="9" t="n"/>
      <c r="AF337" s="9" t="n"/>
      <c r="AG337" s="13">
        <f>SUM(B337:AE337)</f>
        <v/>
      </c>
    </row>
    <row r="338" ht="15.75" customHeight="1">
      <c r="A338" s="8" t="inlineStr">
        <is>
          <t>NHS BIRMINGHAM &amp; S-607080-10017097</t>
        </is>
      </c>
      <c r="B338" s="9" t="n"/>
      <c r="C338" s="31" t="n">
        <v>7121.63</v>
      </c>
      <c r="E338" s="31" t="n"/>
      <c r="F338" s="12" t="n"/>
      <c r="G338" s="12" t="n"/>
      <c r="H338" s="12" t="n"/>
      <c r="I338" s="12" t="n"/>
      <c r="J338" s="9" t="inlineStr"/>
      <c r="K338" s="9" t="n"/>
      <c r="L338" s="9" t="n"/>
      <c r="M338" s="9" t="n"/>
      <c r="N338" s="9" t="n"/>
      <c r="O338" s="9" t="n"/>
      <c r="P338" s="9" t="n"/>
      <c r="Q338" s="9" t="n"/>
      <c r="R338" s="9" t="n"/>
      <c r="S338" s="9" t="n"/>
      <c r="T338" s="9" t="n"/>
      <c r="U338" s="9" t="n"/>
      <c r="V338" s="9" t="n"/>
      <c r="W338" s="9" t="n"/>
      <c r="X338" s="9" t="n"/>
      <c r="Y338" s="9" t="n"/>
      <c r="Z338" s="9" t="n"/>
      <c r="AA338" s="77" t="n"/>
      <c r="AB338" s="9" t="n"/>
      <c r="AC338" s="9" t="n"/>
      <c r="AD338" s="9" t="n"/>
      <c r="AE338" s="9" t="n"/>
      <c r="AF338" s="9" t="n"/>
      <c r="AG338" s="13">
        <f>SUM(B338:AE338)</f>
        <v/>
      </c>
    </row>
    <row r="339" ht="15.75" customHeight="1">
      <c r="A339" s="8" t="inlineStr">
        <is>
          <t>NHS BLACK COUNTRY-607080-10015272</t>
        </is>
      </c>
      <c r="B339" s="9" t="n"/>
      <c r="C339" s="9" t="n"/>
      <c r="D339" s="26" t="n"/>
      <c r="E339" s="26" t="inlineStr"/>
      <c r="G339" s="9" t="inlineStr"/>
      <c r="H339" s="9" t="inlineStr"/>
      <c r="I339" t="inlineStr">
        <is>
          <t>.</t>
        </is>
      </c>
      <c r="J339" s="12" t="n"/>
      <c r="K339" s="9" t="n"/>
      <c r="L339" s="9" t="n"/>
      <c r="M339" s="9" t="n"/>
      <c r="N339" s="9" t="n"/>
      <c r="O339" t="n">
        <v>13185.64</v>
      </c>
      <c r="P339" s="31" t="n"/>
      <c r="Q339" s="26" t="n"/>
      <c r="R339" s="26" t="n"/>
      <c r="S339" s="26" t="n"/>
      <c r="T339" s="26" t="n"/>
      <c r="U339" s="31" t="n"/>
      <c r="V339" s="26" t="n"/>
      <c r="W339" s="26" t="n"/>
      <c r="X339" s="26" t="n"/>
      <c r="Y339" s="26" t="n"/>
      <c r="Z339" s="9" t="n"/>
      <c r="AA339" s="77" t="n"/>
      <c r="AB339" s="26" t="n"/>
      <c r="AC339" s="31" t="n">
        <v>8073.21</v>
      </c>
      <c r="AD339" s="9" t="n"/>
      <c r="AE339" s="9" t="n"/>
      <c r="AF339" s="9" t="n"/>
      <c r="AG339" s="13">
        <f>SUM(B339:AE339)</f>
        <v/>
      </c>
    </row>
    <row r="340" ht="15.75" customHeight="1">
      <c r="A340" s="14" t="inlineStr">
        <is>
          <t>SANDWELL MBC  BEN-601539-69624151</t>
        </is>
      </c>
      <c r="B340" s="9" t="n"/>
      <c r="C340" s="9" t="n"/>
      <c r="D340" s="9" t="n"/>
      <c r="E340" s="9" t="n"/>
      <c r="F340" s="9" t="n"/>
      <c r="G340" s="9" t="n"/>
      <c r="H340" s="12" t="n"/>
      <c r="I340" s="9" t="n"/>
      <c r="J340" s="9" t="n"/>
      <c r="K340" s="9" t="n"/>
      <c r="L340" s="9" t="n"/>
      <c r="M340" s="9" t="n"/>
      <c r="N340" s="9" t="n"/>
      <c r="O340" s="9" t="n"/>
      <c r="P340" s="9" t="n"/>
      <c r="Q340" s="9" t="n"/>
      <c r="R340" s="9" t="n"/>
      <c r="S340" s="9" t="n"/>
      <c r="T340" s="12" t="n"/>
      <c r="U340" s="9" t="n"/>
      <c r="V340" s="9" t="n"/>
      <c r="W340" s="9" t="n"/>
      <c r="X340" s="9" t="n"/>
      <c r="Y340" s="12" t="n">
        <v>3000</v>
      </c>
      <c r="Z340" s="9" t="n"/>
      <c r="AA340" s="77" t="n"/>
      <c r="AB340" s="9" t="n"/>
      <c r="AC340" s="9" t="n"/>
      <c r="AD340" s="9" t="n"/>
      <c r="AE340" s="9" t="n"/>
      <c r="AF340" s="9" t="n"/>
      <c r="AG340" s="13">
        <f>SUM(B340:AE340)</f>
        <v/>
      </c>
    </row>
    <row r="341" ht="15.75" customHeight="1">
      <c r="A341" s="14" t="inlineStr">
        <is>
          <t>SANDWELL MBC-601539-69624135</t>
        </is>
      </c>
      <c r="B341" s="9" t="n"/>
      <c r="C341" s="9" t="n"/>
      <c r="D341" s="9" t="n"/>
      <c r="E341" s="9" t="n"/>
      <c r="F341" s="9" t="n"/>
      <c r="G341" s="9" t="n"/>
      <c r="H341" s="9" t="n">
        <v>120000</v>
      </c>
      <c r="I341" s="9" t="n"/>
      <c r="J341" s="9" t="n"/>
      <c r="K341" s="9" t="n"/>
      <c r="L341" s="9" t="n"/>
      <c r="M341" s="9" t="n"/>
      <c r="N341" s="9" t="n"/>
      <c r="O341" s="9" t="n"/>
      <c r="P341" s="9" t="n"/>
      <c r="Q341" s="9" t="n"/>
      <c r="R341" s="9" t="n"/>
      <c r="S341" s="9" t="n"/>
      <c r="T341" s="9" t="n"/>
      <c r="U341" s="9" t="n"/>
      <c r="V341" s="9" t="n">
        <v>120000</v>
      </c>
      <c r="W341" s="9" t="n"/>
      <c r="X341" s="9" t="n"/>
      <c r="Y341" s="9" t="n"/>
      <c r="Z341" s="9" t="n"/>
      <c r="AA341" s="77" t="n"/>
      <c r="AB341" s="9" t="n"/>
      <c r="AC341" s="9" t="n"/>
      <c r="AD341" s="9" t="n"/>
      <c r="AE341" s="9" t="n"/>
      <c r="AF341" s="9" t="n"/>
      <c r="AG341" s="13">
        <f>SUM(B341:AE341)</f>
        <v/>
      </c>
    </row>
    <row r="342" ht="15.75" customHeight="1">
      <c r="A342" s="15" t="inlineStr">
        <is>
          <t>SOLIHULL MBC EXP.-200771-00561525</t>
        </is>
      </c>
      <c r="B342" s="9" t="n"/>
      <c r="C342" s="9" t="n"/>
      <c r="D342" s="9" t="n"/>
      <c r="E342" s="9" t="n"/>
      <c r="F342" s="9" t="n"/>
      <c r="G342" s="9" t="n"/>
      <c r="H342" s="9" t="n"/>
      <c r="I342" s="9" t="n"/>
      <c r="J342" s="9" t="n"/>
      <c r="K342" s="9" t="n"/>
      <c r="L342" s="9" t="n"/>
      <c r="M342" s="12" t="n">
        <v>32000</v>
      </c>
      <c r="N342" s="9" t="n"/>
      <c r="O342" s="9" t="n"/>
      <c r="P342" s="9" t="n"/>
      <c r="Q342" s="9" t="n"/>
      <c r="R342" s="12" t="n"/>
      <c r="S342" s="9" t="n"/>
      <c r="U342" s="9" t="n"/>
      <c r="V342" s="9" t="n"/>
      <c r="W342" s="9" t="n"/>
      <c r="X342" s="9" t="n"/>
      <c r="Y342" s="9" t="n"/>
      <c r="Z342" s="9" t="n"/>
      <c r="AA342" s="77" t="n"/>
      <c r="AB342" s="9" t="n"/>
      <c r="AC342" s="9" t="n"/>
      <c r="AD342" s="9" t="n"/>
      <c r="AE342" s="9" t="n"/>
      <c r="AF342" s="9" t="n"/>
      <c r="AG342" s="13">
        <f>SUM(B342:AE342)</f>
        <v/>
      </c>
    </row>
    <row r="343" ht="15.75" customHeight="1">
      <c r="A343" s="15" t="inlineStr">
        <is>
          <t>WALSALL MBC BARC-209073-10731692</t>
        </is>
      </c>
      <c r="B343" s="9" t="n"/>
      <c r="C343" s="9" t="n"/>
      <c r="D343" s="9" t="n"/>
      <c r="E343" s="9" t="n"/>
      <c r="F343" s="9" t="n"/>
      <c r="H343" s="9" t="n"/>
      <c r="I343" s="9" t="n"/>
      <c r="J343" s="9" t="n"/>
      <c r="K343" s="9" t="n"/>
      <c r="L343" s="9" t="n"/>
      <c r="M343" s="9" t="n"/>
      <c r="N343" s="9" t="n"/>
      <c r="O343" s="9" t="n"/>
      <c r="P343" s="9" t="n"/>
      <c r="Q343" s="9" t="n"/>
      <c r="R343" s="9" t="n"/>
      <c r="S343" s="9" t="n"/>
      <c r="T343" s="9" t="n"/>
      <c r="U343" s="9" t="n"/>
      <c r="V343" s="9" t="n"/>
      <c r="W343" s="9" t="n"/>
      <c r="X343" s="9" t="n"/>
      <c r="Y343" s="9" t="n"/>
      <c r="Z343" s="9" t="n"/>
      <c r="AA343" s="77" t="n"/>
      <c r="AB343" s="9" t="n">
        <v>187000</v>
      </c>
      <c r="AC343" s="9" t="n"/>
      <c r="AD343" s="9" t="n"/>
      <c r="AE343" s="9" t="n"/>
      <c r="AF343" s="9" t="n"/>
      <c r="AG343" s="13">
        <f>SUM(B343:AE343)</f>
        <v/>
      </c>
    </row>
    <row r="344" ht="15.75" customHeight="1">
      <c r="A344" s="15" t="inlineStr">
        <is>
          <t>WOLVERHAMPTON CC-560069-44470320</t>
        </is>
      </c>
      <c r="B344" s="9" t="n">
        <v>112000</v>
      </c>
      <c r="C344" s="9" t="n"/>
      <c r="D344" s="9" t="n"/>
      <c r="E344" s="9" t="n"/>
      <c r="F344" s="9" t="n"/>
      <c r="G344" s="9" t="n"/>
      <c r="H344" s="9" t="n"/>
      <c r="I344" s="9" t="n">
        <v>112000</v>
      </c>
      <c r="J344" s="9" t="n"/>
      <c r="K344" s="9" t="n"/>
      <c r="L344" s="9" t="n"/>
      <c r="M344" s="9" t="n"/>
      <c r="N344" s="9" t="n"/>
      <c r="O344" s="9" t="n"/>
      <c r="P344" s="9" t="n">
        <v>112000</v>
      </c>
      <c r="Q344" s="9" t="n"/>
      <c r="R344" s="9" t="n"/>
      <c r="S344" s="9" t="n"/>
      <c r="T344" s="9" t="n"/>
      <c r="U344" s="9" t="n"/>
      <c r="V344" s="9" t="n"/>
      <c r="W344" s="9" t="n">
        <v>112000</v>
      </c>
      <c r="X344" s="9" t="n"/>
      <c r="Y344" s="9" t="n"/>
      <c r="Z344" s="9" t="n"/>
      <c r="AA344" s="77" t="n"/>
      <c r="AC344" s="9" t="n"/>
      <c r="AD344" s="9" t="n">
        <v>112000</v>
      </c>
      <c r="AE344" s="9" t="n"/>
      <c r="AF344" s="9" t="n"/>
      <c r="AG344" s="13">
        <f>SUM(B344:AE344)</f>
        <v/>
      </c>
    </row>
    <row r="345" ht="15.75" customHeight="1">
      <c r="A345" s="15" t="inlineStr">
        <is>
          <t>Portsmouth</t>
        </is>
      </c>
      <c r="B345" s="9" t="n"/>
      <c r="C345" s="9" t="n"/>
      <c r="D345" s="9" t="n">
        <v>5247.86</v>
      </c>
      <c r="E345" s="9" t="n"/>
      <c r="F345" s="9" t="n"/>
      <c r="G345" s="9" t="n"/>
      <c r="H345" s="9" t="n"/>
      <c r="I345" s="9" t="n"/>
      <c r="J345" s="9" t="n"/>
      <c r="K345" s="9" t="n"/>
      <c r="L345" s="9" t="n"/>
      <c r="M345" s="9" t="n"/>
      <c r="N345" s="9" t="n"/>
      <c r="O345" s="9" t="n"/>
      <c r="P345" s="9" t="n"/>
      <c r="Q345" s="9" t="n"/>
      <c r="R345" s="9" t="n"/>
      <c r="S345" s="9" t="n"/>
      <c r="T345" s="9" t="n"/>
      <c r="U345" s="9" t="n"/>
      <c r="V345" s="9" t="n"/>
      <c r="W345" s="9" t="n"/>
      <c r="X345" s="9" t="n"/>
      <c r="Y345" s="9" t="n"/>
      <c r="Z345" s="9" t="n"/>
      <c r="AA345" s="77" t="n"/>
      <c r="AB345" s="9" t="n"/>
      <c r="AC345" s="9" t="n"/>
      <c r="AD345" s="9" t="n"/>
      <c r="AE345" s="9" t="n"/>
      <c r="AF345" s="9" t="n"/>
      <c r="AG345" s="13">
        <f>SUM(B345:AE345)</f>
        <v/>
      </c>
    </row>
    <row r="346" ht="15.75" customHeight="1">
      <c r="A346" s="15" t="inlineStr">
        <is>
          <t>HB SC</t>
        </is>
      </c>
      <c r="B346" s="16" t="n">
        <v>3800</v>
      </c>
      <c r="C346" s="16" t="n">
        <v>3800</v>
      </c>
      <c r="D346" s="16" t="n">
        <v>3800</v>
      </c>
      <c r="E346" s="16" t="n">
        <v>3800</v>
      </c>
      <c r="F346" s="16" t="n">
        <v>3800</v>
      </c>
      <c r="G346" s="16" t="n">
        <v>3800</v>
      </c>
      <c r="H346" s="16" t="n">
        <v>3800</v>
      </c>
      <c r="I346" s="16" t="n">
        <v>3800</v>
      </c>
      <c r="J346" s="16" t="n">
        <v>3800</v>
      </c>
      <c r="K346" s="16" t="n">
        <v>3800</v>
      </c>
      <c r="L346" s="16" t="n">
        <v>3800</v>
      </c>
      <c r="M346" s="16" t="n">
        <v>3800</v>
      </c>
      <c r="N346" s="16" t="n">
        <v>3800</v>
      </c>
      <c r="O346" s="16" t="n">
        <v>3800</v>
      </c>
      <c r="P346" s="16" t="n">
        <v>3800</v>
      </c>
      <c r="Q346" s="16" t="n">
        <v>3800</v>
      </c>
      <c r="R346" s="16" t="n">
        <v>3800</v>
      </c>
      <c r="S346" s="16" t="n">
        <v>3800</v>
      </c>
      <c r="T346" s="16" t="n">
        <v>3800</v>
      </c>
      <c r="U346" s="16" t="n">
        <v>3800</v>
      </c>
      <c r="V346" s="16" t="n">
        <v>3800</v>
      </c>
      <c r="W346" s="16" t="n">
        <v>3800</v>
      </c>
      <c r="X346" s="16" t="n">
        <v>3800</v>
      </c>
      <c r="Y346" s="16" t="n">
        <v>3800</v>
      </c>
      <c r="Z346" s="16" t="n">
        <v>3800</v>
      </c>
      <c r="AA346" s="16" t="n">
        <v>3800</v>
      </c>
      <c r="AB346" s="16" t="n">
        <v>3800</v>
      </c>
      <c r="AC346" s="16" t="n">
        <v>3800</v>
      </c>
      <c r="AD346" s="16" t="n">
        <v>3800</v>
      </c>
      <c r="AE346" s="16" t="n">
        <v>3800</v>
      </c>
      <c r="AF346" s="16" t="n"/>
      <c r="AG346" s="13">
        <f>SUM(B346:AE346)</f>
        <v/>
      </c>
    </row>
    <row r="347" ht="16.5" customHeight="1" thickBot="1">
      <c r="A347" s="15" t="inlineStr">
        <is>
          <t>Total</t>
        </is>
      </c>
      <c r="B347">
        <f>SUM(B330:B346)</f>
        <v/>
      </c>
      <c r="C347">
        <f>SUM(C330:C346)</f>
        <v/>
      </c>
      <c r="D347">
        <f>SUM(D330:D346)</f>
        <v/>
      </c>
      <c r="E347">
        <f>SUM(E330:E346)</f>
        <v/>
      </c>
      <c r="F347">
        <f>SUM(F330:F346)</f>
        <v/>
      </c>
      <c r="G347">
        <f>SUM(G330:G346)</f>
        <v/>
      </c>
      <c r="H347">
        <f>SUM(H330:H346)</f>
        <v/>
      </c>
      <c r="I347">
        <f>SUM(I330:I346)</f>
        <v/>
      </c>
      <c r="J347">
        <f>SUM(J330:J346)</f>
        <v/>
      </c>
      <c r="K347">
        <f>SUM(K330:K346)</f>
        <v/>
      </c>
      <c r="L347">
        <f>SUM(L330:L346)</f>
        <v/>
      </c>
      <c r="M347">
        <f>SUM(M330:M346)</f>
        <v/>
      </c>
      <c r="N347">
        <f>SUM(N330:N346)</f>
        <v/>
      </c>
      <c r="O347">
        <f>SUM(O330:O346)</f>
        <v/>
      </c>
      <c r="P347">
        <f>SUM(P330:P346)</f>
        <v/>
      </c>
      <c r="Q347">
        <f>SUM(Q330:Q346)</f>
        <v/>
      </c>
      <c r="R347">
        <f>SUM(R330:R346)</f>
        <v/>
      </c>
      <c r="S347">
        <f>SUM(S330:S346)</f>
        <v/>
      </c>
      <c r="T347">
        <f>SUM(T330:T346)</f>
        <v/>
      </c>
      <c r="U347">
        <f>SUM(U330:U346)</f>
        <v/>
      </c>
      <c r="V347">
        <f>SUM(V330:V346)</f>
        <v/>
      </c>
      <c r="W347">
        <f>SUM(W330:W346)</f>
        <v/>
      </c>
      <c r="X347">
        <f>SUM(X330:X346)</f>
        <v/>
      </c>
      <c r="Y347">
        <f>SUM(Y330:Y346)</f>
        <v/>
      </c>
      <c r="Z347">
        <f>SUM(Z330:Z346)</f>
        <v/>
      </c>
      <c r="AA347">
        <f>SUM(AA330:AA346)</f>
        <v/>
      </c>
      <c r="AB347">
        <f>SUM(AB330:AB346)</f>
        <v/>
      </c>
      <c r="AC347">
        <f>SUM(AC330:AC346)</f>
        <v/>
      </c>
      <c r="AD347">
        <f>SUM(AD330:AD346)</f>
        <v/>
      </c>
      <c r="AE347">
        <f>SUM(AE330:AE346)</f>
        <v/>
      </c>
      <c r="AG347" s="252">
        <f>SUM(AG330:AG346)</f>
        <v/>
      </c>
    </row>
    <row r="348" ht="15.75" customHeight="1" thickTop="1">
      <c r="A348" s="15" t="inlineStr">
        <is>
          <t>Ruunning Total</t>
        </is>
      </c>
      <c r="B348">
        <f>B347</f>
        <v/>
      </c>
      <c r="C348">
        <f>B348+C347</f>
        <v/>
      </c>
      <c r="D348">
        <f>C348+D347</f>
        <v/>
      </c>
      <c r="E348">
        <f>D348+E347</f>
        <v/>
      </c>
      <c r="F348">
        <f>E348+F347</f>
        <v/>
      </c>
      <c r="G348">
        <f>F348+G347</f>
        <v/>
      </c>
      <c r="H348">
        <f>G348+H347</f>
        <v/>
      </c>
      <c r="I348">
        <f>H348+I347</f>
        <v/>
      </c>
      <c r="J348">
        <f>I348+J347</f>
        <v/>
      </c>
      <c r="K348">
        <f>J348+K347</f>
        <v/>
      </c>
      <c r="L348">
        <f>K348+L347</f>
        <v/>
      </c>
      <c r="M348">
        <f>L348+M347</f>
        <v/>
      </c>
      <c r="N348">
        <f>M348+N347</f>
        <v/>
      </c>
      <c r="O348">
        <f>N348+O347</f>
        <v/>
      </c>
      <c r="P348">
        <f>O348+P347</f>
        <v/>
      </c>
      <c r="Q348">
        <f>P348+Q347</f>
        <v/>
      </c>
      <c r="R348">
        <f>Q348+R347</f>
        <v/>
      </c>
      <c r="S348">
        <f>R348+S347</f>
        <v/>
      </c>
      <c r="T348">
        <f>S348+T347</f>
        <v/>
      </c>
      <c r="U348">
        <f>T348+U347</f>
        <v/>
      </c>
      <c r="V348">
        <f>U348+V347</f>
        <v/>
      </c>
      <c r="W348">
        <f>V348+W347</f>
        <v/>
      </c>
      <c r="X348">
        <f>W348+X347</f>
        <v/>
      </c>
      <c r="Y348">
        <f>X348+Y347</f>
        <v/>
      </c>
      <c r="Z348">
        <f>Y348+Z347</f>
        <v/>
      </c>
      <c r="AA348">
        <f>Z348+AA347</f>
        <v/>
      </c>
      <c r="AB348">
        <f>AA348+AB347</f>
        <v/>
      </c>
      <c r="AC348">
        <f>AB348+AC347</f>
        <v/>
      </c>
      <c r="AD348">
        <f>AC348+AD347</f>
        <v/>
      </c>
      <c r="AE348">
        <f>AD348+AE347</f>
        <v/>
      </c>
    </row>
    <row r="350">
      <c r="A350" s="1" t="n"/>
      <c r="B350" s="2" t="inlineStr">
        <is>
          <t>Septemnber</t>
        </is>
      </c>
      <c r="C350" s="2" t="n"/>
      <c r="D350" s="2" t="n"/>
      <c r="E350" s="2" t="n"/>
      <c r="F350" s="2" t="n"/>
      <c r="G350" s="2" t="n"/>
      <c r="H350" s="2" t="n"/>
      <c r="I350" s="2" t="n"/>
      <c r="J350" s="2" t="n"/>
      <c r="K350" s="2" t="n"/>
      <c r="L350" s="2" t="n"/>
      <c r="M350" s="2" t="n"/>
      <c r="N350" s="2" t="n"/>
      <c r="O350" s="2" t="n"/>
      <c r="P350" s="2" t="n"/>
      <c r="Q350" s="2" t="n"/>
      <c r="R350" s="2" t="n"/>
      <c r="S350" s="2" t="n"/>
      <c r="T350" s="2" t="n"/>
      <c r="U350" s="2" t="n"/>
      <c r="V350" s="2" t="n"/>
      <c r="W350" s="2" t="n"/>
      <c r="X350" s="2" t="n"/>
      <c r="Y350" s="2" t="n"/>
      <c r="Z350" s="2" t="n"/>
      <c r="AA350" s="2" t="n"/>
      <c r="AB350" s="2" t="n"/>
      <c r="AC350" s="2" t="n"/>
      <c r="AD350" s="2" t="n"/>
      <c r="AE350" s="1" t="n"/>
      <c r="AF350" s="1" t="n"/>
      <c r="AG350" s="1" t="n"/>
    </row>
    <row r="351" ht="15.75" customHeight="1">
      <c r="A351" s="1" t="n"/>
      <c r="B351" s="2" t="inlineStr">
        <is>
          <t xml:space="preserve">Sunday </t>
        </is>
      </c>
      <c r="C351" s="2" t="inlineStr">
        <is>
          <t>Monday</t>
        </is>
      </c>
      <c r="D351" s="2" t="inlineStr">
        <is>
          <t>Tuesday</t>
        </is>
      </c>
      <c r="E351" s="2" t="inlineStr">
        <is>
          <t>Wednesday</t>
        </is>
      </c>
      <c r="F351" s="2" t="inlineStr">
        <is>
          <t>Thursday</t>
        </is>
      </c>
      <c r="G351" s="2" t="inlineStr">
        <is>
          <t>Friday</t>
        </is>
      </c>
      <c r="H351" s="2" t="inlineStr">
        <is>
          <t>Saturday</t>
        </is>
      </c>
      <c r="I351" s="2" t="inlineStr">
        <is>
          <t>Sunday</t>
        </is>
      </c>
      <c r="J351" s="2" t="inlineStr">
        <is>
          <t>Monday</t>
        </is>
      </c>
      <c r="K351" s="2" t="inlineStr">
        <is>
          <t>Tuesday</t>
        </is>
      </c>
      <c r="L351" s="2" t="inlineStr">
        <is>
          <t>Wednesday</t>
        </is>
      </c>
      <c r="M351" s="2" t="inlineStr">
        <is>
          <t>Thursday</t>
        </is>
      </c>
      <c r="N351" s="2" t="inlineStr">
        <is>
          <t>Friday</t>
        </is>
      </c>
      <c r="O351" s="2" t="inlineStr">
        <is>
          <t>Saturday</t>
        </is>
      </c>
      <c r="P351" s="2" t="inlineStr">
        <is>
          <t>Sunday</t>
        </is>
      </c>
      <c r="Q351" s="2" t="inlineStr">
        <is>
          <t>Monday</t>
        </is>
      </c>
      <c r="R351" s="2" t="inlineStr">
        <is>
          <t>Tuesday</t>
        </is>
      </c>
      <c r="S351" s="2" t="inlineStr">
        <is>
          <t>Wednesday</t>
        </is>
      </c>
      <c r="T351" s="2" t="inlineStr">
        <is>
          <t>Thursday</t>
        </is>
      </c>
      <c r="U351" s="2" t="inlineStr">
        <is>
          <t>Friday</t>
        </is>
      </c>
      <c r="V351" s="2" t="inlineStr">
        <is>
          <t>Saturday</t>
        </is>
      </c>
      <c r="W351" s="2" t="inlineStr">
        <is>
          <t>Sunday</t>
        </is>
      </c>
      <c r="X351" s="2" t="inlineStr">
        <is>
          <t>Monday</t>
        </is>
      </c>
      <c r="Y351" s="2" t="inlineStr">
        <is>
          <t>Tuesday</t>
        </is>
      </c>
      <c r="Z351" s="2" t="inlineStr">
        <is>
          <t>Wednesday</t>
        </is>
      </c>
      <c r="AA351" s="2" t="inlineStr">
        <is>
          <t>Thursday</t>
        </is>
      </c>
      <c r="AB351" s="2" t="inlineStr">
        <is>
          <t>Friday</t>
        </is>
      </c>
      <c r="AC351" s="2" t="inlineStr">
        <is>
          <t>Saturday</t>
        </is>
      </c>
      <c r="AD351" s="2" t="inlineStr">
        <is>
          <t>Sunday</t>
        </is>
      </c>
      <c r="AE351" s="2" t="inlineStr">
        <is>
          <t>Monday</t>
        </is>
      </c>
      <c r="AF351" s="9" t="n"/>
      <c r="AG351" s="2" t="inlineStr">
        <is>
          <t>Total</t>
        </is>
      </c>
    </row>
    <row r="352" ht="15.75" customHeight="1">
      <c r="A352" s="1" t="n"/>
      <c r="B352" s="87" t="inlineStr">
        <is>
          <t>1st</t>
        </is>
      </c>
      <c r="C352" s="3" t="inlineStr">
        <is>
          <t>2nd</t>
        </is>
      </c>
      <c r="D352" s="3" t="inlineStr">
        <is>
          <t>3rd</t>
        </is>
      </c>
      <c r="E352" s="3" t="inlineStr">
        <is>
          <t>4th</t>
        </is>
      </c>
      <c r="F352" s="3" t="inlineStr">
        <is>
          <t>5th</t>
        </is>
      </c>
      <c r="G352" s="3" t="inlineStr">
        <is>
          <t>6th</t>
        </is>
      </c>
      <c r="H352" s="3" t="inlineStr">
        <is>
          <t>7th</t>
        </is>
      </c>
      <c r="I352" s="3" t="inlineStr">
        <is>
          <t>8th</t>
        </is>
      </c>
      <c r="J352" s="4" t="inlineStr">
        <is>
          <t>9th</t>
        </is>
      </c>
      <c r="K352" s="4" t="inlineStr">
        <is>
          <t>10th</t>
        </is>
      </c>
      <c r="L352" s="4" t="inlineStr">
        <is>
          <t>11th</t>
        </is>
      </c>
      <c r="M352" s="4" t="inlineStr">
        <is>
          <t>12th</t>
        </is>
      </c>
      <c r="N352" s="4" t="inlineStr">
        <is>
          <t>13th</t>
        </is>
      </c>
      <c r="O352" s="4" t="inlineStr">
        <is>
          <t>14th</t>
        </is>
      </c>
      <c r="P352" s="4" t="inlineStr">
        <is>
          <t>15th</t>
        </is>
      </c>
      <c r="Q352" s="5" t="inlineStr">
        <is>
          <t>16th</t>
        </is>
      </c>
      <c r="R352" s="5" t="inlineStr">
        <is>
          <t>17th</t>
        </is>
      </c>
      <c r="S352" s="5" t="inlineStr">
        <is>
          <t>18th</t>
        </is>
      </c>
      <c r="T352" s="5" t="inlineStr">
        <is>
          <t>19th</t>
        </is>
      </c>
      <c r="U352" s="5" t="inlineStr">
        <is>
          <t>20th</t>
        </is>
      </c>
      <c r="V352" s="5" t="inlineStr">
        <is>
          <t>21st</t>
        </is>
      </c>
      <c r="W352" s="5" t="inlineStr">
        <is>
          <t>22nd</t>
        </is>
      </c>
      <c r="X352" s="6" t="inlineStr">
        <is>
          <t>23rd</t>
        </is>
      </c>
      <c r="Y352" s="6" t="inlineStr">
        <is>
          <t>24th</t>
        </is>
      </c>
      <c r="Z352" s="6" t="inlineStr">
        <is>
          <t>25th</t>
        </is>
      </c>
      <c r="AA352" s="6" t="inlineStr">
        <is>
          <t>26th</t>
        </is>
      </c>
      <c r="AB352" s="6" t="inlineStr">
        <is>
          <t>27th</t>
        </is>
      </c>
      <c r="AC352" s="6" t="inlineStr">
        <is>
          <t>28th</t>
        </is>
      </c>
      <c r="AD352" s="6" t="inlineStr">
        <is>
          <t>29th</t>
        </is>
      </c>
      <c r="AE352" s="7" t="inlineStr">
        <is>
          <t>30th</t>
        </is>
      </c>
      <c r="AF352" s="9" t="n"/>
      <c r="AG352" s="1" t="n"/>
    </row>
    <row r="353" ht="18.75" customHeight="1">
      <c r="A353" s="8" t="inlineStr">
        <is>
          <t>B-HAM CITY COUNCIL-200790-70489166</t>
        </is>
      </c>
      <c r="B353" s="9" t="n"/>
      <c r="C353" s="9" t="n"/>
      <c r="D353" s="12" t="n">
        <v>75502.24000000001</v>
      </c>
      <c r="E353" s="9" t="n"/>
      <c r="F353" s="9" t="n"/>
      <c r="K353" s="9" t="n"/>
      <c r="M353" s="12" t="n"/>
      <c r="N353" s="10" t="n"/>
      <c r="O353" s="11" t="n"/>
      <c r="P353" s="9" t="n"/>
      <c r="Q353" s="12" t="n"/>
      <c r="S353" s="9" t="n"/>
      <c r="T353" s="12" t="n"/>
      <c r="U353" s="9" t="n"/>
      <c r="V353" s="12" t="n"/>
      <c r="W353" s="12" t="n"/>
      <c r="X353" s="12">
        <f>5041.28</f>
        <v/>
      </c>
      <c r="Y353" s="11" t="n"/>
      <c r="Z353" s="9" t="n"/>
      <c r="AA353" s="12" t="n"/>
      <c r="AB353" s="9" t="n"/>
      <c r="AC353" s="9" t="n"/>
      <c r="AD353" s="9" t="n"/>
      <c r="AE353" s="12" t="n"/>
      <c r="AF353" s="9" t="n"/>
      <c r="AG353" s="13">
        <f>SUM(B353:AE353)</f>
        <v/>
      </c>
    </row>
    <row r="354" ht="15.75" customHeight="1">
      <c r="A354" s="8" t="inlineStr">
        <is>
          <t>Buckingham</t>
        </is>
      </c>
      <c r="B354" s="9" t="n"/>
      <c r="C354" s="9" t="n"/>
      <c r="D354" s="9" t="n"/>
      <c r="E354" s="9" t="n"/>
      <c r="F354" s="9" t="n"/>
      <c r="G354" s="9" t="n"/>
      <c r="H354" s="9" t="n"/>
      <c r="I354" s="9" t="n"/>
      <c r="J354" s="9" t="n"/>
      <c r="K354" s="9" t="n"/>
      <c r="L354" s="9" t="n"/>
      <c r="M354" s="9" t="n"/>
      <c r="N354" s="9" t="n"/>
      <c r="O354" s="9" t="n"/>
      <c r="P354" s="9" t="n"/>
      <c r="Q354" s="9" t="n"/>
      <c r="R354" s="12" t="n">
        <v>4937.64</v>
      </c>
      <c r="S354" s="9" t="n"/>
      <c r="T354" s="9" t="n"/>
      <c r="U354" s="9" t="n"/>
      <c r="V354" s="9" t="n"/>
      <c r="W354" s="9" t="n"/>
      <c r="X354" s="9" t="n"/>
      <c r="Y354" s="9" t="n"/>
      <c r="Z354" s="9" t="n"/>
      <c r="AA354" s="9" t="n"/>
      <c r="AB354" s="31" t="n">
        <v>5134.44</v>
      </c>
      <c r="AC354" s="9" t="n"/>
      <c r="AD354" s="9" t="n"/>
      <c r="AE354" s="9" t="n"/>
      <c r="AF354" s="9" t="n"/>
      <c r="AG354" s="13">
        <f>SUM(B354:AE354)</f>
        <v/>
      </c>
    </row>
    <row r="355" ht="15.75" customHeight="1">
      <c r="A355" s="8" t="inlineStr">
        <is>
          <t>Sandwell respite est</t>
        </is>
      </c>
      <c r="B355" s="9" t="n"/>
      <c r="C355" s="9" t="n"/>
      <c r="D355" s="9" t="n"/>
      <c r="E355" s="9" t="n"/>
      <c r="F355" s="9" t="n"/>
      <c r="G355" s="9" t="n"/>
      <c r="H355" s="9" t="n"/>
      <c r="I355" s="9" t="n"/>
      <c r="J355" s="9" t="n"/>
      <c r="K355" s="9" t="n"/>
      <c r="L355" s="9" t="n"/>
      <c r="M355" s="9" t="n"/>
      <c r="N355" s="9" t="n"/>
      <c r="O355" s="9" t="n"/>
      <c r="P355" s="9" t="n"/>
      <c r="Q355" s="9" t="n"/>
      <c r="R355" s="9" t="n"/>
      <c r="S355" s="9" t="n"/>
      <c r="T355" s="9" t="n"/>
      <c r="U355" s="9" t="n"/>
      <c r="V355" s="9" t="n"/>
      <c r="W355" s="9" t="n"/>
      <c r="X355" s="9" t="n"/>
      <c r="Y355" s="9" t="n"/>
      <c r="Z355" s="9" t="n"/>
      <c r="AA355" s="9" t="n"/>
      <c r="AB355" s="9" t="n"/>
      <c r="AC355" s="9" t="n"/>
      <c r="AD355" s="9" t="n"/>
      <c r="AE355" s="9" t="n">
        <v>20000</v>
      </c>
      <c r="AF355" s="9" t="n"/>
      <c r="AG355" s="13">
        <f>SUM(B355:AE355)</f>
        <v/>
      </c>
    </row>
    <row r="356" ht="15.75" customHeight="1">
      <c r="A356" s="8" t="inlineStr">
        <is>
          <t xml:space="preserve">Wolverhampton respite est </t>
        </is>
      </c>
      <c r="B356" s="9" t="n"/>
      <c r="C356" s="9" t="n"/>
      <c r="D356" s="9" t="n"/>
      <c r="E356" s="9" t="n"/>
      <c r="F356" s="9" t="n"/>
      <c r="G356" s="9" t="n"/>
      <c r="H356" s="9" t="n"/>
      <c r="I356" s="9" t="n"/>
      <c r="J356" s="9" t="n"/>
      <c r="K356" s="9" t="n"/>
      <c r="L356" s="9" t="n"/>
      <c r="M356" s="9" t="n"/>
      <c r="N356" s="9" t="n"/>
      <c r="O356" s="9" t="n"/>
      <c r="P356" s="9" t="n"/>
      <c r="Q356" s="9" t="n"/>
      <c r="R356" s="9" t="n"/>
      <c r="S356" s="9" t="n"/>
      <c r="T356" s="9" t="n"/>
      <c r="U356" s="9" t="n"/>
      <c r="V356" s="9" t="n"/>
      <c r="W356" s="9" t="n"/>
      <c r="X356" s="9" t="n"/>
      <c r="Y356" s="9" t="n"/>
      <c r="Z356" s="9" t="n"/>
      <c r="AA356" s="9" t="n"/>
      <c r="AB356" s="9" t="n"/>
      <c r="AC356" s="9" t="n"/>
      <c r="AD356" s="9" t="n"/>
      <c r="AE356" s="9" t="n">
        <v>30000</v>
      </c>
      <c r="AF356" s="9" t="n"/>
      <c r="AG356" s="13">
        <f>SUM(B356:AE356)</f>
        <v/>
      </c>
    </row>
    <row r="357" ht="15.75" customHeight="1">
      <c r="A357" s="8" t="inlineStr">
        <is>
          <t>Walsall Respite</t>
        </is>
      </c>
      <c r="B357" s="9" t="n"/>
      <c r="C357" s="9" t="n"/>
      <c r="D357" s="9" t="n"/>
      <c r="E357" s="9" t="n"/>
      <c r="F357" s="9" t="n"/>
      <c r="H357" s="9" t="n"/>
      <c r="I357" s="9" t="n"/>
      <c r="J357" s="9" t="n"/>
      <c r="K357" s="9" t="n"/>
      <c r="L357" s="9" t="n"/>
      <c r="M357" s="9" t="n"/>
      <c r="N357" s="9" t="n"/>
      <c r="O357" s="9" t="n"/>
      <c r="P357" s="9" t="n"/>
      <c r="Q357" s="9" t="n"/>
      <c r="R357" s="9" t="n"/>
      <c r="S357" s="9" t="n"/>
      <c r="T357" s="9" t="n"/>
      <c r="U357" s="9" t="n"/>
      <c r="V357" s="9" t="n"/>
      <c r="W357" s="9" t="n"/>
      <c r="X357" s="9" t="n"/>
      <c r="Y357" s="9" t="n"/>
      <c r="Z357" s="9" t="n"/>
      <c r="AA357" s="9" t="n"/>
      <c r="AB357" s="9" t="n"/>
      <c r="AC357" s="9" t="n"/>
      <c r="AD357" s="9" t="n"/>
      <c r="AE357" s="9" t="n">
        <v>15000</v>
      </c>
      <c r="AF357" s="9" t="n"/>
      <c r="AG357" s="13">
        <f>SUM(B357:AE357)</f>
        <v/>
      </c>
    </row>
    <row r="358" ht="18.75" customHeight="1">
      <c r="A358" s="8" t="inlineStr">
        <is>
          <t>Ideal for All Ltd</t>
        </is>
      </c>
      <c r="B358" s="9" t="inlineStr">
        <is>
          <t>`</t>
        </is>
      </c>
      <c r="C358" s="9" t="n"/>
      <c r="D358" s="31" t="n"/>
      <c r="E358" s="31" t="n"/>
      <c r="F358" t="n">
        <v>3344</v>
      </c>
      <c r="G358" s="9" t="n"/>
      <c r="J358" s="12" t="n"/>
      <c r="K358" s="11" t="n"/>
      <c r="L358" s="11" t="n">
        <v>3661.88</v>
      </c>
      <c r="M358" s="9" t="n"/>
      <c r="N358" s="9" t="n"/>
      <c r="Q358" s="9" t="n"/>
      <c r="R358" s="9" t="n"/>
      <c r="S358" s="9" t="n"/>
      <c r="T358" s="9" t="n"/>
      <c r="U358" s="12" t="n">
        <v>2536.8</v>
      </c>
      <c r="V358" s="9" t="n"/>
      <c r="W358" s="9" t="n"/>
      <c r="X358" s="9" t="n"/>
      <c r="Y358" s="9" t="n"/>
      <c r="Z358" s="9" t="n"/>
      <c r="AA358" s="9" t="n"/>
      <c r="AB358" s="9" t="n"/>
      <c r="AC358" s="9" t="n"/>
      <c r="AD358" s="9" t="n"/>
      <c r="AE358" s="9" t="n"/>
      <c r="AF358" s="9" t="n"/>
      <c r="AG358" s="13">
        <f>SUM(B358:AE358)</f>
        <v/>
      </c>
    </row>
    <row r="359" ht="15.75" customHeight="1">
      <c r="A359" s="8" t="inlineStr">
        <is>
          <t>KIRKLEES COUNCIL-204312-63046958</t>
        </is>
      </c>
      <c r="B359" s="9" t="n"/>
      <c r="C359" s="9" t="n"/>
      <c r="D359" s="31" t="n"/>
      <c r="E359" s="26" t="n"/>
      <c r="F359" s="12" t="n"/>
      <c r="G359" s="9" t="n"/>
      <c r="H359" s="9" t="n"/>
      <c r="I359" s="12" t="n"/>
      <c r="J359" s="9" t="n"/>
      <c r="K359" s="12" t="n"/>
      <c r="L359" s="9" t="n"/>
      <c r="M359" s="9" t="n"/>
      <c r="N359" s="9" t="n"/>
      <c r="Q359" s="12" t="n"/>
      <c r="R359" s="12" t="n">
        <v>5554.89</v>
      </c>
      <c r="S359" s="9" t="n"/>
      <c r="T359" s="9" t="n"/>
      <c r="V359" s="9" t="n"/>
      <c r="W359" s="9" t="n"/>
      <c r="X359" s="9" t="n"/>
      <c r="Y359" s="9" t="n"/>
      <c r="Z359" s="9" t="n"/>
      <c r="AA359" s="9" t="n"/>
      <c r="AB359" s="9" t="n"/>
      <c r="AC359" s="9" t="n"/>
      <c r="AD359" s="9" t="n"/>
      <c r="AE359" s="12" t="n"/>
      <c r="AF359" s="12" t="n"/>
      <c r="AG359" s="13">
        <f>SUM(B359:AE359)</f>
        <v/>
      </c>
    </row>
    <row r="360" ht="15.75" customHeight="1">
      <c r="A360" s="8" t="inlineStr">
        <is>
          <t>LBH PAYMENTS BACS-602210-72430192</t>
        </is>
      </c>
      <c r="B360" s="9" t="n"/>
      <c r="C360" s="9" t="n"/>
      <c r="D360" s="26" t="n"/>
      <c r="E360" s="26" t="n"/>
      <c r="F360" s="12" t="n"/>
      <c r="G360" s="9" t="n"/>
      <c r="H360" s="9" t="n"/>
      <c r="I360" s="9" t="n"/>
      <c r="J360" s="9" t="n"/>
      <c r="K360" s="9" t="n"/>
      <c r="L360" s="12" t="n"/>
      <c r="M360" s="9" t="n"/>
      <c r="N360" s="9" t="n"/>
      <c r="Q360" s="9" t="n"/>
      <c r="R360" s="9" t="n"/>
      <c r="S360" s="9" t="n"/>
      <c r="T360" s="9" t="n"/>
      <c r="U360" s="9" t="n">
        <v>5040</v>
      </c>
      <c r="V360" s="9" t="n"/>
      <c r="W360" s="9" t="n"/>
      <c r="X360" s="9" t="n"/>
      <c r="Y360" s="9" t="n"/>
      <c r="Z360" s="9" t="n"/>
      <c r="AA360" s="9" t="n"/>
      <c r="AB360" s="9" t="n"/>
      <c r="AC360" s="9" t="n"/>
      <c r="AD360" s="9" t="n"/>
      <c r="AE360" s="9" t="n"/>
      <c r="AF360" s="9" t="n"/>
      <c r="AG360" s="13">
        <f>SUM(B360:AE360)</f>
        <v/>
      </c>
    </row>
    <row r="361" ht="15.75" customHeight="1">
      <c r="A361" s="8" t="inlineStr">
        <is>
          <t>NHS BIRMINGHAM &amp; S-607080-10017097</t>
        </is>
      </c>
      <c r="B361" s="9" t="n"/>
      <c r="C361" s="9" t="n"/>
      <c r="D361" s="31" t="n">
        <v>7121.63</v>
      </c>
      <c r="E361" s="31" t="n"/>
      <c r="F361" s="12" t="n"/>
      <c r="G361" s="12" t="n"/>
      <c r="H361" s="12" t="n"/>
      <c r="I361" s="12" t="n"/>
      <c r="J361" s="9" t="inlineStr"/>
      <c r="K361" s="9" t="n"/>
      <c r="L361" s="9" t="n"/>
      <c r="M361" s="9" t="n"/>
      <c r="N361" s="9" t="n"/>
      <c r="Q361" s="9" t="n"/>
      <c r="R361" s="9" t="n"/>
      <c r="S361" s="9" t="n"/>
      <c r="T361" s="9" t="n"/>
      <c r="U361" s="9" t="n"/>
      <c r="V361" s="9" t="n"/>
      <c r="W361" s="9" t="n"/>
      <c r="X361" s="9" t="n"/>
      <c r="Y361" s="9" t="n"/>
      <c r="Z361" s="9" t="n"/>
      <c r="AA361" s="9" t="n"/>
      <c r="AB361" s="9" t="n"/>
      <c r="AC361" s="9" t="n"/>
      <c r="AD361" s="9" t="n"/>
      <c r="AE361" s="9" t="n"/>
      <c r="AF361" s="9" t="n"/>
      <c r="AG361" s="13">
        <f>SUM(B361:AE361)</f>
        <v/>
      </c>
    </row>
    <row r="362" ht="15.75" customHeight="1">
      <c r="A362" s="8" t="inlineStr">
        <is>
          <t>NHS BLACK COUNTRY-607080-10015272</t>
        </is>
      </c>
      <c r="B362" s="9" t="n"/>
      <c r="C362" s="9" t="n"/>
      <c r="D362" s="26" t="n"/>
      <c r="E362" s="26" t="inlineStr"/>
      <c r="G362" s="9" t="inlineStr"/>
      <c r="H362" s="9" t="inlineStr"/>
      <c r="I362" t="inlineStr">
        <is>
          <t>.</t>
        </is>
      </c>
      <c r="J362" s="12" t="n"/>
      <c r="K362" s="9" t="n"/>
      <c r="L362" s="9" t="n"/>
      <c r="M362" s="9" t="n"/>
      <c r="N362" s="9" t="n"/>
      <c r="Q362" s="26" t="n"/>
      <c r="R362" s="26" t="n"/>
      <c r="S362" s="26" t="n"/>
      <c r="T362" t="n">
        <v>13185.64</v>
      </c>
      <c r="U362" s="31" t="n"/>
      <c r="V362" s="26" t="n"/>
      <c r="W362" s="26" t="n"/>
      <c r="X362" s="26" t="n"/>
      <c r="Y362" s="26" t="n"/>
      <c r="Z362" s="9" t="n"/>
      <c r="AA362" s="26" t="n"/>
      <c r="AB362" s="26" t="n"/>
      <c r="AC362" s="31" t="n">
        <v>8073.21</v>
      </c>
      <c r="AD362" s="9" t="n"/>
      <c r="AE362" s="9" t="n"/>
      <c r="AF362" s="9" t="n"/>
      <c r="AG362" s="13">
        <f>SUM(B362:AE362)</f>
        <v/>
      </c>
    </row>
    <row r="363" ht="15.75" customHeight="1">
      <c r="A363" s="14" t="inlineStr">
        <is>
          <t>SANDWELL MBC  BEN-601539-69624151</t>
        </is>
      </c>
      <c r="B363" s="9" t="n"/>
      <c r="C363" s="9" t="n"/>
      <c r="D363" s="9" t="n"/>
      <c r="E363" s="9" t="n"/>
      <c r="F363" s="9" t="n"/>
      <c r="G363" s="9" t="n"/>
      <c r="H363" s="12" t="n"/>
      <c r="I363" s="9" t="n"/>
      <c r="J363" s="9" t="n"/>
      <c r="K363" s="9" t="n"/>
      <c r="L363" s="9" t="n"/>
      <c r="M363" s="9" t="n"/>
      <c r="N363" s="9" t="n"/>
      <c r="O363" s="9" t="n"/>
      <c r="P363" s="9" t="n"/>
      <c r="Q363" s="9" t="n"/>
      <c r="R363" s="9" t="n"/>
      <c r="S363" s="9" t="n"/>
      <c r="T363" s="12" t="n"/>
      <c r="U363" s="9" t="n"/>
      <c r="V363" s="9" t="n"/>
      <c r="W363" s="9" t="n"/>
      <c r="X363" s="9" t="n"/>
      <c r="Y363" s="12" t="n">
        <v>3000</v>
      </c>
      <c r="Z363" s="9" t="n"/>
      <c r="AA363" s="9" t="n"/>
      <c r="AB363" s="9" t="n"/>
      <c r="AC363" s="9" t="n"/>
      <c r="AD363" s="9" t="n"/>
      <c r="AE363" s="9" t="n"/>
      <c r="AF363" s="9" t="n"/>
      <c r="AG363" s="13">
        <f>SUM(B363:AE363)</f>
        <v/>
      </c>
    </row>
    <row r="364" ht="15.75" customHeight="1">
      <c r="A364" s="14" t="inlineStr">
        <is>
          <t>SANDWELL MBC-601539-69624135</t>
        </is>
      </c>
      <c r="B364" s="9" t="n"/>
      <c r="C364" s="9" t="n"/>
      <c r="D364" s="9" t="n"/>
      <c r="E364" s="9" t="n"/>
      <c r="F364" s="9" t="n"/>
      <c r="G364" s="9" t="n"/>
      <c r="H364" s="9" t="n"/>
      <c r="I364" s="9" t="n"/>
      <c r="J364" s="9" t="n"/>
      <c r="K364" s="9" t="n"/>
      <c r="L364" s="9" t="n"/>
      <c r="M364" s="9" t="n">
        <v>120000</v>
      </c>
      <c r="N364" s="9" t="n"/>
      <c r="O364" s="9" t="n"/>
      <c r="P364" s="9" t="n"/>
      <c r="Q364" s="9" t="n"/>
      <c r="R364" s="9" t="n"/>
      <c r="S364" s="9" t="n"/>
      <c r="T364" s="9" t="n"/>
      <c r="U364" s="9" t="n"/>
      <c r="V364" s="9" t="n"/>
      <c r="W364" s="9" t="n"/>
      <c r="X364" s="9" t="n"/>
      <c r="Y364" s="9" t="n"/>
      <c r="Z364" s="9" t="n"/>
      <c r="AA364" s="9" t="n">
        <v>120000</v>
      </c>
      <c r="AB364" s="9" t="n"/>
      <c r="AC364" s="9" t="n"/>
      <c r="AD364" s="9" t="n"/>
      <c r="AE364" s="9" t="n"/>
      <c r="AF364" s="9" t="n"/>
      <c r="AG364" s="13">
        <f>SUM(B364:AE364)</f>
        <v/>
      </c>
    </row>
    <row r="365" ht="15.75" customHeight="1">
      <c r="A365" s="15" t="inlineStr">
        <is>
          <t>SOLIHULL MBC EXP.-200771-00561525</t>
        </is>
      </c>
      <c r="B365" s="9" t="n"/>
      <c r="C365" s="9" t="n"/>
      <c r="D365" s="9" t="n"/>
      <c r="E365" s="9" t="n"/>
      <c r="F365" s="9" t="n"/>
      <c r="G365" s="9" t="n"/>
      <c r="H365" s="9" t="n"/>
      <c r="I365" s="9" t="n"/>
      <c r="J365" s="12" t="n">
        <v>32000</v>
      </c>
      <c r="K365" s="9" t="n"/>
      <c r="L365" s="9" t="n"/>
      <c r="M365" s="9" t="n"/>
      <c r="N365" s="9" t="n"/>
      <c r="O365" s="9" t="n"/>
      <c r="P365" s="9" t="n"/>
      <c r="Q365" s="9" t="n"/>
      <c r="R365" s="12" t="n"/>
      <c r="S365" s="9" t="n"/>
      <c r="U365" s="9" t="n"/>
      <c r="V365" s="9" t="n"/>
      <c r="W365" s="9" t="n"/>
      <c r="X365" s="9" t="n"/>
      <c r="Y365" s="9" t="n"/>
      <c r="Z365" s="9" t="n"/>
      <c r="AA365" s="9" t="n"/>
      <c r="AB365" s="9" t="n"/>
      <c r="AC365" s="9" t="n"/>
      <c r="AD365" s="9" t="n"/>
      <c r="AE365" s="9" t="n"/>
      <c r="AF365" s="9" t="n"/>
      <c r="AG365" s="13">
        <f>SUM(B365:AE365)</f>
        <v/>
      </c>
    </row>
    <row r="366" ht="15.75" customHeight="1">
      <c r="A366" s="15" t="inlineStr">
        <is>
          <t>WALSALL MBC BARC-209073-10731692</t>
        </is>
      </c>
      <c r="B366" s="9" t="n"/>
      <c r="C366" s="9" t="n"/>
      <c r="D366" s="9" t="n"/>
      <c r="E366" s="9" t="n"/>
      <c r="F366" s="9" t="n"/>
      <c r="H366" s="9" t="n"/>
      <c r="I366" s="9" t="n"/>
      <c r="J366" s="9" t="n"/>
      <c r="K366" s="9" t="n"/>
      <c r="L366" s="9" t="n"/>
      <c r="M366" s="9" t="n"/>
      <c r="N366" s="9" t="n"/>
      <c r="O366" s="9" t="n"/>
      <c r="P366" s="9" t="n"/>
      <c r="Q366" s="9" t="n"/>
      <c r="R366" s="9" t="n"/>
      <c r="S366" s="9" t="n"/>
      <c r="T366" s="9" t="n"/>
      <c r="U366" s="9" t="n"/>
      <c r="V366" s="9" t="n"/>
      <c r="W366" s="9" t="n"/>
      <c r="X366" s="9" t="n"/>
      <c r="Y366" s="9" t="n">
        <v>187000</v>
      </c>
      <c r="Z366" s="9" t="n"/>
      <c r="AA366" s="9" t="n"/>
      <c r="AB366" s="9" t="n"/>
      <c r="AC366" s="9" t="n"/>
      <c r="AD366" s="9" t="n"/>
      <c r="AE366" s="9" t="n"/>
      <c r="AF366" s="9" t="n"/>
      <c r="AG366" s="13">
        <f>SUM(B366:AE366)</f>
        <v/>
      </c>
    </row>
    <row r="367" ht="15.75" customHeight="1">
      <c r="A367" s="15" t="inlineStr">
        <is>
          <t>WOLVERHAMPTON CC-560069-44470320</t>
        </is>
      </c>
      <c r="B367" s="9" t="n"/>
      <c r="C367" s="9" t="n"/>
      <c r="D367" s="9" t="n"/>
      <c r="E367" s="9" t="n"/>
      <c r="F367" s="9" t="n">
        <v>112000</v>
      </c>
      <c r="G367" s="9" t="n"/>
      <c r="H367" s="9" t="n"/>
      <c r="I367" s="9" t="n"/>
      <c r="J367" s="9" t="n"/>
      <c r="K367" s="9" t="n"/>
      <c r="L367" s="9" t="n"/>
      <c r="M367" s="9" t="n">
        <v>112000</v>
      </c>
      <c r="N367" s="9" t="n"/>
      <c r="O367" s="9" t="n"/>
      <c r="P367" s="9" t="n"/>
      <c r="Q367" s="9" t="n"/>
      <c r="R367" s="9" t="n"/>
      <c r="S367" s="9" t="n"/>
      <c r="T367" s="9" t="n">
        <v>112000</v>
      </c>
      <c r="U367" s="9" t="n"/>
      <c r="V367" s="9" t="n"/>
      <c r="W367" s="9" t="n"/>
      <c r="X367" s="9" t="n"/>
      <c r="Y367" s="9" t="n"/>
      <c r="Z367" s="9" t="n"/>
      <c r="AA367" s="9" t="n">
        <v>112000</v>
      </c>
      <c r="AB367" s="9" t="n"/>
      <c r="AC367" s="9" t="n"/>
      <c r="AD367" s="9" t="n"/>
      <c r="AE367" s="9" t="n"/>
      <c r="AF367" s="9" t="n"/>
      <c r="AG367" s="13">
        <f>SUM(B367:AE367)</f>
        <v/>
      </c>
    </row>
    <row r="368" ht="15.75" customHeight="1">
      <c r="A368" s="15" t="inlineStr">
        <is>
          <t>Portsmouth</t>
        </is>
      </c>
      <c r="B368" s="9" t="n"/>
      <c r="C368" s="9" t="n"/>
      <c r="D368" s="9" t="n">
        <v>5247.86</v>
      </c>
      <c r="E368" s="9" t="n"/>
      <c r="F368" s="9" t="n"/>
      <c r="G368" s="9" t="n"/>
      <c r="H368" s="9" t="n"/>
      <c r="I368" s="9" t="n"/>
      <c r="J368" s="9" t="n"/>
      <c r="K368" s="9" t="n"/>
      <c r="L368" s="9" t="n"/>
      <c r="M368" s="9" t="n"/>
      <c r="N368" s="9" t="n"/>
      <c r="O368" s="9" t="n"/>
      <c r="P368" s="9" t="n"/>
      <c r="Q368" s="9" t="n"/>
      <c r="R368" s="9" t="n"/>
      <c r="S368" s="9" t="n"/>
      <c r="T368" s="9" t="n"/>
      <c r="U368" s="9" t="n"/>
      <c r="V368" s="9" t="n"/>
      <c r="W368" s="9" t="n"/>
      <c r="X368" s="9" t="n"/>
      <c r="Y368" s="9" t="n"/>
      <c r="Z368" s="9" t="n"/>
      <c r="AA368" s="9" t="n"/>
      <c r="AB368" s="9" t="n"/>
      <c r="AC368" s="9" t="n"/>
      <c r="AD368" s="9" t="n"/>
      <c r="AE368" s="9" t="n"/>
      <c r="AF368" s="9" t="n"/>
      <c r="AG368" s="13">
        <f>SUM(B368:AE368)</f>
        <v/>
      </c>
    </row>
    <row r="369" ht="15.75" customHeight="1">
      <c r="A369" s="15" t="inlineStr">
        <is>
          <t>HB SC</t>
        </is>
      </c>
      <c r="B369" s="16" t="n">
        <v>3800</v>
      </c>
      <c r="C369" s="16" t="n">
        <v>3800</v>
      </c>
      <c r="D369" s="16" t="n">
        <v>3800</v>
      </c>
      <c r="E369" s="16" t="n">
        <v>3800</v>
      </c>
      <c r="F369" s="16" t="n">
        <v>3800</v>
      </c>
      <c r="G369" s="16" t="n">
        <v>3800</v>
      </c>
      <c r="H369" s="16" t="n">
        <v>3800</v>
      </c>
      <c r="I369" s="16" t="n">
        <v>3800</v>
      </c>
      <c r="J369" s="16" t="n">
        <v>3800</v>
      </c>
      <c r="K369" s="16" t="n">
        <v>3800</v>
      </c>
      <c r="L369" s="16" t="n">
        <v>3800</v>
      </c>
      <c r="M369" s="16" t="n">
        <v>3800</v>
      </c>
      <c r="N369" s="16" t="n">
        <v>3800</v>
      </c>
      <c r="O369" s="16" t="n">
        <v>3800</v>
      </c>
      <c r="P369" s="16" t="n">
        <v>3800</v>
      </c>
      <c r="Q369" s="16" t="n">
        <v>3800</v>
      </c>
      <c r="R369" s="16" t="n">
        <v>3800</v>
      </c>
      <c r="S369" s="16" t="n">
        <v>3800</v>
      </c>
      <c r="T369" s="16" t="n">
        <v>3800</v>
      </c>
      <c r="U369" s="16" t="n">
        <v>3800</v>
      </c>
      <c r="V369" s="16" t="n">
        <v>3800</v>
      </c>
      <c r="W369" s="16" t="n">
        <v>3800</v>
      </c>
      <c r="X369" s="16" t="n">
        <v>3800</v>
      </c>
      <c r="Y369" s="16" t="n">
        <v>3800</v>
      </c>
      <c r="Z369" s="16" t="n">
        <v>3800</v>
      </c>
      <c r="AA369" s="16" t="n">
        <v>3800</v>
      </c>
      <c r="AB369" s="16" t="n">
        <v>3800</v>
      </c>
      <c r="AC369" s="16" t="n">
        <v>3800</v>
      </c>
      <c r="AD369" s="16" t="n">
        <v>3800</v>
      </c>
      <c r="AE369" s="16" t="n">
        <v>3800</v>
      </c>
      <c r="AF369" s="16" t="n"/>
      <c r="AG369" s="13">
        <f>SUM(B369:AE369)</f>
        <v/>
      </c>
    </row>
    <row r="370" ht="16.5" customHeight="1" thickBot="1">
      <c r="A370" s="15" t="inlineStr">
        <is>
          <t>Total</t>
        </is>
      </c>
      <c r="B370">
        <f>SUM(B353:B369)</f>
        <v/>
      </c>
      <c r="C370">
        <f>SUM(C353:C369)</f>
        <v/>
      </c>
      <c r="D370">
        <f>SUM(D353:D369)</f>
        <v/>
      </c>
      <c r="E370">
        <f>SUM(E353:E369)</f>
        <v/>
      </c>
      <c r="F370">
        <f>SUM(F353:F369)</f>
        <v/>
      </c>
      <c r="G370">
        <f>SUM(G353:G369)</f>
        <v/>
      </c>
      <c r="H370">
        <f>SUM(H353:H369)</f>
        <v/>
      </c>
      <c r="I370">
        <f>SUM(I353:I369)</f>
        <v/>
      </c>
      <c r="J370">
        <f>SUM(J353:J369)</f>
        <v/>
      </c>
      <c r="K370">
        <f>SUM(K353:K369)</f>
        <v/>
      </c>
      <c r="L370">
        <f>SUM(L353:L369)</f>
        <v/>
      </c>
      <c r="M370">
        <f>SUM(M353:M369)</f>
        <v/>
      </c>
      <c r="N370">
        <f>SUM(N353:N369)</f>
        <v/>
      </c>
      <c r="O370">
        <f>SUM(O353:O369)</f>
        <v/>
      </c>
      <c r="P370">
        <f>SUM(P353:P369)</f>
        <v/>
      </c>
      <c r="Q370">
        <f>SUM(Q353:Q369)</f>
        <v/>
      </c>
      <c r="R370">
        <f>SUM(R353:R369)</f>
        <v/>
      </c>
      <c r="S370">
        <f>SUM(S353:S369)</f>
        <v/>
      </c>
      <c r="T370">
        <f>SUM(T353:T369)</f>
        <v/>
      </c>
      <c r="U370">
        <f>SUM(U353:U369)</f>
        <v/>
      </c>
      <c r="V370">
        <f>SUM(V353:V369)</f>
        <v/>
      </c>
      <c r="W370">
        <f>SUM(W353:W369)</f>
        <v/>
      </c>
      <c r="X370">
        <f>SUM(X353:X369)</f>
        <v/>
      </c>
      <c r="Y370">
        <f>SUM(Y353:Y369)</f>
        <v/>
      </c>
      <c r="Z370">
        <f>SUM(Z353:Z369)</f>
        <v/>
      </c>
      <c r="AA370">
        <f>SUM(AA353:AA369)</f>
        <v/>
      </c>
      <c r="AB370">
        <f>SUM(AB353:AB369)</f>
        <v/>
      </c>
      <c r="AC370">
        <f>SUM(AC353:AC369)</f>
        <v/>
      </c>
      <c r="AD370">
        <f>SUM(AD353:AD369)</f>
        <v/>
      </c>
      <c r="AE370">
        <f>SUM(AE353:AE369)</f>
        <v/>
      </c>
      <c r="AG370" s="252">
        <f>SUM(AG353:AG369)</f>
        <v/>
      </c>
    </row>
    <row r="371" ht="15.75" customHeight="1" thickTop="1">
      <c r="A371" s="15" t="inlineStr">
        <is>
          <t>Ruunning Total</t>
        </is>
      </c>
      <c r="B371">
        <f>B370</f>
        <v/>
      </c>
      <c r="C371">
        <f>B371+C370</f>
        <v/>
      </c>
      <c r="D371">
        <f>C371+D370</f>
        <v/>
      </c>
      <c r="E371">
        <f>D371+E370</f>
        <v/>
      </c>
      <c r="F371">
        <f>E371+F370</f>
        <v/>
      </c>
      <c r="G371">
        <f>F371+G370</f>
        <v/>
      </c>
      <c r="H371">
        <f>G371+H370</f>
        <v/>
      </c>
      <c r="I371">
        <f>H371+I370</f>
        <v/>
      </c>
      <c r="J371">
        <f>I371+J370</f>
        <v/>
      </c>
      <c r="K371">
        <f>J371+K370</f>
        <v/>
      </c>
      <c r="L371">
        <f>K371+L370</f>
        <v/>
      </c>
      <c r="M371">
        <f>L371+M370</f>
        <v/>
      </c>
      <c r="N371">
        <f>M371+N370</f>
        <v/>
      </c>
      <c r="O371">
        <f>N371+O370</f>
        <v/>
      </c>
      <c r="P371">
        <f>O371+P370</f>
        <v/>
      </c>
      <c r="Q371">
        <f>P371+Q370</f>
        <v/>
      </c>
      <c r="R371">
        <f>Q371+R370</f>
        <v/>
      </c>
      <c r="S371">
        <f>R371+S370</f>
        <v/>
      </c>
      <c r="T371">
        <f>S371+T370</f>
        <v/>
      </c>
      <c r="U371">
        <f>T371+U370</f>
        <v/>
      </c>
      <c r="V371">
        <f>U371+V370</f>
        <v/>
      </c>
      <c r="W371">
        <f>V371+W370</f>
        <v/>
      </c>
      <c r="X371">
        <f>W371+X370</f>
        <v/>
      </c>
      <c r="Y371">
        <f>X371+Y370</f>
        <v/>
      </c>
      <c r="Z371">
        <f>Y371+Z370</f>
        <v/>
      </c>
      <c r="AA371">
        <f>Z371+AA370</f>
        <v/>
      </c>
      <c r="AB371">
        <f>AA371+AB370</f>
        <v/>
      </c>
      <c r="AC371">
        <f>AB371+AC370</f>
        <v/>
      </c>
      <c r="AD371">
        <f>AC371+AD370</f>
        <v/>
      </c>
      <c r="AE371">
        <f>AD371+AE370</f>
        <v/>
      </c>
    </row>
    <row r="374">
      <c r="A374" s="1" t="n"/>
      <c r="B374" s="2" t="inlineStr">
        <is>
          <t>October</t>
        </is>
      </c>
      <c r="C374" s="2" t="n"/>
      <c r="D374" s="2" t="n"/>
      <c r="E374" s="2" t="n"/>
      <c r="F374" s="2" t="n"/>
      <c r="G374" s="2" t="n"/>
      <c r="H374" s="2" t="n"/>
      <c r="I374" s="2" t="n"/>
      <c r="J374" s="2" t="n"/>
      <c r="K374" s="2" t="n"/>
      <c r="L374" s="2" t="n"/>
      <c r="M374" s="2" t="n"/>
      <c r="N374" s="2" t="n"/>
      <c r="O374" s="2" t="n"/>
      <c r="P374" s="2" t="n"/>
      <c r="Q374" s="2" t="n"/>
      <c r="R374" s="2" t="n"/>
      <c r="S374" s="2" t="n"/>
      <c r="T374" s="2" t="n"/>
      <c r="U374" s="2" t="n"/>
      <c r="V374" s="2" t="n"/>
      <c r="W374" s="2" t="n"/>
      <c r="X374" s="2" t="n"/>
      <c r="Y374" s="2" t="n"/>
      <c r="Z374" s="2" t="n"/>
      <c r="AA374" s="2" t="n"/>
      <c r="AB374" s="2" t="n"/>
      <c r="AC374" s="2" t="n"/>
      <c r="AD374" s="2" t="n"/>
      <c r="AE374" s="1" t="n"/>
      <c r="AF374" s="1" t="n"/>
      <c r="AG374" s="1" t="n"/>
    </row>
    <row r="375">
      <c r="A375" s="1" t="n"/>
      <c r="B375" s="2" t="inlineStr">
        <is>
          <t>Tuesday</t>
        </is>
      </c>
      <c r="C375" s="2" t="inlineStr">
        <is>
          <t>Wednesday</t>
        </is>
      </c>
      <c r="D375" s="2" t="inlineStr">
        <is>
          <t>Thursday</t>
        </is>
      </c>
      <c r="E375" s="2" t="inlineStr">
        <is>
          <t>Friday</t>
        </is>
      </c>
      <c r="F375" s="2" t="inlineStr">
        <is>
          <t>Saturday</t>
        </is>
      </c>
      <c r="G375" s="2" t="inlineStr">
        <is>
          <t>Sunday</t>
        </is>
      </c>
      <c r="H375" s="2" t="inlineStr">
        <is>
          <t>Monday</t>
        </is>
      </c>
      <c r="I375" s="2" t="inlineStr">
        <is>
          <t>Tuesday</t>
        </is>
      </c>
      <c r="J375" s="2" t="inlineStr">
        <is>
          <t>Wednesday</t>
        </is>
      </c>
      <c r="K375" s="2" t="inlineStr">
        <is>
          <t>Thursday</t>
        </is>
      </c>
      <c r="L375" s="2" t="inlineStr">
        <is>
          <t>Friday</t>
        </is>
      </c>
      <c r="M375" s="2" t="inlineStr">
        <is>
          <t>Saturday</t>
        </is>
      </c>
      <c r="N375" s="2" t="inlineStr">
        <is>
          <t>Sunday</t>
        </is>
      </c>
      <c r="O375" s="2" t="inlineStr">
        <is>
          <t>Monday</t>
        </is>
      </c>
      <c r="P375" s="2" t="inlineStr">
        <is>
          <t>Tuesday</t>
        </is>
      </c>
      <c r="Q375" s="2" t="inlineStr">
        <is>
          <t>Wednesday</t>
        </is>
      </c>
      <c r="R375" s="2" t="inlineStr">
        <is>
          <t>Thursday</t>
        </is>
      </c>
      <c r="S375" s="2" t="inlineStr">
        <is>
          <t>Friday</t>
        </is>
      </c>
      <c r="T375" s="2" t="inlineStr">
        <is>
          <t>Saturday</t>
        </is>
      </c>
      <c r="U375" s="2" t="inlineStr">
        <is>
          <t>Sunday</t>
        </is>
      </c>
      <c r="V375" s="2" t="inlineStr">
        <is>
          <t>Monday</t>
        </is>
      </c>
      <c r="W375" s="2" t="inlineStr">
        <is>
          <t>Tuesday</t>
        </is>
      </c>
      <c r="X375" s="2" t="inlineStr">
        <is>
          <t>Wednesday</t>
        </is>
      </c>
      <c r="Y375" s="2" t="inlineStr">
        <is>
          <t>Thursday</t>
        </is>
      </c>
      <c r="Z375" s="2" t="inlineStr">
        <is>
          <t>Friday</t>
        </is>
      </c>
      <c r="AA375" s="2" t="inlineStr">
        <is>
          <t>Saturday</t>
        </is>
      </c>
      <c r="AB375" s="2" t="inlineStr">
        <is>
          <t>Sunday</t>
        </is>
      </c>
      <c r="AC375" s="2" t="inlineStr">
        <is>
          <t>Monday</t>
        </is>
      </c>
      <c r="AD375" s="2" t="inlineStr">
        <is>
          <t>Tuesday</t>
        </is>
      </c>
      <c r="AE375" s="2" t="inlineStr">
        <is>
          <t>Wednesday</t>
        </is>
      </c>
      <c r="AF375" s="2" t="inlineStr">
        <is>
          <t>Thursday</t>
        </is>
      </c>
      <c r="AG375" s="2" t="inlineStr">
        <is>
          <t>Total</t>
        </is>
      </c>
    </row>
    <row r="376">
      <c r="A376" s="1" t="n"/>
      <c r="B376" s="7" t="inlineStr">
        <is>
          <t>1st</t>
        </is>
      </c>
      <c r="C376" s="7" t="inlineStr">
        <is>
          <t>2nd</t>
        </is>
      </c>
      <c r="D376" s="7" t="inlineStr">
        <is>
          <t>3rd</t>
        </is>
      </c>
      <c r="E376" s="7" t="inlineStr">
        <is>
          <t>4th</t>
        </is>
      </c>
      <c r="F376" s="7" t="inlineStr">
        <is>
          <t>5th</t>
        </is>
      </c>
      <c r="G376" s="7" t="inlineStr">
        <is>
          <t>6th</t>
        </is>
      </c>
      <c r="H376" s="3" t="inlineStr">
        <is>
          <t>7th</t>
        </is>
      </c>
      <c r="I376" s="3" t="inlineStr">
        <is>
          <t>8th</t>
        </is>
      </c>
      <c r="J376" s="3" t="inlineStr">
        <is>
          <t>9th</t>
        </is>
      </c>
      <c r="K376" s="3" t="inlineStr">
        <is>
          <t>10th</t>
        </is>
      </c>
      <c r="L376" s="3" t="inlineStr">
        <is>
          <t>11th</t>
        </is>
      </c>
      <c r="M376" s="3" t="inlineStr">
        <is>
          <t>12th</t>
        </is>
      </c>
      <c r="N376" s="3" t="inlineStr">
        <is>
          <t>13th</t>
        </is>
      </c>
      <c r="O376" s="4" t="inlineStr">
        <is>
          <t>14th</t>
        </is>
      </c>
      <c r="P376" s="4" t="inlineStr">
        <is>
          <t>15th</t>
        </is>
      </c>
      <c r="Q376" s="4" t="inlineStr">
        <is>
          <t>16th</t>
        </is>
      </c>
      <c r="R376" s="4" t="inlineStr">
        <is>
          <t>17th</t>
        </is>
      </c>
      <c r="S376" s="4" t="inlineStr">
        <is>
          <t>18th</t>
        </is>
      </c>
      <c r="T376" s="4" t="inlineStr">
        <is>
          <t>19th</t>
        </is>
      </c>
      <c r="U376" s="4" t="inlineStr">
        <is>
          <t>20th</t>
        </is>
      </c>
      <c r="V376" s="5" t="inlineStr">
        <is>
          <t>21st</t>
        </is>
      </c>
      <c r="W376" s="5" t="inlineStr">
        <is>
          <t>22nd</t>
        </is>
      </c>
      <c r="X376" s="5" t="inlineStr">
        <is>
          <t>23rd</t>
        </is>
      </c>
      <c r="Y376" s="5" t="inlineStr">
        <is>
          <t>24th</t>
        </is>
      </c>
      <c r="Z376" s="5" t="inlineStr">
        <is>
          <t>25th</t>
        </is>
      </c>
      <c r="AA376" s="5" t="inlineStr">
        <is>
          <t>26th</t>
        </is>
      </c>
      <c r="AB376" s="5" t="inlineStr">
        <is>
          <t>27th</t>
        </is>
      </c>
      <c r="AC376" s="6" t="inlineStr">
        <is>
          <t>28th</t>
        </is>
      </c>
      <c r="AD376" s="6" t="inlineStr">
        <is>
          <t>29th</t>
        </is>
      </c>
      <c r="AE376" s="6" t="inlineStr">
        <is>
          <t>30th</t>
        </is>
      </c>
      <c r="AF376" s="6" t="inlineStr">
        <is>
          <t>31st</t>
        </is>
      </c>
      <c r="AG376" s="1" t="n"/>
    </row>
    <row r="377" ht="15.75" customHeight="1">
      <c r="A377" s="8" t="inlineStr">
        <is>
          <t>B-HAM CITY COUNCIL-200790-70489166</t>
        </is>
      </c>
      <c r="C377" s="12" t="n">
        <v>75502.24000000001</v>
      </c>
      <c r="X377" s="12">
        <f>5041.28</f>
        <v/>
      </c>
      <c r="AE377" s="12" t="n">
        <v>75502.24000000001</v>
      </c>
      <c r="AG377" s="13">
        <f>SUM(B377:AF377)</f>
        <v/>
      </c>
    </row>
    <row r="378" ht="15.75" customHeight="1">
      <c r="A378" s="8" t="inlineStr">
        <is>
          <t>Buckingham</t>
        </is>
      </c>
      <c r="C378" s="9" t="n"/>
      <c r="D378" s="9" t="n"/>
      <c r="E378" s="9" t="n"/>
      <c r="F378" s="9" t="n"/>
      <c r="G378" s="9" t="n"/>
      <c r="H378" s="9" t="n"/>
      <c r="I378" s="9" t="n"/>
      <c r="J378" s="9" t="n"/>
      <c r="K378" s="9" t="n"/>
      <c r="L378" s="9" t="n"/>
      <c r="M378" s="9" t="n"/>
      <c r="N378" s="9" t="n"/>
      <c r="O378" s="9" t="n"/>
      <c r="P378" s="9" t="n"/>
      <c r="Q378" s="12" t="n">
        <v>4937.64</v>
      </c>
      <c r="R378" s="9" t="n"/>
      <c r="S378" s="9" t="n"/>
      <c r="T378" s="9" t="n"/>
      <c r="U378" s="9" t="n"/>
      <c r="V378" s="9" t="n"/>
      <c r="W378" s="9" t="n"/>
      <c r="X378" s="9" t="n"/>
      <c r="Y378" s="9" t="n"/>
      <c r="Z378" s="9" t="n"/>
      <c r="AB378" s="9" t="n"/>
      <c r="AC378" s="31" t="n">
        <v>5134.44</v>
      </c>
      <c r="AD378" s="9" t="n"/>
      <c r="AG378" s="13">
        <f>SUM(B378:AF378)</f>
        <v/>
      </c>
    </row>
    <row r="379" ht="15.75" customHeight="1">
      <c r="A379" s="8" t="inlineStr">
        <is>
          <t>Sandwell respite est</t>
        </is>
      </c>
      <c r="C379" s="9" t="n"/>
      <c r="D379" s="9" t="n"/>
      <c r="E379" s="9" t="n"/>
      <c r="F379" s="9" t="n"/>
      <c r="G379" s="9" t="n"/>
      <c r="H379" s="9" t="n"/>
      <c r="I379" s="9" t="n"/>
      <c r="J379" s="9" t="n"/>
      <c r="K379" s="9" t="n"/>
      <c r="L379" s="9" t="n"/>
      <c r="M379" s="9" t="n"/>
      <c r="N379" s="9" t="n"/>
      <c r="O379" s="9" t="n"/>
      <c r="P379" s="9" t="n"/>
      <c r="Q379" s="9" t="n"/>
      <c r="R379" s="9" t="n"/>
      <c r="S379" s="9" t="n"/>
      <c r="T379" s="9" t="n"/>
      <c r="U379" s="9" t="n"/>
      <c r="V379" s="9" t="n"/>
      <c r="W379" s="9" t="n"/>
      <c r="X379" s="9" t="n"/>
      <c r="Y379" s="9" t="n"/>
      <c r="Z379" s="9" t="n"/>
      <c r="AA379" s="9" t="n"/>
      <c r="AB379" s="9" t="n"/>
      <c r="AC379" s="9" t="n"/>
      <c r="AF379" s="9" t="n">
        <v>20000</v>
      </c>
      <c r="AG379" s="13">
        <f>SUM(B379:AF379)</f>
        <v/>
      </c>
    </row>
    <row r="380" ht="15.75" customHeight="1">
      <c r="A380" s="8" t="inlineStr">
        <is>
          <t xml:space="preserve">Wolverhampton respite est </t>
        </is>
      </c>
      <c r="C380" s="9" t="n"/>
      <c r="D380" s="9" t="n"/>
      <c r="E380" s="9" t="n"/>
      <c r="F380" s="9" t="n"/>
      <c r="G380" s="9" t="n"/>
      <c r="H380" s="9" t="n"/>
      <c r="I380" s="9" t="n"/>
      <c r="J380" s="9" t="n"/>
      <c r="K380" s="9" t="n"/>
      <c r="L380" s="9" t="n"/>
      <c r="M380" s="9" t="n"/>
      <c r="N380" s="9" t="n"/>
      <c r="O380" s="9" t="n"/>
      <c r="P380" s="9" t="n"/>
      <c r="Q380" s="9" t="n"/>
      <c r="R380" s="9" t="n"/>
      <c r="S380" s="9" t="n"/>
      <c r="T380" s="9" t="n"/>
      <c r="U380" s="9" t="n"/>
      <c r="V380" s="9" t="n"/>
      <c r="W380" s="9" t="n"/>
      <c r="X380" s="9" t="n"/>
      <c r="Y380" s="9" t="n"/>
      <c r="Z380" s="9" t="n"/>
      <c r="AA380" s="9" t="n"/>
      <c r="AB380" s="9" t="n"/>
      <c r="AC380" s="9" t="n"/>
      <c r="AF380" s="9" t="n">
        <v>30000</v>
      </c>
      <c r="AG380" s="13">
        <f>SUM(B380:AF380)</f>
        <v/>
      </c>
    </row>
    <row r="381" ht="15.75" customHeight="1">
      <c r="A381" s="8" t="inlineStr">
        <is>
          <t>Walsall Respite</t>
        </is>
      </c>
      <c r="C381" s="9" t="n"/>
      <c r="D381" s="9" t="n"/>
      <c r="E381" s="9" t="n"/>
      <c r="G381" s="9" t="n"/>
      <c r="H381" s="9" t="n"/>
      <c r="I381" s="9" t="n"/>
      <c r="J381" s="9" t="n"/>
      <c r="K381" s="9" t="n"/>
      <c r="L381" s="9" t="n"/>
      <c r="M381" s="9" t="n"/>
      <c r="N381" s="9" t="n"/>
      <c r="O381" s="9" t="n"/>
      <c r="P381" s="9" t="n"/>
      <c r="Q381" s="9" t="n"/>
      <c r="R381" s="9" t="n"/>
      <c r="S381" s="9" t="n"/>
      <c r="T381" s="9" t="n"/>
      <c r="U381" s="9" t="n"/>
      <c r="V381" s="9" t="n"/>
      <c r="W381" s="9" t="n"/>
      <c r="X381" s="9" t="n"/>
      <c r="Y381" s="9" t="n"/>
      <c r="Z381" s="9" t="n"/>
      <c r="AA381" s="9" t="n"/>
      <c r="AB381" s="9" t="n"/>
      <c r="AC381" s="9" t="n"/>
      <c r="AF381" s="9" t="n">
        <v>15000</v>
      </c>
      <c r="AG381" s="13">
        <f>SUM(B381:AF381)</f>
        <v/>
      </c>
    </row>
    <row r="382" ht="18.75" customHeight="1">
      <c r="A382" s="8" t="inlineStr">
        <is>
          <t>Ideal for All Ltd</t>
        </is>
      </c>
      <c r="C382" s="31" t="n"/>
      <c r="D382" s="31" t="n"/>
      <c r="E382" t="n">
        <v>3344</v>
      </c>
      <c r="F382" s="9" t="n"/>
      <c r="I382" s="12" t="n"/>
      <c r="J382" s="11" t="n"/>
      <c r="K382" s="11" t="n">
        <v>3661.88</v>
      </c>
      <c r="L382" s="9" t="n"/>
      <c r="M382" s="9" t="n"/>
      <c r="N382" s="9" t="n"/>
      <c r="O382" s="12" t="n">
        <v>2536.8</v>
      </c>
      <c r="P382" s="9" t="n"/>
      <c r="Q382" s="9" t="n"/>
      <c r="R382" s="9" t="n"/>
      <c r="S382" s="9" t="n"/>
      <c r="T382" s="9" t="n"/>
      <c r="U382" s="9" t="n"/>
      <c r="V382" s="9" t="n"/>
      <c r="W382" s="9" t="n"/>
      <c r="X382" s="9" t="n"/>
      <c r="Y382" s="9" t="n"/>
      <c r="Z382" s="9" t="n"/>
      <c r="AA382" s="9" t="n"/>
      <c r="AB382" s="9" t="n"/>
      <c r="AC382" s="9" t="n"/>
      <c r="AD382" s="9" t="n"/>
      <c r="AG382" s="13">
        <f>SUM(B382:AF382)</f>
        <v/>
      </c>
    </row>
    <row r="383" ht="15.75" customHeight="1">
      <c r="A383" s="8" t="inlineStr">
        <is>
          <t>KIRKLEES COUNCIL-204312-63046958</t>
        </is>
      </c>
      <c r="C383" s="31" t="n"/>
      <c r="D383" s="26" t="n"/>
      <c r="E383" s="12" t="n"/>
      <c r="F383" s="9" t="n"/>
      <c r="G383" s="9" t="n"/>
      <c r="H383" s="12" t="n"/>
      <c r="I383" s="9" t="n"/>
      <c r="J383" s="12" t="n"/>
      <c r="K383" s="9" t="n"/>
      <c r="L383" s="9" t="n"/>
      <c r="M383" s="9" t="n"/>
      <c r="N383" s="9" t="n"/>
      <c r="P383" s="12" t="n"/>
      <c r="Q383" s="12" t="n">
        <v>5554.89</v>
      </c>
      <c r="R383" s="9" t="n"/>
      <c r="S383" s="9" t="n"/>
      <c r="T383" s="9" t="n"/>
      <c r="U383" s="9" t="n"/>
      <c r="V383" s="9" t="n"/>
      <c r="W383" s="9" t="n"/>
      <c r="X383" s="9" t="n"/>
      <c r="Y383" s="9" t="n"/>
      <c r="Z383" s="9" t="n"/>
      <c r="AA383" s="9" t="n"/>
      <c r="AB383" s="9" t="n"/>
      <c r="AC383" s="9" t="n"/>
      <c r="AD383" s="12" t="n"/>
      <c r="AG383" s="13">
        <f>SUM(B383:AF383)</f>
        <v/>
      </c>
    </row>
    <row r="384" ht="15.75" customHeight="1">
      <c r="A384" s="8" t="inlineStr">
        <is>
          <t>LBH PAYMENTS BACS-602210-72430192</t>
        </is>
      </c>
      <c r="C384" s="26" t="n"/>
      <c r="D384" s="26" t="n"/>
      <c r="E384" s="12" t="n"/>
      <c r="F384" s="9" t="n"/>
      <c r="G384" s="9" t="n"/>
      <c r="H384" s="9" t="n"/>
      <c r="I384" s="9" t="n"/>
      <c r="J384" s="9" t="n"/>
      <c r="K384" s="12" t="n"/>
      <c r="L384" s="9" t="n"/>
      <c r="M384" s="9" t="n"/>
      <c r="N384" s="9" t="n"/>
      <c r="O384" s="9" t="n">
        <v>5040</v>
      </c>
      <c r="P384" s="9" t="n"/>
      <c r="Q384" s="9" t="n"/>
      <c r="R384" s="9" t="n"/>
      <c r="S384" s="9" t="n"/>
      <c r="T384" s="9" t="n"/>
      <c r="U384" s="9" t="n"/>
      <c r="V384" s="9" t="n"/>
      <c r="W384" s="9" t="n"/>
      <c r="X384" s="9" t="n"/>
      <c r="Y384" s="9" t="n"/>
      <c r="Z384" s="9" t="n"/>
      <c r="AA384" s="9" t="n"/>
      <c r="AB384" s="9" t="n"/>
      <c r="AC384" s="9" t="n"/>
      <c r="AD384" s="9" t="n"/>
      <c r="AG384" s="13">
        <f>SUM(B384:AF384)</f>
        <v/>
      </c>
    </row>
    <row r="385" ht="15.75" customHeight="1">
      <c r="A385" s="8" t="inlineStr">
        <is>
          <t>NHS BIRMINGHAM &amp; S-607080-10017097</t>
        </is>
      </c>
      <c r="C385" s="31" t="n">
        <v>7121.63</v>
      </c>
      <c r="D385" s="31" t="n"/>
      <c r="E385" s="12" t="n"/>
      <c r="F385" s="12" t="n"/>
      <c r="G385" s="12" t="n"/>
      <c r="H385" s="12" t="n"/>
      <c r="I385" s="9" t="inlineStr"/>
      <c r="J385" s="9" t="n"/>
      <c r="K385" s="9" t="n"/>
      <c r="L385" s="9" t="n"/>
      <c r="M385" s="9" t="n"/>
      <c r="N385" s="9" t="n"/>
      <c r="O385" s="9" t="n"/>
      <c r="P385" s="9" t="n"/>
      <c r="Q385" s="9" t="n"/>
      <c r="R385" s="9" t="n"/>
      <c r="S385" s="9" t="n"/>
      <c r="T385" s="9" t="n"/>
      <c r="U385" s="9" t="n"/>
      <c r="V385" s="9" t="n"/>
      <c r="W385" s="9" t="n"/>
      <c r="X385" s="9" t="n"/>
      <c r="Y385" s="9" t="n"/>
      <c r="Z385" s="9" t="n"/>
      <c r="AA385" s="9" t="n"/>
      <c r="AB385" s="9" t="n"/>
      <c r="AC385" s="9" t="n"/>
      <c r="AD385" s="9" t="n"/>
      <c r="AG385" s="13">
        <f>SUM(B385:AF385)</f>
        <v/>
      </c>
    </row>
    <row r="386" ht="15.75" customHeight="1">
      <c r="A386" s="8" t="inlineStr">
        <is>
          <t>NHS BLACK COUNTRY-607080-10015272</t>
        </is>
      </c>
      <c r="B386" s="31" t="n"/>
      <c r="C386" s="31" t="n"/>
      <c r="D386" s="12" t="n"/>
      <c r="E386" s="12" t="n"/>
      <c r="F386" s="12" t="n"/>
      <c r="G386" s="12" t="n"/>
      <c r="H386" s="9" t="inlineStr"/>
      <c r="I386" s="9" t="n"/>
      <c r="J386" s="9" t="n"/>
      <c r="K386" s="9" t="n"/>
      <c r="L386" t="n">
        <v>13185.64</v>
      </c>
      <c r="M386" s="31" t="n"/>
      <c r="N386" s="26" t="n"/>
      <c r="O386" s="26" t="n"/>
      <c r="P386" s="26" t="n"/>
      <c r="Q386" s="26" t="n"/>
      <c r="R386" s="31" t="n"/>
      <c r="S386" s="26" t="n"/>
      <c r="T386" s="26" t="n"/>
      <c r="U386" s="26" t="n"/>
      <c r="V386" s="26" t="n"/>
      <c r="W386" s="9" t="n"/>
      <c r="X386" s="26" t="n"/>
      <c r="Y386" s="26" t="n"/>
      <c r="Z386" s="31" t="n">
        <v>8073.21</v>
      </c>
      <c r="AA386" s="9" t="n"/>
      <c r="AG386" s="13">
        <f>SUM(B386:AF386)</f>
        <v/>
      </c>
    </row>
    <row r="387" ht="15.75" customHeight="1">
      <c r="A387" s="14" t="inlineStr">
        <is>
          <t>SANDWELL MBC  BEN-601539-69624151</t>
        </is>
      </c>
      <c r="B387" s="26" t="n"/>
      <c r="C387" s="26" t="inlineStr"/>
      <c r="E387" s="9" t="inlineStr"/>
      <c r="F387" s="9" t="inlineStr"/>
      <c r="G387" t="inlineStr">
        <is>
          <t>.</t>
        </is>
      </c>
      <c r="H387" s="12" t="n"/>
      <c r="I387" s="9" t="n"/>
      <c r="J387" s="9" t="n"/>
      <c r="K387" s="9" t="n"/>
      <c r="L387" s="9" t="n"/>
      <c r="N387" s="31" t="n"/>
      <c r="O387" s="26" t="n"/>
      <c r="P387" s="26" t="n"/>
      <c r="Q387" s="26" t="n"/>
      <c r="R387" s="26" t="n"/>
      <c r="S387" s="31" t="n"/>
      <c r="T387" s="26" t="n"/>
      <c r="U387" s="26" t="n"/>
      <c r="V387" s="26" t="n"/>
      <c r="W387" s="12" t="n">
        <v>3000</v>
      </c>
      <c r="X387" s="9" t="n"/>
      <c r="Y387" s="26" t="n"/>
      <c r="Z387" s="26" t="n"/>
      <c r="AA387" s="31" t="n"/>
      <c r="AG387" s="13">
        <f>SUM(B387:AF387)</f>
        <v/>
      </c>
    </row>
    <row r="388" ht="15.75" customHeight="1">
      <c r="A388" s="14" t="inlineStr">
        <is>
          <t>SANDWELL MBC-601539-69624135</t>
        </is>
      </c>
      <c r="B388" s="9" t="n"/>
      <c r="C388" s="9" t="n"/>
      <c r="D388" s="9" t="n"/>
      <c r="E388" s="9" t="n"/>
      <c r="F388" s="12" t="n"/>
      <c r="G388" s="9" t="n"/>
      <c r="H388" s="9" t="n"/>
      <c r="I388" s="9" t="n"/>
      <c r="J388" s="9" t="n"/>
      <c r="K388" s="9" t="n"/>
      <c r="L388" s="9" t="n"/>
      <c r="M388" s="9" t="n"/>
      <c r="N388" s="9" t="n"/>
      <c r="O388" s="9" t="n"/>
      <c r="P388" s="9" t="n">
        <v>120000</v>
      </c>
      <c r="Q388" s="9" t="n"/>
      <c r="R388" s="12" t="n"/>
      <c r="S388" s="9" t="n"/>
      <c r="T388" s="9" t="n"/>
      <c r="U388" s="9" t="n"/>
      <c r="V388" s="9" t="n"/>
      <c r="X388" s="9" t="n"/>
      <c r="Y388" s="9" t="n"/>
      <c r="Z388" s="9" t="n"/>
      <c r="AA388" s="9" t="n"/>
      <c r="AD388" t="n">
        <v>120000</v>
      </c>
      <c r="AG388" s="13">
        <f>SUM(B388:AF388)</f>
        <v/>
      </c>
    </row>
    <row r="389" ht="15.75" customHeight="1">
      <c r="A389" s="15" t="inlineStr">
        <is>
          <t>SOLIHULL MBC EXP.-200771-00561525</t>
        </is>
      </c>
      <c r="H389" s="12" t="n">
        <v>32000</v>
      </c>
      <c r="AG389" s="13">
        <f>SUM(B389:AF389)</f>
        <v/>
      </c>
    </row>
    <row r="390" ht="15.75" customHeight="1">
      <c r="A390" s="15" t="inlineStr">
        <is>
          <t>WALSALL MBC BARC-209073-10731692</t>
        </is>
      </c>
      <c r="W390" s="9" t="n">
        <v>187000</v>
      </c>
      <c r="AG390" s="13">
        <f>SUM(B390:AF390)</f>
        <v/>
      </c>
    </row>
    <row r="391" ht="15.75" customHeight="1">
      <c r="A391" s="15" t="inlineStr">
        <is>
          <t>WOLVERHAMPTON CC-560069-44470320</t>
        </is>
      </c>
      <c r="D391" s="9" t="n">
        <v>112000</v>
      </c>
      <c r="K391" s="9" t="n">
        <v>112000</v>
      </c>
      <c r="R391" s="9" t="n">
        <v>112000</v>
      </c>
      <c r="Y391" s="9" t="n">
        <v>112000</v>
      </c>
      <c r="AF391" s="9" t="n">
        <v>112000</v>
      </c>
      <c r="AG391" s="13">
        <f>SUM(B391:AF391)</f>
        <v/>
      </c>
    </row>
    <row r="392" ht="15.75" customHeight="1">
      <c r="A392" s="15" t="inlineStr">
        <is>
          <t>Portsmouth</t>
        </is>
      </c>
      <c r="B392" s="9" t="n">
        <v>5247.86</v>
      </c>
      <c r="AD392" s="9" t="n">
        <v>5247.86</v>
      </c>
      <c r="AG392" s="13">
        <f>SUM(B392:AF392)</f>
        <v/>
      </c>
    </row>
    <row r="393" ht="15.75" customHeight="1">
      <c r="A393" s="15" t="inlineStr">
        <is>
          <t>HB SC</t>
        </is>
      </c>
      <c r="B393" s="16" t="n">
        <v>3800</v>
      </c>
      <c r="C393" s="16" t="n">
        <v>3800</v>
      </c>
      <c r="D393" s="16" t="n">
        <v>3800</v>
      </c>
      <c r="E393" s="16" t="n">
        <v>3800</v>
      </c>
      <c r="F393" s="16" t="n">
        <v>3800</v>
      </c>
      <c r="G393" s="16" t="n">
        <v>3800</v>
      </c>
      <c r="H393" s="16" t="n">
        <v>3800</v>
      </c>
      <c r="I393" s="16" t="n">
        <v>3800</v>
      </c>
      <c r="J393" s="16" t="n">
        <v>3800</v>
      </c>
      <c r="K393" s="16" t="n">
        <v>3800</v>
      </c>
      <c r="L393" s="16" t="n">
        <v>3800</v>
      </c>
      <c r="M393" s="16" t="n">
        <v>3800</v>
      </c>
      <c r="N393" s="16" t="n">
        <v>3800</v>
      </c>
      <c r="O393" s="16" t="n">
        <v>3800</v>
      </c>
      <c r="P393" s="16" t="n">
        <v>3800</v>
      </c>
      <c r="Q393" s="16" t="n">
        <v>3800</v>
      </c>
      <c r="R393" s="16" t="n">
        <v>3800</v>
      </c>
      <c r="S393" s="16" t="n">
        <v>3800</v>
      </c>
      <c r="T393" s="16" t="n">
        <v>3800</v>
      </c>
      <c r="U393" s="16" t="n">
        <v>3800</v>
      </c>
      <c r="V393" s="16" t="n">
        <v>3800</v>
      </c>
      <c r="W393" s="16" t="n">
        <v>3800</v>
      </c>
      <c r="X393" s="16" t="n">
        <v>3800</v>
      </c>
      <c r="Y393" s="16" t="n">
        <v>3800</v>
      </c>
      <c r="Z393" s="16" t="n">
        <v>3800</v>
      </c>
      <c r="AA393" s="16" t="n">
        <v>3800</v>
      </c>
      <c r="AB393" s="16" t="n">
        <v>3800</v>
      </c>
      <c r="AC393" s="16" t="n">
        <v>3800</v>
      </c>
      <c r="AD393" s="16" t="n">
        <v>3800</v>
      </c>
      <c r="AE393" s="16" t="n">
        <v>3800</v>
      </c>
      <c r="AF393" s="16" t="n"/>
      <c r="AG393" s="13">
        <f>SUM(B393:AF393)</f>
        <v/>
      </c>
    </row>
    <row r="394" ht="16.5" customHeight="1" thickBot="1">
      <c r="A394" s="15" t="inlineStr">
        <is>
          <t>Total</t>
        </is>
      </c>
      <c r="B394">
        <f>SUM(B377:B393)</f>
        <v/>
      </c>
      <c r="C394">
        <f>SUM(C377:C393)</f>
        <v/>
      </c>
      <c r="D394">
        <f>SUM(D377:D393)</f>
        <v/>
      </c>
      <c r="E394">
        <f>SUM(E377:E393)</f>
        <v/>
      </c>
      <c r="F394">
        <f>SUM(F377:F393)</f>
        <v/>
      </c>
      <c r="G394">
        <f>SUM(G377:G393)</f>
        <v/>
      </c>
      <c r="H394">
        <f>SUM(H377:H393)</f>
        <v/>
      </c>
      <c r="I394">
        <f>SUM(I377:I393)</f>
        <v/>
      </c>
      <c r="J394">
        <f>SUM(J377:J393)</f>
        <v/>
      </c>
      <c r="K394">
        <f>SUM(K377:K393)</f>
        <v/>
      </c>
      <c r="L394">
        <f>SUM(L377:L393)</f>
        <v/>
      </c>
      <c r="M394">
        <f>SUM(M377:M393)</f>
        <v/>
      </c>
      <c r="N394">
        <f>SUM(N377:N393)</f>
        <v/>
      </c>
      <c r="O394">
        <f>SUM(O377:O393)</f>
        <v/>
      </c>
      <c r="P394">
        <f>SUM(P377:P393)</f>
        <v/>
      </c>
      <c r="Q394">
        <f>SUM(Q377:Q393)</f>
        <v/>
      </c>
      <c r="R394">
        <f>SUM(R377:R393)</f>
        <v/>
      </c>
      <c r="S394">
        <f>SUM(S377:S393)</f>
        <v/>
      </c>
      <c r="T394">
        <f>SUM(T377:T393)</f>
        <v/>
      </c>
      <c r="U394">
        <f>SUM(U377:U393)</f>
        <v/>
      </c>
      <c r="V394">
        <f>SUM(V377:V393)</f>
        <v/>
      </c>
      <c r="W394">
        <f>SUM(W377:W393)</f>
        <v/>
      </c>
      <c r="X394">
        <f>SUM(X377:X393)</f>
        <v/>
      </c>
      <c r="Y394">
        <f>SUM(Y377:Y393)</f>
        <v/>
      </c>
      <c r="Z394">
        <f>SUM(Z377:Z393)</f>
        <v/>
      </c>
      <c r="AA394">
        <f>SUM(AA377:AA393)</f>
        <v/>
      </c>
      <c r="AB394">
        <f>SUM(AB377:AB393)</f>
        <v/>
      </c>
      <c r="AC394">
        <f>SUM(AC377:AC393)</f>
        <v/>
      </c>
      <c r="AD394">
        <f>SUM(AD377:AD393)</f>
        <v/>
      </c>
      <c r="AE394">
        <f>SUM(AE377:AE393)</f>
        <v/>
      </c>
      <c r="AG394" s="252">
        <f>SUM(AG377:AG393)</f>
        <v/>
      </c>
    </row>
    <row r="395" ht="15.75" customHeight="1" thickTop="1">
      <c r="A395" s="15" t="inlineStr">
        <is>
          <t>Ruunning Total</t>
        </is>
      </c>
      <c r="B395">
        <f>B394</f>
        <v/>
      </c>
      <c r="C395">
        <f>B395+C394</f>
        <v/>
      </c>
      <c r="D395">
        <f>C395+D394</f>
        <v/>
      </c>
      <c r="E395">
        <f>D395+E394</f>
        <v/>
      </c>
      <c r="F395">
        <f>E395+F394</f>
        <v/>
      </c>
      <c r="G395">
        <f>F395+G394</f>
        <v/>
      </c>
      <c r="H395">
        <f>G395+H394</f>
        <v/>
      </c>
      <c r="I395">
        <f>H395+I394</f>
        <v/>
      </c>
      <c r="J395">
        <f>I395+J394</f>
        <v/>
      </c>
      <c r="K395">
        <f>J395+K394</f>
        <v/>
      </c>
      <c r="L395">
        <f>K395+L394</f>
        <v/>
      </c>
      <c r="M395">
        <f>L395+M394</f>
        <v/>
      </c>
      <c r="N395">
        <f>M395+N394</f>
        <v/>
      </c>
      <c r="O395">
        <f>N395+O394</f>
        <v/>
      </c>
      <c r="P395">
        <f>O395+P394</f>
        <v/>
      </c>
      <c r="Q395">
        <f>P395+Q394</f>
        <v/>
      </c>
      <c r="R395">
        <f>Q395+R394</f>
        <v/>
      </c>
      <c r="S395">
        <f>R395+S394</f>
        <v/>
      </c>
      <c r="T395">
        <f>S395+T394</f>
        <v/>
      </c>
      <c r="U395">
        <f>T395+U394</f>
        <v/>
      </c>
      <c r="V395">
        <f>U395+V394</f>
        <v/>
      </c>
      <c r="W395">
        <f>V395+W394</f>
        <v/>
      </c>
      <c r="X395">
        <f>W395+X394</f>
        <v/>
      </c>
      <c r="Y395">
        <f>X395+Y394</f>
        <v/>
      </c>
      <c r="Z395">
        <f>Y395+Z394</f>
        <v/>
      </c>
      <c r="AA395">
        <f>Z395+AA394</f>
        <v/>
      </c>
      <c r="AB395">
        <f>AA395+AB394</f>
        <v/>
      </c>
      <c r="AC395">
        <f>AB395+AC394</f>
        <v/>
      </c>
      <c r="AD395">
        <f>AC395+AD394</f>
        <v/>
      </c>
      <c r="AE395">
        <f>AD395+AE394</f>
        <v/>
      </c>
    </row>
    <row r="398">
      <c r="A398" s="1" t="n"/>
      <c r="B398" s="2" t="inlineStr">
        <is>
          <t>November</t>
        </is>
      </c>
      <c r="C398" s="2" t="n"/>
      <c r="D398" s="2" t="n"/>
      <c r="E398" s="2" t="n"/>
      <c r="F398" s="2" t="n"/>
      <c r="G398" s="2" t="n"/>
      <c r="H398" s="2" t="n"/>
      <c r="I398" s="2" t="n"/>
      <c r="J398" s="2" t="n"/>
      <c r="K398" s="2" t="n"/>
      <c r="L398" s="2" t="n"/>
      <c r="M398" s="2" t="n"/>
      <c r="N398" s="2" t="n"/>
      <c r="O398" s="2" t="n"/>
      <c r="P398" s="2" t="n"/>
      <c r="Q398" s="2" t="n"/>
      <c r="R398" s="2" t="n"/>
      <c r="S398" s="2" t="n"/>
      <c r="T398" s="2" t="n"/>
      <c r="U398" s="2" t="n"/>
      <c r="V398" s="2" t="n"/>
      <c r="W398" s="2" t="n"/>
      <c r="X398" s="2" t="n"/>
      <c r="Y398" s="2" t="n"/>
      <c r="Z398" s="2" t="n"/>
      <c r="AA398" s="2" t="n"/>
      <c r="AB398" s="2" t="n"/>
      <c r="AC398" s="2" t="n"/>
      <c r="AD398" s="2" t="n"/>
      <c r="AE398" s="1" t="n"/>
      <c r="AF398" s="1" t="n"/>
      <c r="AG398" s="1" t="n"/>
    </row>
    <row r="399" ht="15.75" customHeight="1">
      <c r="A399" s="1" t="n"/>
      <c r="B399" s="2" t="inlineStr">
        <is>
          <t>Friday</t>
        </is>
      </c>
      <c r="C399" s="2" t="inlineStr">
        <is>
          <t>Saturday</t>
        </is>
      </c>
      <c r="D399" s="2" t="inlineStr">
        <is>
          <t>Sunday</t>
        </is>
      </c>
      <c r="E399" s="2" t="inlineStr">
        <is>
          <t>Monday</t>
        </is>
      </c>
      <c r="F399" s="2" t="inlineStr">
        <is>
          <t>Tuesday</t>
        </is>
      </c>
      <c r="G399" s="2" t="inlineStr">
        <is>
          <t>Wednesday</t>
        </is>
      </c>
      <c r="H399" s="2" t="inlineStr">
        <is>
          <t>Thursday</t>
        </is>
      </c>
      <c r="I399" s="2" t="inlineStr">
        <is>
          <t>Friday</t>
        </is>
      </c>
      <c r="J399" s="2" t="inlineStr">
        <is>
          <t>Saturday</t>
        </is>
      </c>
      <c r="K399" s="2" t="inlineStr">
        <is>
          <t>Sunday</t>
        </is>
      </c>
      <c r="L399" s="2" t="inlineStr">
        <is>
          <t>Monday</t>
        </is>
      </c>
      <c r="M399" s="2" t="inlineStr">
        <is>
          <t>Tuesday</t>
        </is>
      </c>
      <c r="N399" s="2" t="inlineStr">
        <is>
          <t>Wednesday</t>
        </is>
      </c>
      <c r="O399" s="2" t="inlineStr">
        <is>
          <t>Thursday</t>
        </is>
      </c>
      <c r="P399" s="2" t="inlineStr">
        <is>
          <t>Friday</t>
        </is>
      </c>
      <c r="Q399" s="2" t="inlineStr">
        <is>
          <t>Saturday</t>
        </is>
      </c>
      <c r="R399" s="2" t="inlineStr">
        <is>
          <t>Sunday</t>
        </is>
      </c>
      <c r="S399" s="2" t="inlineStr">
        <is>
          <t>Monday</t>
        </is>
      </c>
      <c r="T399" s="2" t="inlineStr">
        <is>
          <t>Tuesday</t>
        </is>
      </c>
      <c r="U399" s="2" t="inlineStr">
        <is>
          <t>Wednesday</t>
        </is>
      </c>
      <c r="V399" s="2" t="inlineStr">
        <is>
          <t>Thursday</t>
        </is>
      </c>
      <c r="W399" s="2" t="inlineStr">
        <is>
          <t>Friday</t>
        </is>
      </c>
      <c r="X399" s="2" t="inlineStr">
        <is>
          <t>Saturday</t>
        </is>
      </c>
      <c r="Y399" s="2" t="inlineStr">
        <is>
          <t>Sunday</t>
        </is>
      </c>
      <c r="Z399" s="2" t="inlineStr">
        <is>
          <t>Monday</t>
        </is>
      </c>
      <c r="AA399" s="2" t="inlineStr">
        <is>
          <t>Tuesday</t>
        </is>
      </c>
      <c r="AB399" s="2" t="inlineStr">
        <is>
          <t>Wednesday</t>
        </is>
      </c>
      <c r="AC399" s="2" t="inlineStr">
        <is>
          <t>Thursday</t>
        </is>
      </c>
      <c r="AD399" s="2" t="inlineStr">
        <is>
          <t>Friday</t>
        </is>
      </c>
      <c r="AE399" s="2" t="inlineStr">
        <is>
          <t>Saturday</t>
        </is>
      </c>
      <c r="AF399" s="9" t="n"/>
      <c r="AG399" s="2" t="inlineStr">
        <is>
          <t>Total</t>
        </is>
      </c>
    </row>
    <row r="400" ht="15.75" customHeight="1">
      <c r="A400" s="1" t="n"/>
      <c r="B400" s="6" t="inlineStr">
        <is>
          <t>1st</t>
        </is>
      </c>
      <c r="C400" s="6" t="inlineStr">
        <is>
          <t>2nd</t>
        </is>
      </c>
      <c r="D400" s="6" t="inlineStr">
        <is>
          <t>3rd</t>
        </is>
      </c>
      <c r="E400" s="3" t="inlineStr">
        <is>
          <t>4th</t>
        </is>
      </c>
      <c r="F400" s="3" t="inlineStr">
        <is>
          <t>5th</t>
        </is>
      </c>
      <c r="G400" s="3" t="inlineStr">
        <is>
          <t>6th</t>
        </is>
      </c>
      <c r="H400" s="3" t="inlineStr">
        <is>
          <t>7th</t>
        </is>
      </c>
      <c r="I400" s="3" t="inlineStr">
        <is>
          <t>8th</t>
        </is>
      </c>
      <c r="J400" s="3" t="inlineStr">
        <is>
          <t>9th</t>
        </is>
      </c>
      <c r="K400" s="3" t="inlineStr">
        <is>
          <t>10th</t>
        </is>
      </c>
      <c r="L400" s="4" t="inlineStr">
        <is>
          <t>11th</t>
        </is>
      </c>
      <c r="M400" s="4" t="inlineStr">
        <is>
          <t>12th</t>
        </is>
      </c>
      <c r="N400" s="4" t="inlineStr">
        <is>
          <t>13th</t>
        </is>
      </c>
      <c r="O400" s="4" t="inlineStr">
        <is>
          <t>14th</t>
        </is>
      </c>
      <c r="P400" s="4" t="inlineStr">
        <is>
          <t>15th</t>
        </is>
      </c>
      <c r="Q400" s="4" t="inlineStr">
        <is>
          <t>16th</t>
        </is>
      </c>
      <c r="R400" s="4" t="inlineStr">
        <is>
          <t>17th</t>
        </is>
      </c>
      <c r="S400" s="5" t="inlineStr">
        <is>
          <t>18th</t>
        </is>
      </c>
      <c r="T400" s="5" t="inlineStr">
        <is>
          <t>19th</t>
        </is>
      </c>
      <c r="U400" s="5" t="inlineStr">
        <is>
          <t>20th</t>
        </is>
      </c>
      <c r="V400" s="5" t="inlineStr">
        <is>
          <t>21st</t>
        </is>
      </c>
      <c r="W400" s="5" t="inlineStr">
        <is>
          <t>22nd</t>
        </is>
      </c>
      <c r="X400" s="5" t="inlineStr">
        <is>
          <t>23rd</t>
        </is>
      </c>
      <c r="Y400" s="5" t="inlineStr">
        <is>
          <t>24th</t>
        </is>
      </c>
      <c r="Z400" s="6" t="inlineStr">
        <is>
          <t>25th</t>
        </is>
      </c>
      <c r="AA400" s="6" t="inlineStr">
        <is>
          <t>26th</t>
        </is>
      </c>
      <c r="AB400" s="6" t="inlineStr">
        <is>
          <t>27th</t>
        </is>
      </c>
      <c r="AC400" s="6" t="inlineStr">
        <is>
          <t>28th</t>
        </is>
      </c>
      <c r="AD400" s="6" t="inlineStr">
        <is>
          <t>29th</t>
        </is>
      </c>
      <c r="AE400" s="6" t="inlineStr">
        <is>
          <t>30th</t>
        </is>
      </c>
      <c r="AF400" s="9" t="n"/>
      <c r="AG400" s="1" t="n"/>
    </row>
    <row r="401" ht="15.75" customHeight="1">
      <c r="A401" s="8" t="inlineStr">
        <is>
          <t>B-HAM CITY COUNCIL-200790-70489166</t>
        </is>
      </c>
      <c r="C401" s="12" t="n"/>
      <c r="W401" s="12">
        <f>5041.28</f>
        <v/>
      </c>
      <c r="AD401" s="12" t="n">
        <v>75502.24000000001</v>
      </c>
      <c r="AG401" s="13">
        <f>SUM(B401:AE401)</f>
        <v/>
      </c>
    </row>
    <row r="402" ht="15.75" customHeight="1">
      <c r="A402" s="8" t="inlineStr">
        <is>
          <t>Buckingham</t>
        </is>
      </c>
      <c r="C402" s="9" t="n"/>
      <c r="D402" s="9" t="n"/>
      <c r="E402" s="9" t="n"/>
      <c r="F402" s="9" t="n"/>
      <c r="G402" s="9" t="n"/>
      <c r="H402" s="9" t="n"/>
      <c r="I402" s="9" t="n"/>
      <c r="J402" s="9" t="n"/>
      <c r="K402" s="9" t="n"/>
      <c r="L402" s="9" t="n"/>
      <c r="M402" s="9" t="n"/>
      <c r="N402" s="9" t="n"/>
      <c r="O402" s="9" t="n"/>
      <c r="P402" s="9" t="n"/>
      <c r="R402" s="9" t="n"/>
      <c r="S402" s="12" t="n">
        <v>4937.64</v>
      </c>
      <c r="T402" s="9" t="n"/>
      <c r="U402" s="9" t="n"/>
      <c r="V402" s="9" t="n"/>
      <c r="W402" s="9" t="n"/>
      <c r="X402" s="9" t="n"/>
      <c r="Y402" s="9" t="n"/>
      <c r="Z402" s="9" t="n"/>
      <c r="AA402" s="31" t="n">
        <v>5134.44</v>
      </c>
      <c r="AB402" s="9" t="n"/>
      <c r="AC402" s="9" t="n"/>
      <c r="AD402" s="9" t="n"/>
      <c r="AG402" s="13">
        <f>SUM(B402:AE402)</f>
        <v/>
      </c>
    </row>
    <row r="403" ht="15.75" customHeight="1">
      <c r="A403" s="8" t="inlineStr">
        <is>
          <t>Sandwell respite est</t>
        </is>
      </c>
      <c r="C403" s="9" t="n"/>
      <c r="D403" s="9" t="n"/>
      <c r="E403" s="9" t="n"/>
      <c r="F403" s="9" t="n"/>
      <c r="G403" s="9" t="n"/>
      <c r="H403" s="9" t="n"/>
      <c r="I403" s="9" t="n"/>
      <c r="J403" s="9" t="n"/>
      <c r="K403" s="9" t="n"/>
      <c r="L403" s="9" t="n"/>
      <c r="M403" s="9" t="n"/>
      <c r="N403" s="9" t="n"/>
      <c r="O403" s="9" t="n"/>
      <c r="P403" s="9" t="n"/>
      <c r="Q403" s="9" t="n"/>
      <c r="R403" s="9" t="n"/>
      <c r="S403" s="9" t="n"/>
      <c r="T403" s="9" t="n"/>
      <c r="U403" s="9" t="n"/>
      <c r="V403" s="9" t="n"/>
      <c r="W403" s="9" t="n"/>
      <c r="X403" s="9" t="n"/>
      <c r="Y403" s="9" t="n"/>
      <c r="Z403" s="9" t="n"/>
      <c r="AA403" s="9" t="n"/>
      <c r="AB403" s="9" t="n"/>
      <c r="AC403" s="9" t="n"/>
      <c r="AE403" s="9" t="n">
        <v>20000</v>
      </c>
      <c r="AG403" s="13">
        <f>SUM(B403:AE403)</f>
        <v/>
      </c>
    </row>
    <row r="404" ht="15.75" customHeight="1">
      <c r="A404" s="8" t="inlineStr">
        <is>
          <t xml:space="preserve">Wolverhampton respite est </t>
        </is>
      </c>
      <c r="C404" s="9" t="n"/>
      <c r="D404" s="9" t="n"/>
      <c r="E404" s="9" t="n"/>
      <c r="F404" s="9" t="n"/>
      <c r="G404" s="9" t="n"/>
      <c r="H404" s="9" t="n"/>
      <c r="I404" s="9" t="n"/>
      <c r="J404" s="9" t="n"/>
      <c r="K404" s="9" t="n"/>
      <c r="L404" s="9" t="n"/>
      <c r="M404" s="9" t="n"/>
      <c r="N404" s="9" t="n"/>
      <c r="O404" s="9" t="n"/>
      <c r="P404" s="9" t="n"/>
      <c r="Q404" s="9" t="n"/>
      <c r="R404" s="9" t="n"/>
      <c r="S404" s="9" t="n"/>
      <c r="T404" s="9" t="n"/>
      <c r="U404" s="9" t="n"/>
      <c r="V404" s="9" t="n"/>
      <c r="W404" s="9" t="n"/>
      <c r="X404" s="9" t="n"/>
      <c r="Y404" s="9" t="n"/>
      <c r="Z404" s="9" t="n"/>
      <c r="AA404" s="9" t="n"/>
      <c r="AB404" s="9" t="n"/>
      <c r="AC404" s="9" t="n"/>
      <c r="AE404" s="9" t="n">
        <v>30000</v>
      </c>
      <c r="AG404" s="13">
        <f>SUM(B404:AE404)</f>
        <v/>
      </c>
    </row>
    <row r="405" ht="15.75" customHeight="1">
      <c r="A405" s="8" t="inlineStr">
        <is>
          <t>Walsall Respite</t>
        </is>
      </c>
      <c r="C405" s="9" t="n"/>
      <c r="D405" s="9" t="n"/>
      <c r="E405" s="9" t="n"/>
      <c r="G405" s="9" t="n"/>
      <c r="H405" s="9" t="n"/>
      <c r="I405" s="9" t="n"/>
      <c r="J405" s="9" t="n"/>
      <c r="K405" s="9" t="n"/>
      <c r="L405" s="9" t="n"/>
      <c r="M405" s="9" t="n"/>
      <c r="N405" s="9" t="n"/>
      <c r="O405" s="9" t="n"/>
      <c r="P405" s="9" t="n"/>
      <c r="Q405" s="9" t="n"/>
      <c r="R405" s="9" t="n"/>
      <c r="S405" s="9" t="n"/>
      <c r="T405" s="9" t="n"/>
      <c r="U405" s="9" t="n"/>
      <c r="V405" s="9" t="n"/>
      <c r="W405" s="9" t="n"/>
      <c r="X405" s="9" t="n"/>
      <c r="Y405" s="9" t="n"/>
      <c r="Z405" s="9" t="n"/>
      <c r="AA405" s="9" t="n"/>
      <c r="AB405" s="9" t="n"/>
      <c r="AC405" s="9" t="n"/>
      <c r="AE405" s="9" t="n">
        <v>15000</v>
      </c>
      <c r="AG405" s="13">
        <f>SUM(B405:AE405)</f>
        <v/>
      </c>
    </row>
    <row r="406" ht="18.75" customHeight="1">
      <c r="A406" s="8" t="inlineStr">
        <is>
          <t>Ideal for All Ltd</t>
        </is>
      </c>
      <c r="C406" s="31" t="n"/>
      <c r="D406" s="31" t="n"/>
      <c r="E406" t="n">
        <v>3344</v>
      </c>
      <c r="F406" s="9" t="n"/>
      <c r="H406" s="11" t="n">
        <v>3661.88</v>
      </c>
      <c r="I406" s="9" t="n"/>
      <c r="J406" s="9" t="n"/>
      <c r="K406" s="9" t="n"/>
      <c r="L406" s="12" t="n">
        <v>2536.8</v>
      </c>
      <c r="P406" s="9" t="n"/>
      <c r="Q406" s="9" t="n"/>
      <c r="R406" s="9" t="n"/>
      <c r="S406" s="9" t="n"/>
      <c r="T406" s="9" t="n"/>
      <c r="U406" s="9" t="n"/>
      <c r="V406" s="9" t="n"/>
      <c r="W406" s="9" t="n"/>
      <c r="X406" s="9" t="n"/>
      <c r="Y406" s="9" t="n"/>
      <c r="Z406" s="9" t="n"/>
      <c r="AA406" s="9" t="n"/>
      <c r="AB406" s="9" t="n"/>
      <c r="AC406" s="9" t="n"/>
      <c r="AD406" s="9" t="n"/>
      <c r="AG406" s="13">
        <f>SUM(B406:AE406)</f>
        <v/>
      </c>
    </row>
    <row r="407" ht="15.75" customHeight="1">
      <c r="A407" s="8" t="inlineStr">
        <is>
          <t>KIRKLEES COUNCIL-204312-63046958</t>
        </is>
      </c>
      <c r="C407" s="31" t="n"/>
      <c r="D407" s="26" t="n"/>
      <c r="E407" s="12" t="n"/>
      <c r="F407" s="9" t="n"/>
      <c r="G407" s="9" t="n"/>
      <c r="H407" s="12" t="n"/>
      <c r="I407" s="9" t="n"/>
      <c r="J407" s="12" t="n"/>
      <c r="K407" s="9" t="n"/>
      <c r="L407" s="9" t="n"/>
      <c r="M407" s="9" t="n"/>
      <c r="N407" s="9" t="n"/>
      <c r="P407" s="12" t="n">
        <v>5554.89</v>
      </c>
      <c r="R407" s="9" t="n"/>
      <c r="S407" s="9" t="n"/>
      <c r="T407" s="9" t="n"/>
      <c r="U407" s="9" t="n"/>
      <c r="V407" s="9" t="n"/>
      <c r="W407" s="9" t="n"/>
      <c r="X407" s="9" t="n"/>
      <c r="Y407" s="9" t="n"/>
      <c r="Z407" s="9" t="n"/>
      <c r="AA407" s="9" t="n"/>
      <c r="AB407" s="9" t="n"/>
      <c r="AC407" s="9" t="n"/>
      <c r="AD407" s="12" t="n"/>
      <c r="AG407" s="13">
        <f>SUM(B407:AE407)</f>
        <v/>
      </c>
    </row>
    <row r="408" ht="15.75" customHeight="1">
      <c r="A408" s="8" t="inlineStr">
        <is>
          <t>LBH PAYMENTS BACS-602210-72430192</t>
        </is>
      </c>
      <c r="C408" s="26" t="n"/>
      <c r="D408" s="26" t="n"/>
      <c r="E408" s="12" t="n"/>
      <c r="F408" s="9" t="n"/>
      <c r="G408" s="9" t="n"/>
      <c r="H408" s="9" t="n"/>
      <c r="I408" s="9" t="n"/>
      <c r="J408" s="9" t="n"/>
      <c r="K408" s="12" t="n"/>
      <c r="L408" s="9" t="n"/>
      <c r="M408" s="9" t="n"/>
      <c r="N408" s="9" t="n"/>
      <c r="O408" s="9" t="n">
        <v>5040</v>
      </c>
      <c r="P408" s="9" t="n"/>
      <c r="Q408" s="9" t="n"/>
      <c r="R408" s="9" t="n"/>
      <c r="S408" s="9" t="n"/>
      <c r="T408" s="9" t="n"/>
      <c r="U408" s="9" t="n"/>
      <c r="V408" s="9" t="n"/>
      <c r="W408" s="9" t="n"/>
      <c r="X408" s="9" t="n"/>
      <c r="Y408" s="9" t="n"/>
      <c r="Z408" s="9" t="n"/>
      <c r="AA408" s="9" t="n"/>
      <c r="AB408" s="9" t="n"/>
      <c r="AC408" s="9" t="n"/>
      <c r="AD408" s="9" t="n"/>
      <c r="AG408" s="13">
        <f>SUM(B408:AE408)</f>
        <v/>
      </c>
    </row>
    <row r="409" ht="15.75" customHeight="1">
      <c r="A409" s="8" t="inlineStr">
        <is>
          <t>NHS BIRMINGHAM &amp; S-607080-10017097</t>
        </is>
      </c>
      <c r="D409" s="31" t="n"/>
      <c r="E409" s="31" t="n">
        <v>7121.63</v>
      </c>
      <c r="F409" s="12" t="n"/>
      <c r="G409" s="12" t="n"/>
      <c r="H409" s="12" t="n"/>
      <c r="I409" s="9" t="inlineStr"/>
      <c r="J409" s="9" t="n"/>
      <c r="K409" s="9" t="n"/>
      <c r="L409" s="9" t="n"/>
      <c r="M409" s="9" t="n"/>
      <c r="N409" s="9" t="n"/>
      <c r="O409" s="9" t="n"/>
      <c r="P409" s="9" t="n"/>
      <c r="Q409" s="9" t="n"/>
      <c r="R409" s="9" t="n"/>
      <c r="S409" s="9" t="n"/>
      <c r="T409" s="9" t="n"/>
      <c r="U409" s="9" t="n"/>
      <c r="V409" s="9" t="n"/>
      <c r="W409" s="9" t="n"/>
      <c r="X409" s="9" t="n"/>
      <c r="Y409" s="9" t="n"/>
      <c r="Z409" s="9" t="n"/>
      <c r="AA409" s="9" t="n"/>
      <c r="AB409" s="9" t="n"/>
      <c r="AC409" s="9" t="n"/>
      <c r="AD409" s="9" t="n"/>
      <c r="AG409" s="13">
        <f>SUM(B409:AE409)</f>
        <v/>
      </c>
    </row>
    <row r="410" ht="15.75" customHeight="1">
      <c r="A410" s="8" t="inlineStr">
        <is>
          <t>NHS BLACK COUNTRY-607080-10015272</t>
        </is>
      </c>
      <c r="C410" s="31" t="n"/>
      <c r="D410" s="12" t="n"/>
      <c r="E410" s="12" t="n"/>
      <c r="F410" s="12" t="n"/>
      <c r="G410" s="12" t="n"/>
      <c r="H410" s="9" t="inlineStr"/>
      <c r="I410" s="9" t="n"/>
      <c r="J410" s="9" t="n"/>
      <c r="K410" s="9" t="n"/>
      <c r="L410" t="n">
        <v>13185.64</v>
      </c>
      <c r="M410" s="31" t="n"/>
      <c r="N410" s="26" t="n"/>
      <c r="O410" s="26" t="n"/>
      <c r="P410" s="26" t="n"/>
      <c r="Q410" s="26" t="n"/>
      <c r="R410" s="31" t="n"/>
      <c r="S410" s="26" t="n"/>
      <c r="T410" s="26" t="n"/>
      <c r="U410" s="26" t="n"/>
      <c r="V410" s="26" t="n"/>
      <c r="W410" s="9" t="n"/>
      <c r="X410" s="26" t="n"/>
      <c r="Y410" s="26" t="n"/>
      <c r="Z410" s="31" t="n">
        <v>8073.21</v>
      </c>
      <c r="AA410" s="9" t="n"/>
      <c r="AG410" s="13">
        <f>SUM(B410:AE410)</f>
        <v/>
      </c>
    </row>
    <row r="411" ht="15.75" customHeight="1">
      <c r="A411" s="14" t="inlineStr">
        <is>
          <t>SANDWELL MBC  BEN-601539-69624151</t>
        </is>
      </c>
      <c r="C411" s="26" t="inlineStr"/>
      <c r="E411" s="9" t="inlineStr"/>
      <c r="F411" s="9" t="inlineStr"/>
      <c r="G411" t="inlineStr">
        <is>
          <t>.</t>
        </is>
      </c>
      <c r="H411" s="12" t="n"/>
      <c r="I411" s="9" t="n"/>
      <c r="J411" s="9" t="n"/>
      <c r="K411" s="9" t="n"/>
      <c r="L411" s="9" t="n"/>
      <c r="N411" s="31" t="n"/>
      <c r="O411" s="26" t="n"/>
      <c r="P411" s="26" t="n"/>
      <c r="Q411" s="26" t="n"/>
      <c r="R411" s="26" t="n"/>
      <c r="S411" s="31" t="n"/>
      <c r="T411" s="26" t="n"/>
      <c r="U411" s="26" t="n"/>
      <c r="V411" s="26" t="n"/>
      <c r="W411" s="12" t="n">
        <v>3000</v>
      </c>
      <c r="X411" s="9" t="n"/>
      <c r="Y411" s="26" t="n"/>
      <c r="Z411" s="26" t="n"/>
      <c r="AA411" s="31" t="n"/>
      <c r="AG411" s="13">
        <f>SUM(B411:AE411)</f>
        <v/>
      </c>
    </row>
    <row r="412" ht="15.75" customHeight="1">
      <c r="A412" s="14" t="inlineStr">
        <is>
          <t>SANDWELL MBC-601539-69624135</t>
        </is>
      </c>
      <c r="M412" s="9" t="n">
        <v>120000</v>
      </c>
      <c r="AA412" s="9" t="n">
        <v>120000</v>
      </c>
      <c r="AG412" s="13">
        <f>SUM(B412:AE412)</f>
        <v/>
      </c>
    </row>
    <row r="413" ht="15.75" customHeight="1">
      <c r="A413" s="15" t="inlineStr">
        <is>
          <t>SOLIHULL MBC EXP.-200771-00561525</t>
        </is>
      </c>
      <c r="E413" s="12" t="n">
        <v>32000</v>
      </c>
      <c r="AG413" s="13">
        <f>SUM(B413:AE413)</f>
        <v/>
      </c>
    </row>
    <row r="414" ht="15.75" customHeight="1">
      <c r="A414" s="15" t="inlineStr">
        <is>
          <t>WALSALL MBC BARC-209073-10731692</t>
        </is>
      </c>
      <c r="T414" s="9" t="n">
        <v>187000</v>
      </c>
      <c r="AG414" s="13">
        <f>SUM(B414:AE414)</f>
        <v/>
      </c>
    </row>
    <row r="415" ht="15.75" customHeight="1">
      <c r="A415" s="15" t="inlineStr">
        <is>
          <t>WOLVERHAMPTON CC-560069-44470320</t>
        </is>
      </c>
      <c r="H415" s="9" t="n">
        <v>112000</v>
      </c>
      <c r="O415" s="9" t="n">
        <v>112000</v>
      </c>
      <c r="V415" s="9" t="n">
        <v>112000</v>
      </c>
      <c r="AC415" s="9" t="n">
        <v>112000</v>
      </c>
      <c r="AG415" s="13">
        <f>SUM(B415:AE415)</f>
        <v/>
      </c>
    </row>
    <row r="416" ht="15.75" customHeight="1">
      <c r="A416" s="15" t="inlineStr">
        <is>
          <t>Portsmouth</t>
        </is>
      </c>
      <c r="Z416" s="9" t="n">
        <v>5247.86</v>
      </c>
      <c r="AG416" s="13">
        <f>SUM(B416:AE416)</f>
        <v/>
      </c>
    </row>
    <row r="417" ht="15.75" customHeight="1">
      <c r="A417" s="15" t="inlineStr">
        <is>
          <t>HB SC</t>
        </is>
      </c>
      <c r="B417" s="16" t="n">
        <v>3800</v>
      </c>
      <c r="C417" s="16" t="n">
        <v>3800</v>
      </c>
      <c r="D417" s="16" t="n">
        <v>3800</v>
      </c>
      <c r="E417" s="16" t="n">
        <v>3800</v>
      </c>
      <c r="F417" s="16" t="n">
        <v>3800</v>
      </c>
      <c r="G417" s="16" t="n">
        <v>3800</v>
      </c>
      <c r="H417" s="16" t="n">
        <v>3800</v>
      </c>
      <c r="I417" s="16" t="n">
        <v>3800</v>
      </c>
      <c r="J417" s="16" t="n">
        <v>3800</v>
      </c>
      <c r="K417" s="16" t="n">
        <v>3800</v>
      </c>
      <c r="L417" s="16" t="n">
        <v>3800</v>
      </c>
      <c r="M417" s="16" t="n">
        <v>3800</v>
      </c>
      <c r="N417" s="16" t="n">
        <v>3800</v>
      </c>
      <c r="O417" s="16" t="n">
        <v>3800</v>
      </c>
      <c r="P417" s="16" t="n">
        <v>3800</v>
      </c>
      <c r="Q417" s="16" t="n">
        <v>3800</v>
      </c>
      <c r="R417" s="16" t="n">
        <v>3800</v>
      </c>
      <c r="S417" s="16" t="n">
        <v>3800</v>
      </c>
      <c r="T417" s="16" t="n">
        <v>3800</v>
      </c>
      <c r="U417" s="16" t="n">
        <v>3800</v>
      </c>
      <c r="V417" s="16" t="n">
        <v>3800</v>
      </c>
      <c r="W417" s="16" t="n">
        <v>3800</v>
      </c>
      <c r="X417" s="16" t="n">
        <v>3800</v>
      </c>
      <c r="Y417" s="16" t="n">
        <v>3800</v>
      </c>
      <c r="Z417" s="16" t="n">
        <v>3800</v>
      </c>
      <c r="AA417" s="16" t="n">
        <v>3800</v>
      </c>
      <c r="AB417" s="16" t="n">
        <v>3800</v>
      </c>
      <c r="AC417" s="16" t="n">
        <v>3800</v>
      </c>
      <c r="AD417" s="16" t="n">
        <v>3800</v>
      </c>
      <c r="AE417" s="16" t="n">
        <v>3800</v>
      </c>
      <c r="AF417" s="16" t="n"/>
      <c r="AG417" s="13">
        <f>SUM(B417:AE417)</f>
        <v/>
      </c>
    </row>
    <row r="418" ht="16.5" customHeight="1" thickBot="1">
      <c r="A418" s="15" t="inlineStr">
        <is>
          <t>Total</t>
        </is>
      </c>
      <c r="B418">
        <f>SUM(B401:B417)</f>
        <v/>
      </c>
      <c r="C418">
        <f>SUM(C401:C417)</f>
        <v/>
      </c>
      <c r="D418">
        <f>SUM(D401:D417)</f>
        <v/>
      </c>
      <c r="E418">
        <f>SUM(E401:E417)</f>
        <v/>
      </c>
      <c r="F418">
        <f>SUM(F401:F417)</f>
        <v/>
      </c>
      <c r="G418">
        <f>SUM(G401:G417)</f>
        <v/>
      </c>
      <c r="H418">
        <f>SUM(H401:H417)</f>
        <v/>
      </c>
      <c r="I418">
        <f>SUM(I401:I417)</f>
        <v/>
      </c>
      <c r="J418">
        <f>SUM(J401:J417)</f>
        <v/>
      </c>
      <c r="K418">
        <f>SUM(K401:K417)</f>
        <v/>
      </c>
      <c r="L418">
        <f>SUM(L401:L417)</f>
        <v/>
      </c>
      <c r="M418">
        <f>SUM(M401:M417)</f>
        <v/>
      </c>
      <c r="N418">
        <f>SUM(N401:N417)</f>
        <v/>
      </c>
      <c r="O418">
        <f>SUM(O401:O417)</f>
        <v/>
      </c>
      <c r="P418">
        <f>SUM(P401:P417)</f>
        <v/>
      </c>
      <c r="Q418">
        <f>SUM(Q401:Q417)</f>
        <v/>
      </c>
      <c r="R418">
        <f>SUM(R401:R417)</f>
        <v/>
      </c>
      <c r="S418">
        <f>SUM(S401:S417)</f>
        <v/>
      </c>
      <c r="T418">
        <f>SUM(T401:T417)</f>
        <v/>
      </c>
      <c r="U418">
        <f>SUM(U401:U417)</f>
        <v/>
      </c>
      <c r="V418">
        <f>SUM(V401:V417)</f>
        <v/>
      </c>
      <c r="W418">
        <f>SUM(W401:W417)</f>
        <v/>
      </c>
      <c r="X418">
        <f>SUM(X401:X417)</f>
        <v/>
      </c>
      <c r="Y418">
        <f>SUM(Y401:Y417)</f>
        <v/>
      </c>
      <c r="Z418">
        <f>SUM(Z401:Z417)</f>
        <v/>
      </c>
      <c r="AA418">
        <f>SUM(AA401:AA417)</f>
        <v/>
      </c>
      <c r="AB418">
        <f>SUM(AB401:AB417)</f>
        <v/>
      </c>
      <c r="AC418">
        <f>SUM(AC401:AC417)</f>
        <v/>
      </c>
      <c r="AD418">
        <f>SUM(AD401:AD417)</f>
        <v/>
      </c>
      <c r="AE418">
        <f>SUM(AE401:AE417)</f>
        <v/>
      </c>
      <c r="AG418" s="252">
        <f>SUM(AG401:AG417)</f>
        <v/>
      </c>
    </row>
    <row r="419" ht="15.75" customHeight="1" thickTop="1">
      <c r="A419" s="15" t="inlineStr">
        <is>
          <t>Ruunning Total</t>
        </is>
      </c>
      <c r="B419">
        <f>B418</f>
        <v/>
      </c>
      <c r="C419">
        <f>B419+C418</f>
        <v/>
      </c>
      <c r="D419">
        <f>C419+D418</f>
        <v/>
      </c>
      <c r="E419">
        <f>D419+E418</f>
        <v/>
      </c>
      <c r="F419">
        <f>E419+F418</f>
        <v/>
      </c>
      <c r="G419">
        <f>F419+G418</f>
        <v/>
      </c>
      <c r="H419">
        <f>G419+H418</f>
        <v/>
      </c>
      <c r="I419">
        <f>H419+I418</f>
        <v/>
      </c>
      <c r="J419">
        <f>I419+J418</f>
        <v/>
      </c>
      <c r="K419">
        <f>J419+K418</f>
        <v/>
      </c>
      <c r="L419">
        <f>K419+L418</f>
        <v/>
      </c>
      <c r="M419">
        <f>L419+M418</f>
        <v/>
      </c>
      <c r="N419">
        <f>M419+N418</f>
        <v/>
      </c>
      <c r="O419">
        <f>N419+O418</f>
        <v/>
      </c>
      <c r="P419">
        <f>O419+P418</f>
        <v/>
      </c>
      <c r="Q419">
        <f>P419+Q418</f>
        <v/>
      </c>
      <c r="R419">
        <f>Q419+R418</f>
        <v/>
      </c>
      <c r="S419">
        <f>R419+S418</f>
        <v/>
      </c>
      <c r="T419">
        <f>S419+T418</f>
        <v/>
      </c>
      <c r="U419">
        <f>T419+U418</f>
        <v/>
      </c>
      <c r="V419">
        <f>U419+V418</f>
        <v/>
      </c>
      <c r="W419">
        <f>V419+W418</f>
        <v/>
      </c>
      <c r="X419">
        <f>W419+X418</f>
        <v/>
      </c>
      <c r="Y419">
        <f>X419+Y418</f>
        <v/>
      </c>
      <c r="Z419">
        <f>Y419+Z418</f>
        <v/>
      </c>
      <c r="AA419">
        <f>Z419+AA418</f>
        <v/>
      </c>
      <c r="AB419">
        <f>AA419+AB418</f>
        <v/>
      </c>
      <c r="AC419">
        <f>AB419+AC418</f>
        <v/>
      </c>
      <c r="AD419">
        <f>AC419+AD418</f>
        <v/>
      </c>
      <c r="AE419">
        <f>AD419+AE418</f>
        <v/>
      </c>
    </row>
    <row r="422">
      <c r="A422" s="1" t="n"/>
      <c r="B422" s="2" t="inlineStr">
        <is>
          <t>December</t>
        </is>
      </c>
      <c r="C422" s="2" t="n"/>
      <c r="D422" s="2" t="n"/>
      <c r="E422" s="2" t="n"/>
      <c r="F422" s="2" t="n"/>
      <c r="G422" s="2" t="n"/>
      <c r="H422" s="2" t="n"/>
      <c r="I422" s="2" t="n"/>
      <c r="J422" s="2" t="n"/>
      <c r="K422" s="2" t="n"/>
      <c r="L422" s="2" t="n"/>
      <c r="M422" s="2" t="n"/>
      <c r="N422" s="2" t="n"/>
      <c r="O422" s="2" t="n"/>
      <c r="P422" s="2" t="n"/>
      <c r="Q422" s="2" t="n"/>
      <c r="R422" s="2" t="n"/>
      <c r="S422" s="2" t="n"/>
      <c r="T422" s="2" t="n"/>
      <c r="U422" s="2" t="n"/>
      <c r="V422" s="2" t="n"/>
      <c r="W422" s="2" t="n"/>
      <c r="X422" s="2" t="n"/>
      <c r="Y422" s="2" t="n"/>
      <c r="Z422" s="2" t="n"/>
      <c r="AA422" s="2" t="n"/>
      <c r="AB422" s="2" t="n"/>
      <c r="AC422" s="2" t="n"/>
      <c r="AD422" s="2" t="n"/>
      <c r="AE422" s="1" t="n"/>
      <c r="AF422" s="1" t="n"/>
      <c r="AG422" s="1" t="n"/>
    </row>
    <row r="423">
      <c r="A423" s="1" t="n"/>
      <c r="B423" s="2" t="inlineStr">
        <is>
          <t>Sunday</t>
        </is>
      </c>
      <c r="C423" s="2" t="inlineStr">
        <is>
          <t>Monday</t>
        </is>
      </c>
      <c r="D423" s="2" t="inlineStr">
        <is>
          <t>Tuesday</t>
        </is>
      </c>
      <c r="E423" s="2" t="inlineStr">
        <is>
          <t>Wednesday</t>
        </is>
      </c>
      <c r="F423" s="2" t="inlineStr">
        <is>
          <t>Thursday</t>
        </is>
      </c>
      <c r="G423" s="2" t="inlineStr">
        <is>
          <t>Friday</t>
        </is>
      </c>
      <c r="H423" s="2" t="inlineStr">
        <is>
          <t>Saturday</t>
        </is>
      </c>
      <c r="I423" s="2" t="inlineStr">
        <is>
          <t>Sunday</t>
        </is>
      </c>
      <c r="J423" s="2" t="inlineStr">
        <is>
          <t>Monday</t>
        </is>
      </c>
      <c r="K423" s="2" t="inlineStr">
        <is>
          <t>Tuesday</t>
        </is>
      </c>
      <c r="L423" s="2" t="inlineStr">
        <is>
          <t>Wednesday</t>
        </is>
      </c>
      <c r="M423" s="2" t="inlineStr">
        <is>
          <t>Thursday</t>
        </is>
      </c>
      <c r="N423" s="2" t="inlineStr">
        <is>
          <t>Friday</t>
        </is>
      </c>
      <c r="O423" s="2" t="inlineStr">
        <is>
          <t>Saturday</t>
        </is>
      </c>
      <c r="P423" s="2" t="inlineStr">
        <is>
          <t>Sunday</t>
        </is>
      </c>
      <c r="Q423" s="2" t="inlineStr">
        <is>
          <t>Monday</t>
        </is>
      </c>
      <c r="R423" s="2" t="inlineStr">
        <is>
          <t>Tuesday</t>
        </is>
      </c>
      <c r="S423" s="2" t="inlineStr">
        <is>
          <t>Wednesday</t>
        </is>
      </c>
      <c r="T423" s="2" t="inlineStr">
        <is>
          <t>Thursday</t>
        </is>
      </c>
      <c r="U423" s="2" t="inlineStr">
        <is>
          <t>Friday</t>
        </is>
      </c>
      <c r="V423" s="2" t="inlineStr">
        <is>
          <t>Saturday</t>
        </is>
      </c>
      <c r="W423" s="2" t="inlineStr">
        <is>
          <t>Sunday</t>
        </is>
      </c>
      <c r="X423" s="2" t="inlineStr">
        <is>
          <t>Monday</t>
        </is>
      </c>
      <c r="Y423" s="2" t="inlineStr">
        <is>
          <t>Tuesday</t>
        </is>
      </c>
      <c r="Z423" s="2" t="inlineStr">
        <is>
          <t>Wednesday</t>
        </is>
      </c>
      <c r="AA423" s="2" t="inlineStr">
        <is>
          <t>Thursday</t>
        </is>
      </c>
      <c r="AB423" s="2" t="inlineStr">
        <is>
          <t>Friday</t>
        </is>
      </c>
      <c r="AC423" s="2" t="inlineStr">
        <is>
          <t>Saturday</t>
        </is>
      </c>
      <c r="AD423" s="2" t="inlineStr">
        <is>
          <t>Sunday</t>
        </is>
      </c>
      <c r="AE423" s="2" t="inlineStr">
        <is>
          <t>Monday</t>
        </is>
      </c>
      <c r="AF423" s="2" t="inlineStr">
        <is>
          <t>Tuesday</t>
        </is>
      </c>
      <c r="AG423" s="2" t="inlineStr">
        <is>
          <t>Total</t>
        </is>
      </c>
    </row>
    <row r="424">
      <c r="A424" s="1" t="n"/>
      <c r="B424" s="87" t="inlineStr">
        <is>
          <t>1st</t>
        </is>
      </c>
      <c r="C424" s="3" t="inlineStr">
        <is>
          <t>2nd</t>
        </is>
      </c>
      <c r="D424" s="3" t="inlineStr">
        <is>
          <t>3rd</t>
        </is>
      </c>
      <c r="E424" s="3" t="inlineStr">
        <is>
          <t>4th</t>
        </is>
      </c>
      <c r="F424" s="3" t="inlineStr">
        <is>
          <t>5th</t>
        </is>
      </c>
      <c r="G424" s="3" t="inlineStr">
        <is>
          <t>6th</t>
        </is>
      </c>
      <c r="H424" s="3" t="inlineStr">
        <is>
          <t>7th</t>
        </is>
      </c>
      <c r="I424" s="3" t="inlineStr">
        <is>
          <t>8th</t>
        </is>
      </c>
      <c r="J424" s="4" t="inlineStr">
        <is>
          <t>9th</t>
        </is>
      </c>
      <c r="K424" s="4" t="inlineStr">
        <is>
          <t>10th</t>
        </is>
      </c>
      <c r="L424" s="4" t="inlineStr">
        <is>
          <t>11th</t>
        </is>
      </c>
      <c r="M424" s="4" t="inlineStr">
        <is>
          <t>12th</t>
        </is>
      </c>
      <c r="N424" s="4" t="inlineStr">
        <is>
          <t>13th</t>
        </is>
      </c>
      <c r="O424" s="4" t="inlineStr">
        <is>
          <t>14th</t>
        </is>
      </c>
      <c r="P424" s="4" t="inlineStr">
        <is>
          <t>15th</t>
        </is>
      </c>
      <c r="Q424" s="5" t="inlineStr">
        <is>
          <t>16th</t>
        </is>
      </c>
      <c r="R424" s="5" t="inlineStr">
        <is>
          <t>17th</t>
        </is>
      </c>
      <c r="S424" s="5" t="inlineStr">
        <is>
          <t>18th</t>
        </is>
      </c>
      <c r="T424" s="5" t="inlineStr">
        <is>
          <t>19th</t>
        </is>
      </c>
      <c r="U424" s="5" t="inlineStr">
        <is>
          <t>20th</t>
        </is>
      </c>
      <c r="V424" s="5" t="inlineStr">
        <is>
          <t>21st</t>
        </is>
      </c>
      <c r="W424" s="5" t="inlineStr">
        <is>
          <t>22nd</t>
        </is>
      </c>
      <c r="X424" s="6" t="inlineStr">
        <is>
          <t>23rd</t>
        </is>
      </c>
      <c r="Y424" s="6" t="inlineStr">
        <is>
          <t>24th</t>
        </is>
      </c>
      <c r="Z424" s="6" t="inlineStr">
        <is>
          <t>25th</t>
        </is>
      </c>
      <c r="AA424" s="6" t="inlineStr">
        <is>
          <t>26th</t>
        </is>
      </c>
      <c r="AB424" s="6" t="inlineStr">
        <is>
          <t>27th</t>
        </is>
      </c>
      <c r="AC424" s="6" t="inlineStr">
        <is>
          <t>28th</t>
        </is>
      </c>
      <c r="AD424" s="6" t="inlineStr">
        <is>
          <t>29th</t>
        </is>
      </c>
      <c r="AE424" s="7" t="inlineStr">
        <is>
          <t>30th</t>
        </is>
      </c>
      <c r="AF424" s="7" t="inlineStr">
        <is>
          <t>31st</t>
        </is>
      </c>
      <c r="AG424" s="1" t="n"/>
    </row>
    <row r="425" ht="15.75" customHeight="1">
      <c r="A425" s="8" t="inlineStr">
        <is>
          <t>B-HAM CITY COUNCIL-200790-70489166</t>
        </is>
      </c>
      <c r="U425" s="12">
        <f>5041.28</f>
        <v/>
      </c>
      <c r="X425" s="33" t="n"/>
      <c r="Y425" s="33" t="n"/>
      <c r="Z425" s="33" t="n">
        <v>75502.24000000001</v>
      </c>
      <c r="AA425" s="33" t="n"/>
      <c r="AB425" s="33" t="n"/>
      <c r="AC425" s="33" t="n"/>
      <c r="AD425" s="33" t="n"/>
      <c r="AE425" s="33" t="n"/>
      <c r="AG425" s="13">
        <f>SUM(B425:AF425)</f>
        <v/>
      </c>
    </row>
    <row r="426" ht="15.75" customHeight="1">
      <c r="A426" s="8" t="inlineStr">
        <is>
          <t>Buckingham</t>
        </is>
      </c>
      <c r="C426" s="9" t="n"/>
      <c r="D426" s="9" t="n"/>
      <c r="E426" s="9" t="n"/>
      <c r="F426" s="9" t="n"/>
      <c r="G426" s="9" t="n"/>
      <c r="H426" s="9" t="n"/>
      <c r="I426" s="9" t="n"/>
      <c r="J426" s="9" t="n"/>
      <c r="K426" s="9" t="n"/>
      <c r="L426" s="9" t="n"/>
      <c r="M426" s="9" t="n"/>
      <c r="N426" s="9" t="n"/>
      <c r="P426" s="9" t="n"/>
      <c r="Q426" s="12" t="n">
        <v>4937.64</v>
      </c>
      <c r="R426" s="9" t="n"/>
      <c r="S426" s="9" t="n"/>
      <c r="T426" s="9" t="n"/>
      <c r="U426" s="9" t="n"/>
      <c r="V426" s="9" t="n"/>
      <c r="W426" s="9" t="n"/>
      <c r="X426" s="32" t="n"/>
      <c r="Y426" s="33" t="n">
        <v>5134.44</v>
      </c>
      <c r="Z426" s="32" t="n"/>
      <c r="AA426" s="33" t="n"/>
      <c r="AB426" s="32" t="n"/>
      <c r="AC426" s="32" t="n"/>
      <c r="AD426" s="32" t="n"/>
      <c r="AE426" s="33" t="n"/>
      <c r="AG426" s="13">
        <f>SUM(B426:AF426)</f>
        <v/>
      </c>
    </row>
    <row r="427" ht="15.75" customHeight="1">
      <c r="A427" s="8" t="inlineStr">
        <is>
          <t>Sandwell respite est</t>
        </is>
      </c>
      <c r="C427" s="9" t="n"/>
      <c r="D427" s="9" t="n"/>
      <c r="E427" s="9" t="n"/>
      <c r="F427" s="9" t="n"/>
      <c r="G427" s="9" t="n"/>
      <c r="H427" s="9" t="n"/>
      <c r="I427" s="9" t="n"/>
      <c r="J427" s="9" t="n"/>
      <c r="K427" s="9" t="n"/>
      <c r="L427" s="9" t="n"/>
      <c r="M427" s="9" t="n"/>
      <c r="N427" s="9" t="n"/>
      <c r="O427" s="9" t="n"/>
      <c r="P427" s="9" t="n"/>
      <c r="Q427" s="9" t="n"/>
      <c r="R427" s="9" t="n"/>
      <c r="S427" s="9" t="n"/>
      <c r="T427" s="9" t="n"/>
      <c r="U427" s="9" t="n"/>
      <c r="V427" s="9" t="n"/>
      <c r="W427" s="9" t="n"/>
      <c r="X427" s="32" t="n"/>
      <c r="Y427" s="32" t="n"/>
      <c r="Z427" s="32" t="n"/>
      <c r="AA427" s="32" t="n"/>
      <c r="AB427" s="32" t="n"/>
      <c r="AC427" s="32" t="n"/>
      <c r="AD427" s="33" t="n"/>
      <c r="AE427" s="33" t="n"/>
      <c r="AF427" s="9" t="n">
        <v>20000</v>
      </c>
      <c r="AG427" s="13">
        <f>SUM(B427:AF427)</f>
        <v/>
      </c>
    </row>
    <row r="428" ht="15.75" customHeight="1">
      <c r="A428" s="8" t="inlineStr">
        <is>
          <t xml:space="preserve">Wolverhampton respite est </t>
        </is>
      </c>
      <c r="C428" s="9" t="n"/>
      <c r="D428" s="9" t="n"/>
      <c r="E428" s="9" t="n"/>
      <c r="F428" s="9" t="n"/>
      <c r="G428" s="9" t="n"/>
      <c r="H428" s="9" t="n"/>
      <c r="I428" s="9" t="n"/>
      <c r="J428" s="9" t="n"/>
      <c r="K428" s="9" t="n"/>
      <c r="L428" s="9" t="n"/>
      <c r="M428" s="9" t="n"/>
      <c r="N428" s="9" t="n"/>
      <c r="O428" s="9" t="n"/>
      <c r="P428" s="9" t="n"/>
      <c r="Q428" s="9" t="n"/>
      <c r="R428" s="9" t="n"/>
      <c r="S428" s="9" t="n"/>
      <c r="T428" s="9" t="n"/>
      <c r="U428" s="9" t="n"/>
      <c r="V428" s="9" t="n"/>
      <c r="W428" s="9" t="n"/>
      <c r="X428" s="32" t="n"/>
      <c r="Y428" s="32" t="n"/>
      <c r="Z428" s="32" t="n"/>
      <c r="AA428" s="32" t="n"/>
      <c r="AB428" s="32" t="n"/>
      <c r="AC428" s="32" t="n"/>
      <c r="AD428" s="33" t="n"/>
      <c r="AE428" s="33" t="n"/>
      <c r="AF428" s="9" t="n">
        <v>30000</v>
      </c>
      <c r="AG428" s="13">
        <f>SUM(B428:AF428)</f>
        <v/>
      </c>
    </row>
    <row r="429" ht="15.75" customHeight="1">
      <c r="A429" s="8" t="inlineStr">
        <is>
          <t>Walsall Respite</t>
        </is>
      </c>
      <c r="C429" s="9" t="n"/>
      <c r="E429" s="9" t="n"/>
      <c r="F429" s="9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9" t="n"/>
      <c r="P429" s="9" t="n"/>
      <c r="Q429" s="9" t="n"/>
      <c r="R429" s="9" t="n"/>
      <c r="S429" s="9" t="n"/>
      <c r="T429" s="9" t="n"/>
      <c r="U429" s="9" t="n"/>
      <c r="V429" s="9" t="n"/>
      <c r="W429" s="9" t="n"/>
      <c r="X429" s="32" t="n"/>
      <c r="Y429" s="32" t="n"/>
      <c r="Z429" s="32" t="n"/>
      <c r="AA429" s="32" t="n"/>
      <c r="AB429" s="32" t="n"/>
      <c r="AC429" s="32" t="n"/>
      <c r="AD429" s="33" t="n"/>
      <c r="AE429" s="33" t="n"/>
      <c r="AF429" s="9" t="n">
        <v>15000</v>
      </c>
      <c r="AG429" s="13">
        <f>SUM(B429:AF429)</f>
        <v/>
      </c>
    </row>
    <row r="430" ht="18.75" customHeight="1">
      <c r="A430" s="8" t="inlineStr">
        <is>
          <t>Ideal for All Ltd</t>
        </is>
      </c>
      <c r="C430" t="n">
        <v>3344</v>
      </c>
      <c r="D430" s="9" t="n"/>
      <c r="F430" s="11" t="n">
        <v>3661.88</v>
      </c>
      <c r="G430" s="9" t="n"/>
      <c r="H430" s="9" t="n"/>
      <c r="I430" s="9" t="n"/>
      <c r="J430" s="12" t="n">
        <v>2536.8</v>
      </c>
      <c r="N430" s="9" t="n"/>
      <c r="O430" s="9" t="n"/>
      <c r="P430" s="9" t="n"/>
      <c r="Q430" s="9" t="n"/>
      <c r="R430" s="9" t="n"/>
      <c r="S430" s="9" t="n"/>
      <c r="T430" s="9" t="n"/>
      <c r="U430" s="9" t="n"/>
      <c r="V430" s="9" t="n"/>
      <c r="W430" s="9" t="n"/>
      <c r="X430" s="32" t="n"/>
      <c r="Y430" s="32" t="n"/>
      <c r="Z430" s="32" t="n"/>
      <c r="AA430" s="32" t="n"/>
      <c r="AB430" s="32" t="n"/>
      <c r="AC430" s="32" t="n"/>
      <c r="AD430" s="32" t="n"/>
      <c r="AE430" s="33" t="n"/>
      <c r="AG430" s="13">
        <f>SUM(B430:AF430)</f>
        <v/>
      </c>
    </row>
    <row r="431" ht="15.75" customHeight="1">
      <c r="A431" s="8" t="inlineStr">
        <is>
          <t>KIRKLEES COUNCIL-204312-63046958</t>
        </is>
      </c>
      <c r="C431" s="12" t="n"/>
      <c r="D431" s="9" t="n"/>
      <c r="E431" s="9" t="n"/>
      <c r="F431" s="12" t="n"/>
      <c r="G431" s="9" t="n"/>
      <c r="H431" s="12" t="n"/>
      <c r="I431" s="9" t="n"/>
      <c r="J431" s="9" t="n"/>
      <c r="K431" s="9" t="n"/>
      <c r="L431" s="9" t="n"/>
      <c r="N431" s="12" t="n">
        <v>5554.89</v>
      </c>
      <c r="P431" s="9" t="n"/>
      <c r="Q431" s="9" t="n"/>
      <c r="R431" s="9" t="n"/>
      <c r="S431" s="9" t="n"/>
      <c r="T431" s="9" t="n"/>
      <c r="U431" s="9" t="n"/>
      <c r="V431" s="9" t="n"/>
      <c r="W431" s="9" t="n"/>
      <c r="X431" s="32" t="n"/>
      <c r="Y431" s="32" t="n"/>
      <c r="Z431" s="32" t="n"/>
      <c r="AA431" s="32" t="n"/>
      <c r="AB431" s="32" t="n"/>
      <c r="AC431" s="32" t="n"/>
      <c r="AD431" s="33" t="n"/>
      <c r="AE431" s="33" t="n"/>
      <c r="AG431" s="13">
        <f>SUM(B431:AF431)</f>
        <v/>
      </c>
    </row>
    <row r="432" ht="15.75" customHeight="1">
      <c r="A432" s="8" t="inlineStr">
        <is>
          <t>LBH PAYMENTS BACS-602210-72430192</t>
        </is>
      </c>
      <c r="C432" s="12" t="n"/>
      <c r="D432" s="9" t="n"/>
      <c r="E432" s="9" t="n"/>
      <c r="F432" s="9" t="n"/>
      <c r="G432" s="9" t="n"/>
      <c r="H432" s="9" t="n"/>
      <c r="I432" s="12" t="n"/>
      <c r="J432" s="9" t="n"/>
      <c r="K432" s="9" t="n"/>
      <c r="L432" s="9" t="n"/>
      <c r="M432" s="9" t="n">
        <v>5040</v>
      </c>
      <c r="N432" s="9" t="n"/>
      <c r="O432" s="9" t="n"/>
      <c r="P432" s="9" t="n"/>
      <c r="Q432" s="9" t="n"/>
      <c r="R432" s="9" t="n"/>
      <c r="S432" s="9" t="n"/>
      <c r="T432" s="9" t="n"/>
      <c r="U432" s="9" t="n"/>
      <c r="V432" s="9" t="n"/>
      <c r="W432" s="9" t="n"/>
      <c r="X432" s="32" t="n"/>
      <c r="Y432" s="32" t="n"/>
      <c r="Z432" s="32" t="n"/>
      <c r="AA432" s="32" t="n"/>
      <c r="AB432" s="32" t="n"/>
      <c r="AC432" s="32" t="n"/>
      <c r="AD432" s="32" t="n"/>
      <c r="AE432" s="33" t="n"/>
      <c r="AG432" s="13">
        <f>SUM(B432:AF432)</f>
        <v/>
      </c>
    </row>
    <row r="433" ht="15.75" customHeight="1">
      <c r="A433" s="8" t="inlineStr">
        <is>
          <t>NHS BIRMINGHAM &amp; S-607080-10017097</t>
        </is>
      </c>
      <c r="C433" s="31" t="n">
        <v>7121.63</v>
      </c>
      <c r="D433" s="12" t="n"/>
      <c r="E433" s="12" t="n"/>
      <c r="F433" s="12" t="n"/>
      <c r="G433" s="9" t="inlineStr"/>
      <c r="H433" s="9" t="n"/>
      <c r="I433" s="9" t="n"/>
      <c r="J433" s="9" t="n"/>
      <c r="K433" s="9" t="n"/>
      <c r="L433" s="9" t="n"/>
      <c r="M433" s="9" t="n"/>
      <c r="N433" s="9" t="n"/>
      <c r="O433" s="9" t="n"/>
      <c r="P433" s="9" t="n"/>
      <c r="Q433" s="9" t="n"/>
      <c r="R433" s="9" t="n"/>
      <c r="S433" s="9" t="n"/>
      <c r="T433" s="9" t="n"/>
      <c r="U433" s="9" t="n"/>
      <c r="V433" s="9" t="n"/>
      <c r="W433" s="9" t="n"/>
      <c r="X433" s="32" t="n"/>
      <c r="Y433" s="32" t="n"/>
      <c r="Z433" s="32" t="n"/>
      <c r="AA433" s="32" t="n"/>
      <c r="AB433" s="32" t="n"/>
      <c r="AC433" s="32" t="n"/>
      <c r="AD433" s="32" t="n"/>
      <c r="AE433" s="33" t="n"/>
      <c r="AG433" s="13">
        <f>SUM(B433:AF433)</f>
        <v/>
      </c>
    </row>
    <row r="434" ht="15.75" customHeight="1">
      <c r="A434" s="8" t="inlineStr">
        <is>
          <t>NHS BLACK COUNTRY-607080-10015272</t>
        </is>
      </c>
      <c r="C434" s="12" t="n"/>
      <c r="D434" s="12" t="n"/>
      <c r="E434" s="12" t="n"/>
      <c r="F434" s="9" t="inlineStr"/>
      <c r="G434" s="9" t="n"/>
      <c r="H434" s="9" t="n"/>
      <c r="I434" s="9" t="n"/>
      <c r="J434" t="n">
        <v>13185.64</v>
      </c>
      <c r="K434" s="31" t="n"/>
      <c r="L434" s="26" t="n"/>
      <c r="M434" s="26" t="n"/>
      <c r="N434" s="26" t="n"/>
      <c r="O434" s="26" t="n"/>
      <c r="P434" s="31" t="n"/>
      <c r="Q434" s="26" t="n"/>
      <c r="R434" s="26" t="n"/>
      <c r="S434" s="26" t="n"/>
      <c r="T434" s="26" t="n"/>
      <c r="U434" s="9" t="n"/>
      <c r="V434" s="26" t="n"/>
      <c r="W434" s="26" t="n"/>
      <c r="X434" s="33" t="n">
        <v>8073.21</v>
      </c>
      <c r="Y434" s="32" t="n"/>
      <c r="Z434" s="33" t="n"/>
      <c r="AA434" s="32" t="n"/>
      <c r="AB434" s="33" t="n"/>
      <c r="AC434" s="33" t="n"/>
      <c r="AD434" s="33" t="n"/>
      <c r="AE434" s="33" t="n"/>
      <c r="AG434" s="13">
        <f>SUM(B434:AF434)</f>
        <v/>
      </c>
    </row>
    <row r="435" ht="15.75" customHeight="1">
      <c r="A435" s="14" t="inlineStr">
        <is>
          <t>SANDWELL MBC  BEN-601539-69624151</t>
        </is>
      </c>
      <c r="C435" s="26" t="inlineStr"/>
      <c r="E435" s="9" t="inlineStr"/>
      <c r="F435" s="9" t="inlineStr"/>
      <c r="G435" t="inlineStr">
        <is>
          <t>.</t>
        </is>
      </c>
      <c r="H435" s="12" t="n"/>
      <c r="I435" s="9" t="n"/>
      <c r="J435" s="9" t="n"/>
      <c r="K435" s="9" t="n"/>
      <c r="L435" s="9" t="n"/>
      <c r="N435" s="31" t="n"/>
      <c r="O435" s="26" t="n"/>
      <c r="P435" s="26" t="n"/>
      <c r="Q435" s="26" t="n"/>
      <c r="R435" s="26" t="n"/>
      <c r="S435" s="31" t="n"/>
      <c r="T435" s="26" t="n"/>
      <c r="U435" s="26" t="n"/>
      <c r="V435" s="26" t="n"/>
      <c r="X435" s="33" t="n">
        <v>3000</v>
      </c>
      <c r="Y435" s="32" t="n"/>
      <c r="Z435" s="32" t="n"/>
      <c r="AA435" s="33" t="n"/>
      <c r="AB435" s="33" t="n"/>
      <c r="AC435" s="33" t="n"/>
      <c r="AD435" s="33" t="n"/>
      <c r="AE435" s="33" t="n"/>
      <c r="AG435" s="13">
        <f>SUM(B435:AF435)</f>
        <v/>
      </c>
    </row>
    <row r="436" ht="15.75" customHeight="1">
      <c r="A436" s="14" t="inlineStr">
        <is>
          <t>SANDWELL MBC-601539-69624135</t>
        </is>
      </c>
      <c r="K436" s="9" t="n">
        <v>120000</v>
      </c>
      <c r="U436" s="9" t="n">
        <v>120000</v>
      </c>
      <c r="X436" s="33" t="n"/>
      <c r="Y436" s="33" t="n"/>
      <c r="Z436" s="33" t="n"/>
      <c r="AA436" s="33" t="n"/>
      <c r="AB436" s="33" t="n"/>
      <c r="AC436" s="33" t="n"/>
      <c r="AD436" s="33" t="n"/>
      <c r="AE436" s="33" t="n"/>
      <c r="AG436" s="13">
        <f>SUM(B436:AF436)</f>
        <v/>
      </c>
    </row>
    <row r="437" ht="15.75" customHeight="1">
      <c r="A437" s="15" t="inlineStr">
        <is>
          <t>SOLIHULL MBC EXP.-200771-00561525</t>
        </is>
      </c>
      <c r="C437" s="12" t="n">
        <v>32000</v>
      </c>
      <c r="X437" s="33" t="n"/>
      <c r="Y437" s="33" t="n"/>
      <c r="Z437" s="33" t="n"/>
      <c r="AA437" s="33" t="n"/>
      <c r="AB437" s="33" t="n"/>
      <c r="AC437" s="33" t="n"/>
      <c r="AD437" s="33" t="n"/>
      <c r="AE437" s="33" t="n">
        <v>32000</v>
      </c>
      <c r="AG437" s="13">
        <f>SUM(B437:AF437)</f>
        <v/>
      </c>
    </row>
    <row r="438" ht="15.75" customHeight="1">
      <c r="A438" s="15" t="inlineStr">
        <is>
          <t>WALSALL MBC BARC-209073-10731692</t>
        </is>
      </c>
      <c r="S438" s="9" t="n">
        <v>187000</v>
      </c>
      <c r="X438" s="33" t="n"/>
      <c r="Y438" s="33" t="n"/>
      <c r="Z438" s="33" t="n"/>
      <c r="AA438" s="33" t="n"/>
      <c r="AB438" s="33" t="n"/>
      <c r="AC438" s="33" t="n"/>
      <c r="AD438" s="33" t="n"/>
      <c r="AE438" s="33" t="n"/>
      <c r="AG438" s="13">
        <f>SUM(B438:AF438)</f>
        <v/>
      </c>
    </row>
    <row r="439" ht="15.75" customHeight="1">
      <c r="A439" s="15" t="inlineStr">
        <is>
          <t>WOLVERHAMPTON CC-560069-44470320</t>
        </is>
      </c>
      <c r="F439" s="9" t="n">
        <v>112000</v>
      </c>
      <c r="M439" s="9" t="n">
        <v>112000</v>
      </c>
      <c r="T439" s="9" t="n">
        <v>112000</v>
      </c>
      <c r="X439" s="33" t="n"/>
      <c r="Y439" s="33" t="n"/>
      <c r="Z439" s="33" t="n"/>
      <c r="AA439" s="32" t="n">
        <v>112000</v>
      </c>
      <c r="AB439" s="33" t="n"/>
      <c r="AC439" s="33" t="n"/>
      <c r="AD439" s="33" t="n"/>
      <c r="AE439" s="33" t="n"/>
      <c r="AG439" s="13">
        <f>SUM(B439:AF439)</f>
        <v/>
      </c>
    </row>
    <row r="440" ht="15.75" customHeight="1">
      <c r="A440" s="15" t="inlineStr">
        <is>
          <t>Portsmouth</t>
        </is>
      </c>
      <c r="X440" s="33" t="n"/>
      <c r="Y440" s="33" t="n"/>
      <c r="Z440" s="32" t="n">
        <v>5247.86</v>
      </c>
      <c r="AA440" s="33" t="n"/>
      <c r="AB440" s="33" t="n"/>
      <c r="AC440" s="33" t="n"/>
      <c r="AD440" s="33" t="n"/>
      <c r="AE440" s="33" t="n"/>
      <c r="AG440" s="13">
        <f>SUM(B440:AF440)</f>
        <v/>
      </c>
    </row>
    <row r="441" ht="15.75" customHeight="1">
      <c r="A441" s="15" t="inlineStr">
        <is>
          <t>HB SC</t>
        </is>
      </c>
      <c r="B441" s="16" t="n">
        <v>3800</v>
      </c>
      <c r="C441" s="16" t="n">
        <v>3800</v>
      </c>
      <c r="D441" s="16" t="n">
        <v>3800</v>
      </c>
      <c r="E441" s="16" t="n">
        <v>3800</v>
      </c>
      <c r="F441" s="16" t="n">
        <v>3800</v>
      </c>
      <c r="G441" s="16" t="n">
        <v>3800</v>
      </c>
      <c r="H441" s="16" t="n">
        <v>3800</v>
      </c>
      <c r="I441" s="16" t="n">
        <v>3800</v>
      </c>
      <c r="J441" s="16" t="n">
        <v>3800</v>
      </c>
      <c r="K441" s="16" t="n">
        <v>3800</v>
      </c>
      <c r="L441" s="16" t="n">
        <v>3800</v>
      </c>
      <c r="M441" s="16" t="n">
        <v>3800</v>
      </c>
      <c r="N441" s="16" t="n">
        <v>3800</v>
      </c>
      <c r="O441" s="16" t="n">
        <v>3800</v>
      </c>
      <c r="P441" s="16" t="n">
        <v>3800</v>
      </c>
      <c r="Q441" s="16" t="n">
        <v>3800</v>
      </c>
      <c r="R441" s="16" t="n">
        <v>3800</v>
      </c>
      <c r="S441" s="16" t="n">
        <v>3800</v>
      </c>
      <c r="T441" s="16" t="n">
        <v>3800</v>
      </c>
      <c r="U441" s="16" t="n">
        <v>3800</v>
      </c>
      <c r="V441" s="16" t="n">
        <v>3800</v>
      </c>
      <c r="W441" s="16" t="n">
        <v>3800</v>
      </c>
      <c r="X441" s="16" t="n">
        <v>3800</v>
      </c>
      <c r="Y441" s="16" t="n">
        <v>3800</v>
      </c>
      <c r="Z441" s="16" t="n">
        <v>3800</v>
      </c>
      <c r="AA441" s="16" t="n">
        <v>3800</v>
      </c>
      <c r="AB441" s="16" t="n">
        <v>3800</v>
      </c>
      <c r="AC441" s="16" t="n">
        <v>3800</v>
      </c>
      <c r="AD441" s="16" t="n">
        <v>3800</v>
      </c>
      <c r="AE441" s="16" t="n">
        <v>3800</v>
      </c>
      <c r="AF441" s="16" t="n"/>
      <c r="AG441" s="13">
        <f>SUM(B441:AF441)</f>
        <v/>
      </c>
    </row>
    <row r="442" ht="16.5" customHeight="1" thickBot="1">
      <c r="A442" s="15" t="inlineStr">
        <is>
          <t>Total</t>
        </is>
      </c>
      <c r="B442">
        <f>SUM(B425:B441)</f>
        <v/>
      </c>
      <c r="C442">
        <f>SUM(C425:C441)</f>
        <v/>
      </c>
      <c r="D442">
        <f>SUM(D425:D441)</f>
        <v/>
      </c>
      <c r="E442">
        <f>SUM(E425:E441)</f>
        <v/>
      </c>
      <c r="F442">
        <f>SUM(F425:F441)</f>
        <v/>
      </c>
      <c r="G442">
        <f>SUM(G425:G441)</f>
        <v/>
      </c>
      <c r="H442">
        <f>SUM(H425:H441)</f>
        <v/>
      </c>
      <c r="I442">
        <f>SUM(I425:I441)</f>
        <v/>
      </c>
      <c r="J442">
        <f>SUM(J425:J441)</f>
        <v/>
      </c>
      <c r="K442">
        <f>SUM(K425:K441)</f>
        <v/>
      </c>
      <c r="L442">
        <f>SUM(L425:L441)</f>
        <v/>
      </c>
      <c r="M442">
        <f>SUM(M425:M441)</f>
        <v/>
      </c>
      <c r="N442">
        <f>SUM(N425:N441)</f>
        <v/>
      </c>
      <c r="O442">
        <f>SUM(O425:O441)</f>
        <v/>
      </c>
      <c r="P442">
        <f>SUM(P425:P441)</f>
        <v/>
      </c>
      <c r="Q442">
        <f>SUM(Q425:Q441)</f>
        <v/>
      </c>
      <c r="R442">
        <f>SUM(R425:R441)</f>
        <v/>
      </c>
      <c r="S442">
        <f>SUM(S425:S441)</f>
        <v/>
      </c>
      <c r="T442">
        <f>SUM(T425:T441)</f>
        <v/>
      </c>
      <c r="U442">
        <f>SUM(U425:U441)</f>
        <v/>
      </c>
      <c r="V442">
        <f>SUM(V425:V441)</f>
        <v/>
      </c>
      <c r="W442">
        <f>SUM(W425:W441)</f>
        <v/>
      </c>
      <c r="X442">
        <f>SUM(X425:X441)</f>
        <v/>
      </c>
      <c r="Y442">
        <f>SUM(Y425:Y441)</f>
        <v/>
      </c>
      <c r="Z442">
        <f>SUM(Z425:Z441)</f>
        <v/>
      </c>
      <c r="AA442">
        <f>SUM(AA425:AA441)</f>
        <v/>
      </c>
      <c r="AB442">
        <f>SUM(AB425:AB441)</f>
        <v/>
      </c>
      <c r="AC442">
        <f>SUM(AC425:AC441)</f>
        <v/>
      </c>
      <c r="AD442">
        <f>SUM(AD425:AD441)</f>
        <v/>
      </c>
      <c r="AE442">
        <f>SUM(AE425:AE441)</f>
        <v/>
      </c>
      <c r="AG442" s="252">
        <f>SUM(AG425:AG441)</f>
        <v/>
      </c>
    </row>
    <row r="443" ht="15.75" customHeight="1" thickTop="1">
      <c r="A443" s="15" t="inlineStr">
        <is>
          <t>Ruunning Total</t>
        </is>
      </c>
      <c r="B443">
        <f>B442</f>
        <v/>
      </c>
      <c r="C443">
        <f>B443+C442</f>
        <v/>
      </c>
      <c r="D443">
        <f>C443+D442</f>
        <v/>
      </c>
      <c r="E443">
        <f>D443+E442</f>
        <v/>
      </c>
      <c r="F443">
        <f>E443+F442</f>
        <v/>
      </c>
      <c r="G443">
        <f>F443+G442</f>
        <v/>
      </c>
      <c r="H443">
        <f>G443+H442</f>
        <v/>
      </c>
      <c r="I443">
        <f>H443+I442</f>
        <v/>
      </c>
      <c r="J443">
        <f>I443+J442</f>
        <v/>
      </c>
      <c r="K443">
        <f>J443+K442</f>
        <v/>
      </c>
      <c r="L443">
        <f>K443+L442</f>
        <v/>
      </c>
      <c r="M443">
        <f>L443+M442</f>
        <v/>
      </c>
      <c r="N443">
        <f>M443+N442</f>
        <v/>
      </c>
      <c r="O443">
        <f>N443+O442</f>
        <v/>
      </c>
      <c r="P443">
        <f>O443+P442</f>
        <v/>
      </c>
      <c r="Q443">
        <f>P443+Q442</f>
        <v/>
      </c>
      <c r="R443">
        <f>Q443+R442</f>
        <v/>
      </c>
      <c r="S443">
        <f>R443+S442</f>
        <v/>
      </c>
      <c r="T443">
        <f>S443+T442</f>
        <v/>
      </c>
      <c r="U443">
        <f>T443+U442</f>
        <v/>
      </c>
      <c r="V443">
        <f>U443+V442</f>
        <v/>
      </c>
      <c r="W443">
        <f>V443+W442</f>
        <v/>
      </c>
      <c r="X443">
        <f>W443+X442</f>
        <v/>
      </c>
      <c r="Y443">
        <f>X443+Y442</f>
        <v/>
      </c>
      <c r="Z443">
        <f>Y443+Z442</f>
        <v/>
      </c>
      <c r="AA443">
        <f>Z443+AA442</f>
        <v/>
      </c>
      <c r="AB443">
        <f>AA443+AB442</f>
        <v/>
      </c>
      <c r="AC443">
        <f>AB443+AC442</f>
        <v/>
      </c>
      <c r="AD443">
        <f>AC443+AD442</f>
        <v/>
      </c>
      <c r="AE443">
        <f>AD443+AE442</f>
        <v/>
      </c>
    </row>
    <row r="446">
      <c r="A446" s="1" t="n"/>
      <c r="B446" s="2" t="inlineStr">
        <is>
          <t>Jan</t>
        </is>
      </c>
      <c r="C446" s="2" t="n"/>
      <c r="D446" s="2" t="n"/>
      <c r="E446" s="2" t="n"/>
      <c r="F446" s="2" t="n"/>
      <c r="G446" s="2" t="n"/>
      <c r="H446" s="2" t="n"/>
      <c r="I446" s="2" t="n"/>
      <c r="J446" s="2" t="n"/>
      <c r="K446" s="2" t="n"/>
      <c r="L446" s="2" t="n"/>
      <c r="M446" s="2" t="n"/>
      <c r="N446" s="2" t="n"/>
      <c r="O446" s="2" t="n"/>
      <c r="P446" s="2" t="n"/>
      <c r="Q446" s="2" t="n"/>
      <c r="R446" s="2" t="n"/>
      <c r="S446" s="2" t="n"/>
      <c r="T446" s="2" t="n"/>
      <c r="U446" s="2" t="n"/>
      <c r="V446" s="2" t="n"/>
      <c r="W446" s="2" t="n"/>
      <c r="X446" s="2" t="n"/>
      <c r="Y446" s="2" t="n"/>
      <c r="Z446" s="2" t="n"/>
      <c r="AA446" s="2" t="n"/>
      <c r="AB446" s="2" t="n"/>
      <c r="AC446" s="2" t="n"/>
      <c r="AD446" s="2" t="n"/>
      <c r="AE446" s="1" t="n"/>
      <c r="AF446" s="1" t="n"/>
      <c r="AG446" s="1" t="n"/>
    </row>
    <row r="447">
      <c r="A447" s="1" t="n"/>
      <c r="B447" s="2" t="inlineStr">
        <is>
          <t>Wednesday</t>
        </is>
      </c>
      <c r="C447" s="2" t="inlineStr">
        <is>
          <t>Thursday</t>
        </is>
      </c>
      <c r="D447" s="2" t="inlineStr">
        <is>
          <t>Friday</t>
        </is>
      </c>
      <c r="E447" s="2" t="inlineStr">
        <is>
          <t>Saturday</t>
        </is>
      </c>
      <c r="F447" s="2" t="inlineStr">
        <is>
          <t>Sunday</t>
        </is>
      </c>
      <c r="G447" s="2" t="inlineStr">
        <is>
          <t>Monday</t>
        </is>
      </c>
      <c r="H447" s="2" t="inlineStr">
        <is>
          <t>Tuesday</t>
        </is>
      </c>
      <c r="I447" s="2" t="inlineStr">
        <is>
          <t>Wednesday</t>
        </is>
      </c>
      <c r="J447" s="2" t="inlineStr">
        <is>
          <t>Thursday</t>
        </is>
      </c>
      <c r="K447" s="2" t="inlineStr">
        <is>
          <t>Friday</t>
        </is>
      </c>
      <c r="L447" s="2" t="inlineStr">
        <is>
          <t>Saturday</t>
        </is>
      </c>
      <c r="M447" s="2" t="inlineStr">
        <is>
          <t>Sunday</t>
        </is>
      </c>
      <c r="N447" s="2" t="inlineStr">
        <is>
          <t>Monday</t>
        </is>
      </c>
      <c r="O447" s="2" t="inlineStr">
        <is>
          <t>Tuesday</t>
        </is>
      </c>
      <c r="P447" s="2" t="inlineStr">
        <is>
          <t>Wednesday</t>
        </is>
      </c>
      <c r="Q447" s="2" t="inlineStr">
        <is>
          <t>Thursday</t>
        </is>
      </c>
      <c r="R447" s="2" t="inlineStr">
        <is>
          <t>Friday</t>
        </is>
      </c>
      <c r="S447" s="2" t="inlineStr">
        <is>
          <t>Saturday</t>
        </is>
      </c>
      <c r="T447" s="2" t="inlineStr">
        <is>
          <t>Sunday</t>
        </is>
      </c>
      <c r="U447" s="2" t="inlineStr">
        <is>
          <t>Monday</t>
        </is>
      </c>
      <c r="V447" s="2" t="inlineStr">
        <is>
          <t>Tuesday</t>
        </is>
      </c>
      <c r="W447" s="2" t="inlineStr">
        <is>
          <t>Wednesday</t>
        </is>
      </c>
      <c r="X447" s="2" t="inlineStr">
        <is>
          <t>Thursday</t>
        </is>
      </c>
      <c r="Y447" s="2" t="inlineStr">
        <is>
          <t>Friday</t>
        </is>
      </c>
      <c r="Z447" s="2" t="inlineStr">
        <is>
          <t>Saturday</t>
        </is>
      </c>
      <c r="AA447" s="2" t="inlineStr">
        <is>
          <t>Sunday</t>
        </is>
      </c>
      <c r="AB447" s="2" t="inlineStr">
        <is>
          <t>Monday</t>
        </is>
      </c>
      <c r="AC447" s="2" t="inlineStr">
        <is>
          <t>Tuesday</t>
        </is>
      </c>
      <c r="AD447" s="2" t="inlineStr">
        <is>
          <t>Wednesday</t>
        </is>
      </c>
      <c r="AE447" s="2" t="inlineStr">
        <is>
          <t>Thursday</t>
        </is>
      </c>
      <c r="AF447" s="2" t="inlineStr">
        <is>
          <t>Friday</t>
        </is>
      </c>
      <c r="AG447" s="2" t="inlineStr">
        <is>
          <t>Total</t>
        </is>
      </c>
    </row>
    <row r="448">
      <c r="A448" s="1" t="n"/>
      <c r="B448" s="7" t="inlineStr">
        <is>
          <t>1st</t>
        </is>
      </c>
      <c r="C448" s="7" t="inlineStr">
        <is>
          <t>2nd</t>
        </is>
      </c>
      <c r="D448" s="7" t="inlineStr">
        <is>
          <t>3rd</t>
        </is>
      </c>
      <c r="E448" s="7" t="inlineStr">
        <is>
          <t>4th</t>
        </is>
      </c>
      <c r="F448" s="7" t="inlineStr">
        <is>
          <t>5th</t>
        </is>
      </c>
      <c r="G448" s="4" t="inlineStr">
        <is>
          <t>6th</t>
        </is>
      </c>
      <c r="H448" s="4" t="inlineStr">
        <is>
          <t>7th</t>
        </is>
      </c>
      <c r="I448" s="4" t="inlineStr">
        <is>
          <t>8th</t>
        </is>
      </c>
      <c r="J448" s="4" t="inlineStr">
        <is>
          <t>9th</t>
        </is>
      </c>
      <c r="K448" s="4" t="inlineStr">
        <is>
          <t>10th</t>
        </is>
      </c>
      <c r="L448" s="4" t="inlineStr">
        <is>
          <t>11th</t>
        </is>
      </c>
      <c r="M448" s="4" t="inlineStr">
        <is>
          <t>12th</t>
        </is>
      </c>
      <c r="N448" s="5" t="inlineStr">
        <is>
          <t>13th</t>
        </is>
      </c>
      <c r="O448" s="5" t="inlineStr">
        <is>
          <t>14th</t>
        </is>
      </c>
      <c r="P448" s="5" t="inlineStr">
        <is>
          <t>15th</t>
        </is>
      </c>
      <c r="Q448" s="5" t="inlineStr">
        <is>
          <t>16th</t>
        </is>
      </c>
      <c r="R448" s="5" t="inlineStr">
        <is>
          <t>17th</t>
        </is>
      </c>
      <c r="S448" s="5" t="inlineStr">
        <is>
          <t>18th</t>
        </is>
      </c>
      <c r="T448" s="5" t="inlineStr">
        <is>
          <t>19th</t>
        </is>
      </c>
      <c r="U448" s="6" t="inlineStr">
        <is>
          <t>20th</t>
        </is>
      </c>
      <c r="V448" s="6" t="inlineStr">
        <is>
          <t>21st</t>
        </is>
      </c>
      <c r="W448" s="6" t="inlineStr">
        <is>
          <t>22nd</t>
        </is>
      </c>
      <c r="X448" s="6" t="inlineStr">
        <is>
          <t>23rd</t>
        </is>
      </c>
      <c r="Y448" s="6" t="inlineStr">
        <is>
          <t>24th</t>
        </is>
      </c>
      <c r="Z448" s="6" t="inlineStr">
        <is>
          <t>25th</t>
        </is>
      </c>
      <c r="AA448" s="6" t="inlineStr">
        <is>
          <t>26th</t>
        </is>
      </c>
      <c r="AB448" s="7" t="inlineStr">
        <is>
          <t>27th</t>
        </is>
      </c>
      <c r="AC448" s="7" t="inlineStr">
        <is>
          <t>28th</t>
        </is>
      </c>
      <c r="AD448" s="7" t="inlineStr">
        <is>
          <t>29th</t>
        </is>
      </c>
      <c r="AE448" s="7" t="inlineStr">
        <is>
          <t>30th</t>
        </is>
      </c>
      <c r="AF448" s="7" t="inlineStr">
        <is>
          <t>31st</t>
        </is>
      </c>
      <c r="AG448" s="1" t="n"/>
    </row>
    <row r="449" ht="15.75" customHeight="1">
      <c r="A449" s="8" t="inlineStr">
        <is>
          <t>B-HAM CITY COUNCIL-200790-70489166</t>
        </is>
      </c>
      <c r="B449" s="81" t="n"/>
      <c r="U449" s="12">
        <f>5041.28</f>
        <v/>
      </c>
      <c r="Y449" s="12" t="n">
        <v>75502.24000000001</v>
      </c>
      <c r="AG449" s="13">
        <f>SUM(B449:AF449)</f>
        <v/>
      </c>
    </row>
    <row r="450" ht="15.75" customHeight="1">
      <c r="A450" s="8" t="inlineStr">
        <is>
          <t>Buckingham</t>
        </is>
      </c>
      <c r="B450" s="80" t="n"/>
      <c r="C450" s="9" t="n"/>
      <c r="D450" s="9" t="n"/>
      <c r="E450" s="9" t="n"/>
      <c r="F450" s="9" t="n"/>
      <c r="G450" s="9" t="n"/>
      <c r="H450" s="9" t="n"/>
      <c r="I450" s="9" t="n"/>
      <c r="J450" s="9" t="n"/>
      <c r="K450" s="9" t="n"/>
      <c r="L450" s="9" t="n"/>
      <c r="M450" s="9" t="n"/>
      <c r="N450" s="12" t="n">
        <v>4937.64</v>
      </c>
      <c r="O450" s="9" t="n"/>
      <c r="P450" s="9" t="n"/>
      <c r="Q450" s="9" t="n"/>
      <c r="R450" s="9" t="n"/>
      <c r="S450" s="9" t="n"/>
      <c r="T450" s="9" t="n"/>
      <c r="U450" s="9" t="n"/>
      <c r="V450" s="9" t="n"/>
      <c r="W450" s="9" t="n"/>
      <c r="X450" s="31" t="n">
        <v>5134.44</v>
      </c>
      <c r="Y450" s="9" t="n"/>
      <c r="Z450" s="31" t="n"/>
      <c r="AG450" s="13">
        <f>SUM(B450:AF450)</f>
        <v/>
      </c>
    </row>
    <row r="451" ht="15.75" customHeight="1">
      <c r="A451" s="8" t="inlineStr">
        <is>
          <t>Sandwell respite est</t>
        </is>
      </c>
      <c r="B451" s="80" t="n"/>
      <c r="C451" s="9" t="n"/>
      <c r="D451" s="9" t="n"/>
      <c r="E451" s="9" t="n"/>
      <c r="F451" s="9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9" t="n"/>
      <c r="P451" s="9" t="n"/>
      <c r="Q451" s="9" t="n"/>
      <c r="R451" s="9" t="n"/>
      <c r="S451" s="9" t="n"/>
      <c r="T451" s="9" t="n"/>
      <c r="U451" s="9" t="n"/>
      <c r="V451" s="9" t="n"/>
      <c r="W451" s="9" t="n"/>
      <c r="X451" s="9" t="n"/>
      <c r="Y451" s="9" t="n"/>
      <c r="Z451" s="9" t="n"/>
      <c r="AF451" s="9" t="n">
        <v>20000</v>
      </c>
      <c r="AG451" s="13">
        <f>SUM(B451:AF451)</f>
        <v/>
      </c>
    </row>
    <row r="452" ht="15.75" customHeight="1">
      <c r="A452" s="8" t="inlineStr">
        <is>
          <t xml:space="preserve">Wolverhampton respite est </t>
        </is>
      </c>
      <c r="B452" s="80" t="n"/>
      <c r="C452" s="9" t="n"/>
      <c r="D452" s="9" t="n"/>
      <c r="E452" s="9" t="n"/>
      <c r="F452" s="9" t="n"/>
      <c r="G452" s="9" t="n"/>
      <c r="H452" s="9" t="n"/>
      <c r="I452" s="9" t="n"/>
      <c r="J452" s="9" t="n"/>
      <c r="K452" s="9" t="n"/>
      <c r="L452" s="9" t="n"/>
      <c r="M452" s="9" t="n"/>
      <c r="N452" s="9" t="n"/>
      <c r="O452" s="9" t="n"/>
      <c r="P452" s="9" t="n"/>
      <c r="Q452" s="9" t="n"/>
      <c r="R452" s="9" t="n"/>
      <c r="S452" s="9" t="n"/>
      <c r="T452" s="9" t="n"/>
      <c r="U452" s="9" t="n"/>
      <c r="V452" s="9" t="n"/>
      <c r="W452" s="9" t="n"/>
      <c r="X452" s="9" t="n"/>
      <c r="Y452" s="9" t="n"/>
      <c r="Z452" s="9" t="n"/>
      <c r="AF452" s="9" t="n">
        <v>30000</v>
      </c>
      <c r="AG452" s="13">
        <f>SUM(B452:AF452)</f>
        <v/>
      </c>
    </row>
    <row r="453" ht="15.75" customHeight="1">
      <c r="A453" s="8" t="inlineStr">
        <is>
          <t>Walsall Respite</t>
        </is>
      </c>
      <c r="B453" s="80" t="n"/>
      <c r="D453" s="9" t="n"/>
      <c r="E453" s="9" t="n"/>
      <c r="F453" s="9" t="n"/>
      <c r="G453" s="9" t="n"/>
      <c r="H453" s="9" t="n"/>
      <c r="I453" s="9" t="n"/>
      <c r="J453" s="9" t="n"/>
      <c r="K453" s="9" t="n"/>
      <c r="L453" s="9" t="n"/>
      <c r="M453" s="9" t="n"/>
      <c r="N453" s="9" t="n"/>
      <c r="O453" s="9" t="n"/>
      <c r="P453" s="9" t="n"/>
      <c r="Q453" s="9" t="n"/>
      <c r="R453" s="9" t="n"/>
      <c r="S453" s="9" t="n"/>
      <c r="T453" s="9" t="n"/>
      <c r="U453" s="9" t="n"/>
      <c r="V453" s="9" t="n"/>
      <c r="W453" s="9" t="n"/>
      <c r="X453" s="9" t="n"/>
      <c r="Y453" s="9" t="n"/>
      <c r="Z453" s="9" t="n"/>
      <c r="AF453" s="9" t="n">
        <v>15000</v>
      </c>
      <c r="AG453" s="13">
        <f>SUM(B453:AF453)</f>
        <v/>
      </c>
    </row>
    <row r="454" ht="18.75" customHeight="1">
      <c r="A454" s="8" t="inlineStr">
        <is>
          <t>Ideal for All Ltd</t>
        </is>
      </c>
      <c r="B454" s="81" t="n"/>
      <c r="C454" s="9" t="n"/>
      <c r="D454" s="11" t="n">
        <v>3661.88</v>
      </c>
      <c r="F454" s="9" t="n"/>
      <c r="G454" t="n">
        <v>3344</v>
      </c>
      <c r="H454" s="9" t="n"/>
      <c r="I454" s="12" t="n">
        <v>2536.8</v>
      </c>
      <c r="M454" s="9" t="n"/>
      <c r="N454" s="9" t="n"/>
      <c r="O454" s="9" t="n"/>
      <c r="P454" s="9" t="n"/>
      <c r="Q454" s="9" t="n"/>
      <c r="R454" s="9" t="n"/>
      <c r="S454" s="9" t="n"/>
      <c r="T454" s="9" t="n"/>
      <c r="U454" s="9" t="n"/>
      <c r="V454" s="9" t="n"/>
      <c r="W454" s="9" t="n"/>
      <c r="X454" s="9" t="n"/>
      <c r="Y454" s="9" t="n"/>
      <c r="Z454" s="9" t="n"/>
      <c r="AG454" s="13">
        <f>SUM(C454:AF454)</f>
        <v/>
      </c>
    </row>
    <row r="455" ht="15.75" customHeight="1">
      <c r="A455" s="8" t="inlineStr">
        <is>
          <t>KIRKLEES COUNCIL-204312-63046958</t>
        </is>
      </c>
      <c r="B455" s="81" t="n"/>
      <c r="C455" s="9" t="n"/>
      <c r="D455" s="9" t="n"/>
      <c r="E455" s="12" t="n"/>
      <c r="F455" s="9" t="n"/>
      <c r="G455" s="12" t="n"/>
      <c r="H455" s="9" t="n"/>
      <c r="I455" s="9" t="n"/>
      <c r="J455" s="9" t="n"/>
      <c r="K455" s="9" t="n"/>
      <c r="O455" s="12" t="n">
        <v>5554.89</v>
      </c>
      <c r="P455" s="9" t="n"/>
      <c r="Q455" s="9" t="n"/>
      <c r="R455" s="9" t="n"/>
      <c r="S455" s="9" t="n"/>
      <c r="T455" s="9" t="n"/>
      <c r="U455" s="9" t="n"/>
      <c r="V455" s="9" t="n"/>
      <c r="W455" s="9" t="n"/>
      <c r="X455" s="9" t="n"/>
      <c r="Y455" s="9" t="n"/>
      <c r="Z455" s="9" t="n"/>
      <c r="AG455" s="13">
        <f>SUM(C455:AF455)</f>
        <v/>
      </c>
    </row>
    <row r="456" ht="15.75" customHeight="1">
      <c r="A456" s="8" t="inlineStr">
        <is>
          <t>LBH PAYMENTS BACS-602210-72430192</t>
        </is>
      </c>
      <c r="B456" s="81" t="n"/>
      <c r="C456" s="9" t="n"/>
      <c r="D456" s="9" t="n"/>
      <c r="E456" s="9" t="n"/>
      <c r="F456" s="9" t="n"/>
      <c r="G456" s="12" t="n"/>
      <c r="H456" s="12" t="n"/>
      <c r="I456" s="9" t="n"/>
      <c r="J456" s="9" t="n"/>
      <c r="K456" s="9" t="n"/>
      <c r="N456" s="9" t="n">
        <v>5040</v>
      </c>
      <c r="O456" s="9" t="n"/>
      <c r="P456" s="9" t="n"/>
      <c r="Q456" s="9" t="n"/>
      <c r="R456" s="9" t="n"/>
      <c r="S456" s="9" t="n"/>
      <c r="T456" s="9" t="n"/>
      <c r="U456" s="9" t="n"/>
      <c r="V456" s="9" t="n"/>
      <c r="W456" s="9" t="n"/>
      <c r="X456" s="9" t="n"/>
      <c r="Y456" s="9" t="n"/>
      <c r="Z456" s="9" t="n"/>
      <c r="AG456" s="13">
        <f>SUM(C456:AF456)</f>
        <v/>
      </c>
    </row>
    <row r="457" ht="15.75" customHeight="1">
      <c r="A457" s="8" t="inlineStr">
        <is>
          <t>NHS BIRMINGHAM &amp; S-607080-10017097</t>
        </is>
      </c>
      <c r="B457" s="81" t="n"/>
      <c r="C457" s="12" t="n"/>
      <c r="D457" s="12" t="n"/>
      <c r="E457" s="12" t="n"/>
      <c r="F457" s="9" t="inlineStr"/>
      <c r="G457" s="31" t="n">
        <v>7121.63</v>
      </c>
      <c r="H457" s="9" t="n"/>
      <c r="I457" s="9" t="n"/>
      <c r="J457" s="9" t="n"/>
      <c r="K457" s="9" t="n"/>
      <c r="L457" s="9" t="n"/>
      <c r="M457" s="9" t="n"/>
      <c r="N457" s="9" t="n"/>
      <c r="O457" s="9" t="n"/>
      <c r="P457" s="9" t="n"/>
      <c r="Q457" s="9" t="n"/>
      <c r="R457" s="9" t="n"/>
      <c r="S457" s="9" t="n"/>
      <c r="T457" s="9" t="n"/>
      <c r="U457" s="9" t="n"/>
      <c r="V457" s="9" t="n"/>
      <c r="W457" s="9" t="n"/>
      <c r="X457" s="9" t="n"/>
      <c r="Y457" s="9" t="n"/>
      <c r="Z457" s="9" t="n"/>
      <c r="AC457" s="31" t="n">
        <v>7121.63</v>
      </c>
      <c r="AG457" s="13">
        <f>SUM(C457:AF457)</f>
        <v/>
      </c>
    </row>
    <row r="458" ht="15.75" customHeight="1">
      <c r="A458" s="8" t="inlineStr">
        <is>
          <t>NHS BLACK COUNTRY-607080-10015272</t>
        </is>
      </c>
      <c r="B458" s="79" t="n"/>
      <c r="C458" s="12" t="n"/>
      <c r="D458" s="12" t="n"/>
      <c r="E458" s="9" t="inlineStr"/>
      <c r="F458" s="9" t="n"/>
      <c r="G458" s="9" t="n"/>
      <c r="H458" s="9" t="n"/>
      <c r="I458" t="n">
        <v>13185.64</v>
      </c>
      <c r="J458" s="31" t="n"/>
      <c r="K458" s="26" t="n"/>
      <c r="L458" s="26" t="n"/>
      <c r="M458" s="26" t="n"/>
      <c r="N458" s="26" t="n"/>
      <c r="O458" s="31" t="n"/>
      <c r="P458" s="26" t="n"/>
      <c r="Q458" s="26" t="n"/>
      <c r="R458" s="26" t="n"/>
      <c r="S458" s="26" t="n"/>
      <c r="T458" s="9" t="n"/>
      <c r="U458" s="26" t="n"/>
      <c r="V458" s="26" t="n"/>
      <c r="W458" s="31" t="n">
        <v>8073.21</v>
      </c>
      <c r="X458" s="9" t="n"/>
      <c r="Y458" s="31" t="n"/>
      <c r="Z458" s="9" t="n"/>
      <c r="AG458" s="13">
        <f>SUM(B458:AF458)</f>
        <v/>
      </c>
    </row>
    <row r="459" ht="15.75" customHeight="1">
      <c r="A459" s="14" t="inlineStr">
        <is>
          <t>SANDWELL MBC  BEN-601539-69624151</t>
        </is>
      </c>
      <c r="B459" s="88" t="inlineStr"/>
      <c r="D459" s="9" t="inlineStr"/>
      <c r="E459" s="9" t="inlineStr"/>
      <c r="F459" t="inlineStr">
        <is>
          <t>.</t>
        </is>
      </c>
      <c r="G459" s="12" t="n"/>
      <c r="H459" s="9" t="n"/>
      <c r="I459" s="9" t="n"/>
      <c r="J459" s="9" t="n"/>
      <c r="K459" s="9" t="n"/>
      <c r="M459" s="31" t="n"/>
      <c r="N459" s="26" t="n"/>
      <c r="O459" s="26" t="n"/>
      <c r="P459" s="26" t="n"/>
      <c r="Q459" s="26" t="n"/>
      <c r="R459" s="31" t="n"/>
      <c r="S459" s="26" t="n"/>
      <c r="T459" s="26" t="n"/>
      <c r="U459" s="26" t="n"/>
      <c r="W459" s="12" t="n">
        <v>3000</v>
      </c>
      <c r="X459" s="26" t="n"/>
      <c r="Y459" s="26" t="n"/>
      <c r="Z459" s="31" t="n"/>
      <c r="AG459" s="13">
        <f>SUM(B459:AF459)</f>
        <v/>
      </c>
    </row>
    <row r="460" ht="15.75" customHeight="1">
      <c r="A460" s="14" t="inlineStr">
        <is>
          <t>SANDWELL MBC-601539-69624135</t>
        </is>
      </c>
      <c r="B460" s="81" t="n"/>
      <c r="G460" s="9" t="n">
        <v>120000</v>
      </c>
      <c r="U460" s="9" t="n">
        <v>120000</v>
      </c>
      <c r="AG460" s="13">
        <f>SUM(B460:AF460)</f>
        <v/>
      </c>
    </row>
    <row r="461" ht="15.75" customHeight="1">
      <c r="A461" s="15" t="inlineStr">
        <is>
          <t>SOLIHULL MBC EXP.-200771-00561525</t>
        </is>
      </c>
      <c r="B461" s="79" t="n"/>
      <c r="AC461" t="n">
        <v>32000</v>
      </c>
      <c r="AG461" s="13">
        <f>SUM(B461:AF461)</f>
        <v/>
      </c>
    </row>
    <row r="462" ht="15.75" customHeight="1">
      <c r="A462" s="15" t="inlineStr">
        <is>
          <t>WALSALL MBC BARC-209073-10731692</t>
        </is>
      </c>
      <c r="B462" s="81" t="n"/>
      <c r="Q462" s="9" t="n">
        <v>187000</v>
      </c>
      <c r="AG462" s="13">
        <f>SUM(B462:AF462)</f>
        <v/>
      </c>
    </row>
    <row r="463" ht="15.75" customHeight="1">
      <c r="A463" s="15" t="inlineStr">
        <is>
          <t>WOLVERHAMPTON CC-560069-44470320</t>
        </is>
      </c>
      <c r="B463" s="81" t="n"/>
      <c r="C463" s="9" t="n">
        <v>112000</v>
      </c>
      <c r="J463" s="9" t="n">
        <v>112000</v>
      </c>
      <c r="Q463" s="9" t="n">
        <v>112000</v>
      </c>
      <c r="X463" s="9" t="n">
        <v>112000</v>
      </c>
      <c r="AE463" s="9" t="n">
        <v>112000</v>
      </c>
      <c r="AG463" s="13">
        <f>SUM(B463:AF463)</f>
        <v/>
      </c>
    </row>
    <row r="464" ht="15.75" customHeight="1">
      <c r="A464" s="15" t="inlineStr">
        <is>
          <t>Portsmouth</t>
        </is>
      </c>
      <c r="B464" s="81" t="n"/>
      <c r="W464" s="9" t="n">
        <v>5247.86</v>
      </c>
      <c r="AG464" s="13">
        <f>SUM(B464:AF464)</f>
        <v/>
      </c>
    </row>
    <row r="465" ht="15.75" customHeight="1">
      <c r="A465" s="15" t="inlineStr">
        <is>
          <t>HB SC</t>
        </is>
      </c>
      <c r="B465" s="16" t="n">
        <v>3800</v>
      </c>
      <c r="C465" s="16" t="n">
        <v>3800</v>
      </c>
      <c r="D465" s="16" t="n">
        <v>3800</v>
      </c>
      <c r="E465" s="16" t="n">
        <v>3800</v>
      </c>
      <c r="F465" s="16" t="n">
        <v>3800</v>
      </c>
      <c r="G465" s="16" t="n">
        <v>3800</v>
      </c>
      <c r="H465" s="16" t="n">
        <v>3800</v>
      </c>
      <c r="I465" s="16" t="n">
        <v>3800</v>
      </c>
      <c r="J465" s="16" t="n">
        <v>3800</v>
      </c>
      <c r="K465" s="16" t="n">
        <v>3800</v>
      </c>
      <c r="L465" s="16" t="n">
        <v>3800</v>
      </c>
      <c r="M465" s="16" t="n">
        <v>3800</v>
      </c>
      <c r="N465" s="16" t="n">
        <v>3800</v>
      </c>
      <c r="O465" s="16" t="n">
        <v>3800</v>
      </c>
      <c r="P465" s="16" t="n">
        <v>3800</v>
      </c>
      <c r="Q465" s="16" t="n">
        <v>3800</v>
      </c>
      <c r="R465" s="16" t="n">
        <v>3800</v>
      </c>
      <c r="S465" s="16" t="n">
        <v>3800</v>
      </c>
      <c r="T465" s="16" t="n">
        <v>3800</v>
      </c>
      <c r="U465" s="16" t="n">
        <v>3800</v>
      </c>
      <c r="V465" s="16" t="n">
        <v>3800</v>
      </c>
      <c r="W465" s="16" t="n">
        <v>3800</v>
      </c>
      <c r="X465" s="16" t="n">
        <v>3800</v>
      </c>
      <c r="Y465" s="16" t="n">
        <v>3800</v>
      </c>
      <c r="Z465" s="16" t="n">
        <v>3800</v>
      </c>
      <c r="AA465" s="16" t="n">
        <v>3800</v>
      </c>
      <c r="AB465" s="16" t="n">
        <v>3800</v>
      </c>
      <c r="AC465" s="16" t="n">
        <v>3800</v>
      </c>
      <c r="AD465" s="16" t="n">
        <v>3800</v>
      </c>
      <c r="AE465" s="16" t="n">
        <v>3800</v>
      </c>
      <c r="AF465" s="16" t="n"/>
      <c r="AG465" s="13">
        <f>SUM(B465:AF465)</f>
        <v/>
      </c>
    </row>
    <row r="466" ht="16.5" customHeight="1" thickBot="1">
      <c r="A466" s="15" t="inlineStr">
        <is>
          <t>Total</t>
        </is>
      </c>
      <c r="B466">
        <f>SUM(B449:B465)</f>
        <v/>
      </c>
      <c r="C466">
        <f>SUM(C449:C465)</f>
        <v/>
      </c>
      <c r="D466">
        <f>SUM(D449:D465)</f>
        <v/>
      </c>
      <c r="E466">
        <f>SUM(E449:E465)</f>
        <v/>
      </c>
      <c r="F466">
        <f>SUM(F449:F465)</f>
        <v/>
      </c>
      <c r="G466">
        <f>SUM(G449:G465)</f>
        <v/>
      </c>
      <c r="H466">
        <f>SUM(H449:H465)</f>
        <v/>
      </c>
      <c r="I466">
        <f>SUM(I449:I465)</f>
        <v/>
      </c>
      <c r="J466">
        <f>SUM(J449:J465)</f>
        <v/>
      </c>
      <c r="K466">
        <f>SUM(K449:K465)</f>
        <v/>
      </c>
      <c r="L466">
        <f>SUM(L449:L465)</f>
        <v/>
      </c>
      <c r="M466">
        <f>SUM(M449:M465)</f>
        <v/>
      </c>
      <c r="N466">
        <f>SUM(N449:N465)</f>
        <v/>
      </c>
      <c r="O466">
        <f>SUM(O449:O465)</f>
        <v/>
      </c>
      <c r="P466">
        <f>SUM(P449:P465)</f>
        <v/>
      </c>
      <c r="Q466">
        <f>SUM(Q449:Q465)</f>
        <v/>
      </c>
      <c r="R466">
        <f>SUM(R449:R465)</f>
        <v/>
      </c>
      <c r="S466">
        <f>SUM(S449:S465)</f>
        <v/>
      </c>
      <c r="T466">
        <f>SUM(T449:T465)</f>
        <v/>
      </c>
      <c r="U466">
        <f>SUM(U449:U465)</f>
        <v/>
      </c>
      <c r="V466">
        <f>SUM(V449:V465)</f>
        <v/>
      </c>
      <c r="W466">
        <f>SUM(W449:W465)</f>
        <v/>
      </c>
      <c r="X466">
        <f>SUM(X449:X465)</f>
        <v/>
      </c>
      <c r="Y466">
        <f>SUM(Y449:Y465)</f>
        <v/>
      </c>
      <c r="Z466">
        <f>SUM(Z449:Z465)</f>
        <v/>
      </c>
      <c r="AA466">
        <f>SUM(AA449:AA465)</f>
        <v/>
      </c>
      <c r="AB466">
        <f>SUM(AB449:AB465)</f>
        <v/>
      </c>
      <c r="AC466">
        <f>SUM(AC449:AC465)</f>
        <v/>
      </c>
      <c r="AD466">
        <f>SUM(AD449:AD465)</f>
        <v/>
      </c>
      <c r="AE466">
        <f>SUM(AE449:AE465)</f>
        <v/>
      </c>
      <c r="AG466" s="252">
        <f>SUM(AG449:AG465)</f>
        <v/>
      </c>
    </row>
    <row r="467" ht="15.75" customHeight="1" thickTop="1">
      <c r="A467" s="15" t="inlineStr">
        <is>
          <t>Ruunning Total</t>
        </is>
      </c>
      <c r="B467">
        <f>B466</f>
        <v/>
      </c>
      <c r="C467">
        <f>B467+C466</f>
        <v/>
      </c>
      <c r="D467">
        <f>C467+D466</f>
        <v/>
      </c>
      <c r="E467">
        <f>D467+E466</f>
        <v/>
      </c>
      <c r="F467">
        <f>E467+F466</f>
        <v/>
      </c>
      <c r="G467">
        <f>F467+G466</f>
        <v/>
      </c>
      <c r="H467">
        <f>G467+H466</f>
        <v/>
      </c>
      <c r="I467">
        <f>H467+I466</f>
        <v/>
      </c>
      <c r="J467">
        <f>I467+J466</f>
        <v/>
      </c>
      <c r="K467">
        <f>J467+K466</f>
        <v/>
      </c>
      <c r="L467">
        <f>K467+L466</f>
        <v/>
      </c>
      <c r="M467">
        <f>L467+M466</f>
        <v/>
      </c>
      <c r="N467">
        <f>M467+N466</f>
        <v/>
      </c>
      <c r="O467">
        <f>N467+O466</f>
        <v/>
      </c>
      <c r="P467">
        <f>O467+P466</f>
        <v/>
      </c>
      <c r="Q467">
        <f>P467+Q466</f>
        <v/>
      </c>
      <c r="R467">
        <f>Q467+R466</f>
        <v/>
      </c>
      <c r="S467">
        <f>R467+S466</f>
        <v/>
      </c>
      <c r="T467">
        <f>S467+T466</f>
        <v/>
      </c>
      <c r="U467">
        <f>T467+U466</f>
        <v/>
      </c>
      <c r="V467">
        <f>U467+V466</f>
        <v/>
      </c>
      <c r="W467">
        <f>V467+W466</f>
        <v/>
      </c>
      <c r="X467">
        <f>W467+X466</f>
        <v/>
      </c>
      <c r="Y467">
        <f>X467+Y466</f>
        <v/>
      </c>
      <c r="Z467">
        <f>Y467+Z466</f>
        <v/>
      </c>
      <c r="AA467">
        <f>Z467+AA466</f>
        <v/>
      </c>
      <c r="AB467">
        <f>AA467+AB466</f>
        <v/>
      </c>
      <c r="AC467">
        <f>AB467+AC466</f>
        <v/>
      </c>
      <c r="AD467">
        <f>AC467+AD466</f>
        <v/>
      </c>
      <c r="AE467">
        <f>AD467+AE466</f>
        <v/>
      </c>
    </row>
    <row r="470">
      <c r="A470" s="1" t="n"/>
      <c r="B470" s="2" t="inlineStr">
        <is>
          <t>Feb</t>
        </is>
      </c>
      <c r="C470" s="2" t="n"/>
      <c r="D470" s="2" t="n"/>
      <c r="E470" s="2" t="n"/>
      <c r="F470" s="2" t="n"/>
      <c r="G470" s="2" t="n"/>
      <c r="H470" s="2" t="n"/>
      <c r="I470" s="2" t="n"/>
      <c r="J470" s="2" t="n"/>
      <c r="K470" s="2" t="n"/>
      <c r="L470" s="2" t="n"/>
      <c r="M470" s="2" t="n"/>
      <c r="N470" s="2" t="n"/>
      <c r="O470" s="2" t="n"/>
      <c r="P470" s="2" t="n"/>
      <c r="Q470" s="2" t="n"/>
      <c r="R470" s="2" t="n"/>
      <c r="S470" s="2" t="n"/>
      <c r="T470" s="2" t="n"/>
      <c r="U470" s="2" t="n"/>
      <c r="V470" s="2" t="n"/>
      <c r="W470" s="2" t="n"/>
      <c r="X470" s="2" t="n"/>
      <c r="Y470" s="2" t="n"/>
      <c r="Z470" s="2" t="n"/>
      <c r="AA470" s="2" t="n"/>
      <c r="AB470" s="2" t="n"/>
      <c r="AC470" s="2" t="n"/>
      <c r="AD470" s="2" t="n"/>
      <c r="AE470" s="1" t="n"/>
      <c r="AF470" s="1" t="n"/>
      <c r="AG470" s="1" t="n"/>
    </row>
    <row r="471" ht="15.75" customHeight="1">
      <c r="A471" s="1" t="n"/>
      <c r="B471" s="2" t="inlineStr">
        <is>
          <t>Saturday</t>
        </is>
      </c>
      <c r="C471" s="2" t="inlineStr">
        <is>
          <t>Sunday</t>
        </is>
      </c>
      <c r="D471" s="2" t="inlineStr">
        <is>
          <t>Monday</t>
        </is>
      </c>
      <c r="E471" s="2" t="inlineStr">
        <is>
          <t>Tuesday</t>
        </is>
      </c>
      <c r="F471" s="2" t="inlineStr">
        <is>
          <t>Wednesday</t>
        </is>
      </c>
      <c r="G471" s="2" t="inlineStr">
        <is>
          <t>Thursday</t>
        </is>
      </c>
      <c r="H471" s="2" t="inlineStr">
        <is>
          <t>Friday</t>
        </is>
      </c>
      <c r="I471" s="2" t="inlineStr">
        <is>
          <t>Saturday</t>
        </is>
      </c>
      <c r="J471" s="2" t="inlineStr">
        <is>
          <t>Sunday</t>
        </is>
      </c>
      <c r="K471" s="2" t="inlineStr">
        <is>
          <t>Monday</t>
        </is>
      </c>
      <c r="L471" s="2" t="inlineStr">
        <is>
          <t>Tuesday</t>
        </is>
      </c>
      <c r="M471" s="2" t="inlineStr">
        <is>
          <t>Wednesday</t>
        </is>
      </c>
      <c r="N471" s="2" t="inlineStr">
        <is>
          <t>Thursday</t>
        </is>
      </c>
      <c r="O471" s="2" t="inlineStr">
        <is>
          <t>Friday</t>
        </is>
      </c>
      <c r="P471" s="2" t="inlineStr">
        <is>
          <t>Saturday</t>
        </is>
      </c>
      <c r="Q471" s="2" t="inlineStr">
        <is>
          <t>Sunday</t>
        </is>
      </c>
      <c r="R471" s="2" t="inlineStr">
        <is>
          <t>Monday</t>
        </is>
      </c>
      <c r="S471" s="2" t="inlineStr">
        <is>
          <t>Tuesday</t>
        </is>
      </c>
      <c r="T471" s="2" t="inlineStr">
        <is>
          <t>Wednesday</t>
        </is>
      </c>
      <c r="U471" s="2" t="inlineStr">
        <is>
          <t>Thursday</t>
        </is>
      </c>
      <c r="V471" s="2" t="inlineStr">
        <is>
          <t>Friday</t>
        </is>
      </c>
      <c r="W471" s="2" t="inlineStr">
        <is>
          <t>Saturday</t>
        </is>
      </c>
      <c r="X471" s="2" t="inlineStr">
        <is>
          <t>Sunday</t>
        </is>
      </c>
      <c r="Y471" s="2" t="inlineStr">
        <is>
          <t>Monday</t>
        </is>
      </c>
      <c r="Z471" s="2" t="inlineStr">
        <is>
          <t>Tuesday</t>
        </is>
      </c>
      <c r="AA471" s="2" t="inlineStr">
        <is>
          <t>Wednesday</t>
        </is>
      </c>
      <c r="AB471" s="2" t="inlineStr">
        <is>
          <t>Thursday</t>
        </is>
      </c>
      <c r="AC471" s="2" t="inlineStr">
        <is>
          <t>Friday</t>
        </is>
      </c>
      <c r="AD471" s="2" t="n"/>
      <c r="AE471" s="2" t="n"/>
      <c r="AF471" s="9" t="n"/>
      <c r="AG471" s="2" t="inlineStr">
        <is>
          <t>Total</t>
        </is>
      </c>
    </row>
    <row r="472" ht="15.75" customHeight="1">
      <c r="A472" s="1" t="n"/>
      <c r="B472" s="7" t="inlineStr">
        <is>
          <t>1st</t>
        </is>
      </c>
      <c r="C472" s="7" t="inlineStr">
        <is>
          <t>2nd</t>
        </is>
      </c>
      <c r="D472" s="3" t="inlineStr">
        <is>
          <t>3rd</t>
        </is>
      </c>
      <c r="E472" s="3" t="inlineStr">
        <is>
          <t>4th</t>
        </is>
      </c>
      <c r="F472" s="3" t="inlineStr">
        <is>
          <t>5th</t>
        </is>
      </c>
      <c r="G472" s="3" t="inlineStr">
        <is>
          <t>6th</t>
        </is>
      </c>
      <c r="H472" s="3" t="inlineStr">
        <is>
          <t>7th</t>
        </is>
      </c>
      <c r="I472" s="3" t="inlineStr">
        <is>
          <t>8th</t>
        </is>
      </c>
      <c r="J472" s="3" t="inlineStr">
        <is>
          <t>9th</t>
        </is>
      </c>
      <c r="K472" s="4" t="inlineStr">
        <is>
          <t>10th</t>
        </is>
      </c>
      <c r="L472" s="4" t="inlineStr">
        <is>
          <t>11th</t>
        </is>
      </c>
      <c r="M472" s="4" t="inlineStr">
        <is>
          <t>12th</t>
        </is>
      </c>
      <c r="N472" s="4" t="inlineStr">
        <is>
          <t>13th</t>
        </is>
      </c>
      <c r="O472" s="4" t="inlineStr">
        <is>
          <t>14th</t>
        </is>
      </c>
      <c r="P472" s="4" t="inlineStr">
        <is>
          <t>15th</t>
        </is>
      </c>
      <c r="Q472" s="4" t="inlineStr">
        <is>
          <t>16th</t>
        </is>
      </c>
      <c r="R472" s="5" t="inlineStr">
        <is>
          <t>17th</t>
        </is>
      </c>
      <c r="S472" s="5" t="inlineStr">
        <is>
          <t>18th</t>
        </is>
      </c>
      <c r="T472" s="5" t="inlineStr">
        <is>
          <t>19th</t>
        </is>
      </c>
      <c r="U472" s="5" t="inlineStr">
        <is>
          <t>20th</t>
        </is>
      </c>
      <c r="V472" s="5" t="inlineStr">
        <is>
          <t>21st</t>
        </is>
      </c>
      <c r="W472" s="5" t="inlineStr">
        <is>
          <t>22nd</t>
        </is>
      </c>
      <c r="X472" s="5" t="inlineStr">
        <is>
          <t>23rd</t>
        </is>
      </c>
      <c r="Y472" s="6" t="inlineStr">
        <is>
          <t>24th</t>
        </is>
      </c>
      <c r="Z472" s="6" t="inlineStr">
        <is>
          <t>25th</t>
        </is>
      </c>
      <c r="AA472" s="6" t="inlineStr">
        <is>
          <t>26th</t>
        </is>
      </c>
      <c r="AB472" s="6" t="inlineStr">
        <is>
          <t>27th</t>
        </is>
      </c>
      <c r="AC472" s="6" t="inlineStr">
        <is>
          <t>28th</t>
        </is>
      </c>
      <c r="AD472" s="6" t="n"/>
      <c r="AE472" s="7" t="n"/>
      <c r="AF472" s="9" t="n"/>
      <c r="AG472" s="1" t="n"/>
    </row>
    <row r="473" ht="15.75" customHeight="1">
      <c r="A473" s="8" t="inlineStr">
        <is>
          <t>B-HAM CITY COUNCIL-200790-70489166</t>
        </is>
      </c>
      <c r="T473" s="12">
        <f>5041.28</f>
        <v/>
      </c>
      <c r="Y473" s="12" t="n">
        <v>75502.24000000001</v>
      </c>
      <c r="AG473" s="13">
        <f>SUM(B473:AF473)</f>
        <v/>
      </c>
    </row>
    <row r="474" ht="15.75" customHeight="1">
      <c r="A474" s="8" t="inlineStr">
        <is>
          <t>Buckingham</t>
        </is>
      </c>
      <c r="B474" s="9" t="n"/>
      <c r="C474" s="9" t="n"/>
      <c r="D474" s="9" t="n"/>
      <c r="E474" s="9" t="n"/>
      <c r="F474" s="9" t="n"/>
      <c r="G474" s="9" t="n"/>
      <c r="H474" s="9" t="n"/>
      <c r="I474" s="9" t="n"/>
      <c r="J474" s="9" t="n"/>
      <c r="K474" s="9" t="n"/>
      <c r="L474" s="9" t="n"/>
      <c r="M474" s="9" t="n"/>
      <c r="N474" s="12" t="n">
        <v>4937.64</v>
      </c>
      <c r="O474" s="9" t="n"/>
      <c r="P474" s="9" t="n"/>
      <c r="Q474" s="9" t="n"/>
      <c r="R474" s="9" t="n"/>
      <c r="S474" s="9" t="n"/>
      <c r="T474" s="9" t="n"/>
      <c r="U474" s="9" t="n"/>
      <c r="V474" s="9" t="n"/>
      <c r="W474" s="9" t="n"/>
      <c r="X474" s="31" t="n">
        <v>5134.44</v>
      </c>
      <c r="Y474" s="9" t="n"/>
      <c r="AG474" s="13">
        <f>SUM(B474:AF474)</f>
        <v/>
      </c>
    </row>
    <row r="475" ht="15.75" customHeight="1">
      <c r="A475" s="8" t="inlineStr">
        <is>
          <t>Sandwell respite est</t>
        </is>
      </c>
      <c r="B475" s="9" t="n"/>
      <c r="C475" s="9" t="n"/>
      <c r="D475" s="9" t="n"/>
      <c r="E475" s="9" t="n"/>
      <c r="F475" s="9" t="n"/>
      <c r="G475" s="9" t="n"/>
      <c r="H475" s="9" t="n"/>
      <c r="I475" s="9" t="n"/>
      <c r="J475" s="9" t="n"/>
      <c r="K475" s="9" t="n"/>
      <c r="L475" s="9" t="n"/>
      <c r="M475" s="9" t="n"/>
      <c r="N475" s="9" t="n"/>
      <c r="O475" s="9" t="n"/>
      <c r="P475" s="9" t="n"/>
      <c r="Q475" s="9" t="n"/>
      <c r="R475" s="9" t="n"/>
      <c r="S475" s="9" t="n"/>
      <c r="T475" s="9" t="n"/>
      <c r="U475" s="9" t="n"/>
      <c r="V475" s="9" t="n"/>
      <c r="W475" s="9" t="n"/>
      <c r="X475" s="9" t="n"/>
      <c r="Y475" s="9" t="n"/>
      <c r="AF475" s="9" t="n">
        <v>20000</v>
      </c>
      <c r="AG475" s="13">
        <f>SUM(B475:AF475)</f>
        <v/>
      </c>
    </row>
    <row r="476" ht="15.75" customHeight="1">
      <c r="A476" s="8" t="inlineStr">
        <is>
          <t xml:space="preserve">Wolverhampton respite est </t>
        </is>
      </c>
      <c r="B476" s="9" t="n"/>
      <c r="C476" s="9" t="n"/>
      <c r="D476" s="9" t="n"/>
      <c r="E476" s="9" t="n"/>
      <c r="F476" s="9" t="n"/>
      <c r="G476" s="9" t="n"/>
      <c r="H476" s="9" t="n"/>
      <c r="I476" s="9" t="n"/>
      <c r="J476" s="9" t="n"/>
      <c r="K476" s="9" t="n"/>
      <c r="L476" s="9" t="n"/>
      <c r="M476" s="9" t="n"/>
      <c r="N476" s="9" t="n"/>
      <c r="O476" s="9" t="n"/>
      <c r="P476" s="9" t="n"/>
      <c r="Q476" s="9" t="n"/>
      <c r="R476" s="9" t="n"/>
      <c r="S476" s="9" t="n"/>
      <c r="T476" s="9" t="n"/>
      <c r="U476" s="9" t="n"/>
      <c r="V476" s="9" t="n"/>
      <c r="W476" s="9" t="n"/>
      <c r="X476" s="9" t="n"/>
      <c r="Y476" s="9" t="n"/>
      <c r="AF476" s="9" t="n">
        <v>30000</v>
      </c>
      <c r="AG476" s="13">
        <f>SUM(B476:AF476)</f>
        <v/>
      </c>
    </row>
    <row r="477" ht="15.75" customHeight="1">
      <c r="A477" s="8" t="inlineStr">
        <is>
          <t>Walsall Respite</t>
        </is>
      </c>
      <c r="B477" s="9" t="n"/>
      <c r="D477" s="9" t="n"/>
      <c r="E477" s="9" t="n"/>
      <c r="F477" s="9" t="n"/>
      <c r="G477" s="9" t="n"/>
      <c r="H477" s="9" t="n"/>
      <c r="I477" s="9" t="n"/>
      <c r="J477" s="9" t="n"/>
      <c r="K477" s="9" t="n"/>
      <c r="L477" s="9" t="n"/>
      <c r="M477" s="9" t="n"/>
      <c r="N477" s="9" t="n"/>
      <c r="O477" s="9" t="n"/>
      <c r="P477" s="9" t="n"/>
      <c r="Q477" s="9" t="n"/>
      <c r="R477" s="9" t="n"/>
      <c r="S477" s="9" t="n"/>
      <c r="T477" s="9" t="n"/>
      <c r="U477" s="9" t="n"/>
      <c r="V477" s="9" t="n"/>
      <c r="W477" s="9" t="n"/>
      <c r="X477" s="9" t="n"/>
      <c r="Y477" s="9" t="n"/>
      <c r="AF477" s="9" t="n">
        <v>15000</v>
      </c>
      <c r="AG477" s="13">
        <f>SUM(B477:AF477)</f>
        <v/>
      </c>
    </row>
    <row r="478" ht="18.75" customHeight="1">
      <c r="A478" s="8" t="inlineStr">
        <is>
          <t>Ideal for All Ltd</t>
        </is>
      </c>
      <c r="C478" s="9" t="n"/>
      <c r="E478" s="11" t="n">
        <v>3661.88</v>
      </c>
      <c r="F478" s="9" t="n"/>
      <c r="G478" s="9" t="n"/>
      <c r="H478" s="12" t="n">
        <v>2536.8</v>
      </c>
      <c r="M478" s="9" t="n"/>
      <c r="N478" s="9" t="n"/>
      <c r="O478" s="9" t="n"/>
      <c r="P478" t="n">
        <v>3344</v>
      </c>
      <c r="Q478" s="9" t="n"/>
      <c r="R478" s="9" t="n"/>
      <c r="S478" s="9" t="n"/>
      <c r="T478" s="9" t="n"/>
      <c r="U478" s="9" t="n"/>
      <c r="V478" s="9" t="n"/>
      <c r="W478" s="9" t="n"/>
      <c r="X478" s="9" t="n"/>
      <c r="Y478" s="9" t="n"/>
      <c r="AG478" s="13">
        <f>SUM(B478:AF478)</f>
        <v/>
      </c>
    </row>
    <row r="479" ht="15.75" customHeight="1">
      <c r="A479" s="8" t="inlineStr">
        <is>
          <t>KIRKLEES COUNCIL-204312-63046958</t>
        </is>
      </c>
      <c r="C479" s="9" t="n"/>
      <c r="D479" s="9" t="n"/>
      <c r="E479" s="12" t="n"/>
      <c r="F479" s="9" t="n"/>
      <c r="G479" s="12" t="n"/>
      <c r="H479" s="9" t="n"/>
      <c r="I479" s="9" t="n"/>
      <c r="J479" s="9" t="n"/>
      <c r="K479" s="9" t="n"/>
      <c r="M479" s="12" t="n">
        <v>5554.89</v>
      </c>
      <c r="O479" s="9" t="n"/>
      <c r="P479" s="12" t="n"/>
      <c r="Q479" s="9" t="n"/>
      <c r="R479" s="9" t="n"/>
      <c r="S479" s="9" t="n"/>
      <c r="T479" s="9" t="n"/>
      <c r="U479" s="9" t="n"/>
      <c r="V479" s="9" t="n"/>
      <c r="W479" s="9" t="n"/>
      <c r="X479" s="9" t="n"/>
      <c r="Y479" s="9" t="n"/>
      <c r="AG479" s="13">
        <f>SUM(B479:AF479)</f>
        <v/>
      </c>
    </row>
    <row r="480" ht="15.75" customHeight="1">
      <c r="A480" s="8" t="inlineStr">
        <is>
          <t>LBH PAYMENTS BACS-602210-72430192</t>
        </is>
      </c>
      <c r="C480" s="9" t="n"/>
      <c r="D480" s="9" t="n"/>
      <c r="E480" s="9" t="n"/>
      <c r="F480" s="9" t="n"/>
      <c r="G480" s="9" t="n"/>
      <c r="H480" s="12" t="n"/>
      <c r="I480" s="9" t="n"/>
      <c r="J480" s="9" t="n"/>
      <c r="K480" s="9" t="n"/>
      <c r="L480" s="9" t="n">
        <v>5040</v>
      </c>
      <c r="M480" s="9" t="n"/>
      <c r="N480" s="9" t="n"/>
      <c r="O480" s="9" t="n"/>
      <c r="P480" s="12" t="n"/>
      <c r="Q480" s="9" t="n"/>
      <c r="R480" s="9" t="n"/>
      <c r="S480" s="9" t="n"/>
      <c r="T480" s="9" t="n"/>
      <c r="U480" s="9" t="n"/>
      <c r="V480" s="9" t="n"/>
      <c r="W480" s="9" t="n"/>
      <c r="X480" s="9" t="n"/>
      <c r="Y480" s="9" t="n"/>
      <c r="AG480" s="13">
        <f>SUM(B480:AF480)</f>
        <v/>
      </c>
    </row>
    <row r="481" ht="15.75" customHeight="1">
      <c r="A481" s="8" t="inlineStr">
        <is>
          <t>NHS BIRMINGHAM &amp; S-607080-10017097</t>
        </is>
      </c>
      <c r="C481" s="12" t="n"/>
      <c r="D481" s="12" t="n"/>
      <c r="E481" s="12" t="n"/>
      <c r="F481" s="9" t="inlineStr"/>
      <c r="G481" s="9" t="n"/>
      <c r="H481" s="9" t="n"/>
      <c r="I481" s="9" t="n"/>
      <c r="J481" s="9" t="n"/>
      <c r="K481" s="9" t="n"/>
      <c r="L481" s="9" t="n"/>
      <c r="M481" s="9" t="n"/>
      <c r="N481" s="9" t="n"/>
      <c r="O481" s="9" t="n"/>
      <c r="P481" s="31" t="n">
        <v>7121.63</v>
      </c>
      <c r="Q481" s="9" t="n"/>
      <c r="R481" s="9" t="n"/>
      <c r="S481" s="9" t="n"/>
      <c r="T481" s="9" t="n"/>
      <c r="U481" s="9" t="n"/>
      <c r="V481" s="9" t="n"/>
      <c r="W481" s="9" t="n"/>
      <c r="X481" s="9" t="n"/>
      <c r="Y481" s="9" t="n"/>
      <c r="AG481" s="13">
        <f>SUM(B481:AF481)</f>
        <v/>
      </c>
    </row>
    <row r="482" ht="15.75" customHeight="1">
      <c r="A482" s="8" t="inlineStr">
        <is>
          <t>NHS BLACK COUNTRY-607080-10015272</t>
        </is>
      </c>
      <c r="B482" s="12" t="n"/>
      <c r="C482" s="12" t="n"/>
      <c r="D482" s="12" t="n"/>
      <c r="E482" s="9" t="inlineStr"/>
      <c r="F482" s="9" t="n"/>
      <c r="G482" s="9" t="n"/>
      <c r="H482" s="9" t="n"/>
      <c r="J482" s="31" t="n"/>
      <c r="K482" t="n">
        <v>13185.64</v>
      </c>
      <c r="L482" s="26" t="n"/>
      <c r="M482" s="26" t="n"/>
      <c r="N482" s="26" t="n"/>
      <c r="O482" s="31" t="n"/>
      <c r="P482" s="26" t="n"/>
      <c r="Q482" s="26" t="n"/>
      <c r="R482" s="26" t="n"/>
      <c r="S482" s="26" t="n"/>
      <c r="T482" s="9" t="n"/>
      <c r="U482" s="26" t="n"/>
      <c r="V482" s="26" t="n"/>
      <c r="X482" s="9" t="n"/>
      <c r="Y482" s="31" t="n"/>
      <c r="Z482" s="31" t="n">
        <v>8073.21</v>
      </c>
      <c r="AG482" s="13">
        <f>SUM(B482:AF482)</f>
        <v/>
      </c>
    </row>
    <row r="483" ht="15.75" customHeight="1">
      <c r="A483" s="14" t="inlineStr">
        <is>
          <t>SANDWELL MBC  BEN-601539-69624151</t>
        </is>
      </c>
      <c r="B483" s="26" t="inlineStr"/>
      <c r="D483" s="9" t="inlineStr"/>
      <c r="E483" s="9" t="inlineStr"/>
      <c r="F483" t="inlineStr">
        <is>
          <t>.</t>
        </is>
      </c>
      <c r="G483" s="12" t="n"/>
      <c r="H483" s="9" t="n"/>
      <c r="I483" s="9" t="n"/>
      <c r="J483" s="9" t="n"/>
      <c r="K483" s="9" t="n"/>
      <c r="M483" s="31" t="n"/>
      <c r="N483" s="26" t="n"/>
      <c r="O483" s="26" t="n"/>
      <c r="P483" s="26" t="n"/>
      <c r="Q483" s="26" t="n"/>
      <c r="R483" s="31" t="n"/>
      <c r="S483" s="26" t="n"/>
      <c r="T483" s="26" t="n"/>
      <c r="U483" s="26" t="n"/>
      <c r="X483" s="26" t="n"/>
      <c r="Y483" s="26" t="n"/>
      <c r="Z483" s="12" t="n">
        <v>3000</v>
      </c>
      <c r="AG483" s="13">
        <f>SUM(B483:AF483)</f>
        <v/>
      </c>
    </row>
    <row r="484" ht="15.75" customHeight="1">
      <c r="A484" s="14" t="inlineStr">
        <is>
          <t>SANDWELL MBC-601539-69624135</t>
        </is>
      </c>
      <c r="E484" t="n">
        <v>120000</v>
      </c>
      <c r="S484" t="n">
        <v>120000</v>
      </c>
      <c r="AG484" s="13">
        <f>SUM(B484:AF484)</f>
        <v/>
      </c>
    </row>
    <row r="485" ht="15.75" customHeight="1">
      <c r="A485" s="15" t="inlineStr">
        <is>
          <t>SOLIHULL MBC EXP.-200771-00561525</t>
        </is>
      </c>
      <c r="AA485" t="n">
        <v>32000</v>
      </c>
      <c r="AG485" s="13">
        <f>SUM(B485:AF485)</f>
        <v/>
      </c>
    </row>
    <row r="486" ht="15.75" customHeight="1">
      <c r="A486" s="15" t="inlineStr">
        <is>
          <t>WALSALL MBC BARC-209073-10731692</t>
        </is>
      </c>
      <c r="L486" s="9" t="n">
        <v>187000</v>
      </c>
      <c r="AG486" s="13">
        <f>SUM(B486:AF486)</f>
        <v/>
      </c>
    </row>
    <row r="487" ht="15.75" customHeight="1">
      <c r="A487" s="15" t="inlineStr">
        <is>
          <t>WOLVERHAMPTON CC-560069-44470320</t>
        </is>
      </c>
      <c r="G487" s="9" t="n">
        <v>112000</v>
      </c>
      <c r="N487" s="9" t="n">
        <v>112000</v>
      </c>
      <c r="U487" s="9" t="n">
        <v>112000</v>
      </c>
      <c r="AB487" s="9" t="n">
        <v>112000</v>
      </c>
      <c r="AG487" s="13">
        <f>SUM(B487:AF487)</f>
        <v/>
      </c>
    </row>
    <row r="488" ht="15.75" customHeight="1">
      <c r="A488" s="15" t="inlineStr">
        <is>
          <t>Portsmouth</t>
        </is>
      </c>
      <c r="T488" s="9" t="n">
        <v>5247.86</v>
      </c>
      <c r="AG488" s="13">
        <f>SUM(B488:AF488)</f>
        <v/>
      </c>
    </row>
    <row r="489" ht="15.75" customHeight="1">
      <c r="A489" s="15" t="inlineStr">
        <is>
          <t>HB SC</t>
        </is>
      </c>
      <c r="B489" s="16" t="n">
        <v>3800</v>
      </c>
      <c r="C489" s="16" t="n">
        <v>3800</v>
      </c>
      <c r="D489" s="16" t="n">
        <v>3800</v>
      </c>
      <c r="E489" s="16" t="n">
        <v>3800</v>
      </c>
      <c r="F489" s="16" t="n">
        <v>3800</v>
      </c>
      <c r="G489" s="16" t="n">
        <v>3800</v>
      </c>
      <c r="H489" s="16" t="n">
        <v>3800</v>
      </c>
      <c r="I489" s="16" t="n">
        <v>3800</v>
      </c>
      <c r="J489" s="16" t="n">
        <v>3800</v>
      </c>
      <c r="K489" s="16" t="n">
        <v>3800</v>
      </c>
      <c r="L489" s="16" t="n">
        <v>3800</v>
      </c>
      <c r="M489" s="16" t="n">
        <v>3800</v>
      </c>
      <c r="N489" s="16" t="n">
        <v>3800</v>
      </c>
      <c r="O489" s="16" t="n">
        <v>3800</v>
      </c>
      <c r="P489" s="16" t="n">
        <v>3800</v>
      </c>
      <c r="Q489" s="16" t="n">
        <v>3800</v>
      </c>
      <c r="R489" s="16" t="n">
        <v>3800</v>
      </c>
      <c r="S489" s="16" t="n">
        <v>3800</v>
      </c>
      <c r="T489" s="16" t="n">
        <v>3800</v>
      </c>
      <c r="U489" s="16" t="n">
        <v>3800</v>
      </c>
      <c r="V489" s="16" t="n">
        <v>3800</v>
      </c>
      <c r="W489" s="16" t="n">
        <v>3800</v>
      </c>
      <c r="X489" s="16" t="n">
        <v>3800</v>
      </c>
      <c r="Y489" s="16" t="n">
        <v>3800</v>
      </c>
      <c r="Z489" s="16" t="n">
        <v>3800</v>
      </c>
      <c r="AA489" s="16" t="n">
        <v>3800</v>
      </c>
      <c r="AB489" s="16" t="n">
        <v>3800</v>
      </c>
      <c r="AC489" s="16" t="n">
        <v>3800</v>
      </c>
      <c r="AD489" s="16" t="n">
        <v>3800</v>
      </c>
      <c r="AE489" s="16" t="n">
        <v>3800</v>
      </c>
      <c r="AF489" s="16" t="n"/>
      <c r="AG489" s="13">
        <f>SUM(B489:AF489)</f>
        <v/>
      </c>
    </row>
    <row r="490" ht="16.5" customHeight="1" thickBot="1">
      <c r="A490" s="15" t="inlineStr">
        <is>
          <t>Total</t>
        </is>
      </c>
      <c r="B490">
        <f>SUM(B473:B489)</f>
        <v/>
      </c>
      <c r="C490">
        <f>SUM(C473:C489)</f>
        <v/>
      </c>
      <c r="D490">
        <f>SUM(D473:D489)</f>
        <v/>
      </c>
      <c r="E490">
        <f>SUM(E473:E489)</f>
        <v/>
      </c>
      <c r="F490">
        <f>SUM(F473:F489)</f>
        <v/>
      </c>
      <c r="G490">
        <f>SUM(G473:G489)</f>
        <v/>
      </c>
      <c r="H490">
        <f>SUM(H473:H489)</f>
        <v/>
      </c>
      <c r="I490">
        <f>SUM(I473:I489)</f>
        <v/>
      </c>
      <c r="J490">
        <f>SUM(J473:J489)</f>
        <v/>
      </c>
      <c r="K490">
        <f>SUM(K473:K489)</f>
        <v/>
      </c>
      <c r="L490">
        <f>SUM(L473:L489)</f>
        <v/>
      </c>
      <c r="M490">
        <f>SUM(M473:M489)</f>
        <v/>
      </c>
      <c r="N490">
        <f>SUM(N473:N489)</f>
        <v/>
      </c>
      <c r="O490">
        <f>SUM(O473:O489)</f>
        <v/>
      </c>
      <c r="P490">
        <f>SUM(P473:P489)</f>
        <v/>
      </c>
      <c r="Q490">
        <f>SUM(Q473:Q489)</f>
        <v/>
      </c>
      <c r="R490">
        <f>SUM(R473:R489)</f>
        <v/>
      </c>
      <c r="S490">
        <f>SUM(S473:S489)</f>
        <v/>
      </c>
      <c r="T490">
        <f>SUM(T473:T489)</f>
        <v/>
      </c>
      <c r="U490">
        <f>SUM(U473:U489)</f>
        <v/>
      </c>
      <c r="V490">
        <f>SUM(V473:V489)</f>
        <v/>
      </c>
      <c r="W490">
        <f>SUM(W473:W489)</f>
        <v/>
      </c>
      <c r="X490">
        <f>SUM(X473:X489)</f>
        <v/>
      </c>
      <c r="Y490">
        <f>SUM(Y473:Y489)</f>
        <v/>
      </c>
      <c r="Z490">
        <f>SUM(Z473:Z489)</f>
        <v/>
      </c>
      <c r="AA490">
        <f>SUM(AA473:AA489)</f>
        <v/>
      </c>
      <c r="AB490">
        <f>SUM(AB473:AB489)</f>
        <v/>
      </c>
      <c r="AC490">
        <f>SUM(AC473:AC489)</f>
        <v/>
      </c>
      <c r="AD490">
        <f>SUM(AD473:AD489)</f>
        <v/>
      </c>
      <c r="AE490">
        <f>SUM(AE473:AE489)</f>
        <v/>
      </c>
      <c r="AG490" s="252">
        <f>SUM(AG473:AG489)</f>
        <v/>
      </c>
    </row>
    <row r="491" ht="15.75" customHeight="1" thickTop="1">
      <c r="A491" s="15" t="inlineStr">
        <is>
          <t>Ruunning Total</t>
        </is>
      </c>
      <c r="B491">
        <f>B490</f>
        <v/>
      </c>
      <c r="C491">
        <f>B491+C490</f>
        <v/>
      </c>
      <c r="D491">
        <f>C491+D490</f>
        <v/>
      </c>
      <c r="E491">
        <f>D491+E490</f>
        <v/>
      </c>
      <c r="F491">
        <f>E491+F490</f>
        <v/>
      </c>
      <c r="G491">
        <f>F491+G490</f>
        <v/>
      </c>
      <c r="H491">
        <f>G491+H490</f>
        <v/>
      </c>
      <c r="I491">
        <f>H491+I490</f>
        <v/>
      </c>
      <c r="J491">
        <f>I491+J490</f>
        <v/>
      </c>
      <c r="K491">
        <f>J491+K490</f>
        <v/>
      </c>
      <c r="L491">
        <f>K491+L490</f>
        <v/>
      </c>
      <c r="M491">
        <f>L491+M490</f>
        <v/>
      </c>
      <c r="N491">
        <f>M491+N490</f>
        <v/>
      </c>
      <c r="O491">
        <f>N491+O490</f>
        <v/>
      </c>
      <c r="P491">
        <f>O491+P490</f>
        <v/>
      </c>
      <c r="Q491">
        <f>P491+Q490</f>
        <v/>
      </c>
      <c r="R491">
        <f>Q491+R490</f>
        <v/>
      </c>
      <c r="S491">
        <f>R491+S490</f>
        <v/>
      </c>
      <c r="T491">
        <f>S491+T490</f>
        <v/>
      </c>
      <c r="U491">
        <f>T491+U490</f>
        <v/>
      </c>
      <c r="V491">
        <f>U491+V490</f>
        <v/>
      </c>
      <c r="W491">
        <f>V491+W490</f>
        <v/>
      </c>
      <c r="X491">
        <f>W491+X490</f>
        <v/>
      </c>
      <c r="Y491">
        <f>X491+Y490</f>
        <v/>
      </c>
      <c r="Z491">
        <f>Y491+Z490</f>
        <v/>
      </c>
      <c r="AA491">
        <f>Z491+AA490</f>
        <v/>
      </c>
      <c r="AB491">
        <f>AA491+AB490</f>
        <v/>
      </c>
      <c r="AC491">
        <f>AB491+AC490</f>
        <v/>
      </c>
      <c r="AD491">
        <f>AC491+AD490</f>
        <v/>
      </c>
      <c r="AE491">
        <f>AD491+AE490</f>
        <v/>
      </c>
    </row>
    <row r="494">
      <c r="A494" s="1" t="n"/>
      <c r="B494" s="2" t="inlineStr">
        <is>
          <t>March</t>
        </is>
      </c>
      <c r="C494" s="2" t="n"/>
      <c r="D494" s="2" t="n"/>
      <c r="E494" s="2" t="n"/>
      <c r="F494" s="2" t="n"/>
      <c r="G494" s="2" t="n"/>
      <c r="H494" s="2" t="n"/>
      <c r="I494" s="2" t="n"/>
      <c r="J494" s="2" t="n"/>
      <c r="K494" s="2" t="n"/>
      <c r="L494" s="2" t="n"/>
      <c r="M494" s="2" t="n"/>
      <c r="N494" s="2" t="n"/>
      <c r="O494" s="2" t="n"/>
      <c r="P494" s="2" t="n"/>
      <c r="Q494" s="2" t="n"/>
      <c r="R494" s="2" t="n"/>
      <c r="S494" s="2" t="n"/>
      <c r="T494" s="2" t="n"/>
      <c r="U494" s="2" t="n"/>
      <c r="V494" s="2" t="n"/>
      <c r="W494" s="2" t="n"/>
      <c r="X494" s="2" t="n"/>
      <c r="Y494" s="2" t="n"/>
      <c r="Z494" s="2" t="n"/>
      <c r="AA494" s="2" t="n"/>
      <c r="AB494" s="2" t="n"/>
      <c r="AC494" s="2" t="n"/>
      <c r="AD494" s="2" t="n"/>
      <c r="AE494" s="1" t="n"/>
      <c r="AF494" s="1" t="n"/>
      <c r="AG494" s="1" t="n"/>
    </row>
    <row r="495">
      <c r="A495" s="1" t="n"/>
      <c r="B495" s="2" t="inlineStr">
        <is>
          <t>Saturday</t>
        </is>
      </c>
      <c r="C495" s="2" t="inlineStr">
        <is>
          <t>Sunday</t>
        </is>
      </c>
      <c r="D495" s="2" t="inlineStr">
        <is>
          <t>Monday</t>
        </is>
      </c>
      <c r="E495" s="2" t="inlineStr">
        <is>
          <t>Tuesday</t>
        </is>
      </c>
      <c r="F495" s="2" t="inlineStr">
        <is>
          <t>Wednesday</t>
        </is>
      </c>
      <c r="G495" s="2" t="inlineStr">
        <is>
          <t>Thursday</t>
        </is>
      </c>
      <c r="H495" s="2" t="inlineStr">
        <is>
          <t>Friday</t>
        </is>
      </c>
      <c r="I495" s="2" t="inlineStr">
        <is>
          <t>Saturday</t>
        </is>
      </c>
      <c r="J495" s="2" t="inlineStr">
        <is>
          <t>Sunday</t>
        </is>
      </c>
      <c r="K495" s="2" t="inlineStr">
        <is>
          <t>Monday</t>
        </is>
      </c>
      <c r="L495" s="2" t="inlineStr">
        <is>
          <t>Tuesday</t>
        </is>
      </c>
      <c r="M495" s="2" t="inlineStr">
        <is>
          <t>Wednesday</t>
        </is>
      </c>
      <c r="N495" s="2" t="inlineStr">
        <is>
          <t>Thursday</t>
        </is>
      </c>
      <c r="O495" s="2" t="inlineStr">
        <is>
          <t>Friday</t>
        </is>
      </c>
      <c r="P495" s="2" t="inlineStr">
        <is>
          <t>Saturday</t>
        </is>
      </c>
      <c r="Q495" s="2" t="inlineStr">
        <is>
          <t>Sunday</t>
        </is>
      </c>
      <c r="R495" s="2" t="inlineStr">
        <is>
          <t>Monday</t>
        </is>
      </c>
      <c r="S495" s="2" t="inlineStr">
        <is>
          <t>Tuesday</t>
        </is>
      </c>
      <c r="T495" s="2" t="inlineStr">
        <is>
          <t>Wednesday</t>
        </is>
      </c>
      <c r="U495" s="2" t="inlineStr">
        <is>
          <t>Thursday</t>
        </is>
      </c>
      <c r="V495" s="2" t="inlineStr">
        <is>
          <t>Friday</t>
        </is>
      </c>
      <c r="W495" s="2" t="inlineStr">
        <is>
          <t>Saturday</t>
        </is>
      </c>
      <c r="X495" s="2" t="inlineStr">
        <is>
          <t>Sunday</t>
        </is>
      </c>
      <c r="Y495" s="2" t="inlineStr">
        <is>
          <t>Monday</t>
        </is>
      </c>
      <c r="Z495" s="2" t="inlineStr">
        <is>
          <t>Tuesday</t>
        </is>
      </c>
      <c r="AA495" s="2" t="inlineStr">
        <is>
          <t>Wednesday</t>
        </is>
      </c>
      <c r="AB495" s="2" t="inlineStr">
        <is>
          <t>Thursday</t>
        </is>
      </c>
      <c r="AC495" s="2" t="inlineStr">
        <is>
          <t>Friday</t>
        </is>
      </c>
      <c r="AD495" s="2" t="inlineStr">
        <is>
          <t>Saturday</t>
        </is>
      </c>
      <c r="AE495" s="2" t="inlineStr">
        <is>
          <t>Sunday</t>
        </is>
      </c>
      <c r="AF495" s="2" t="inlineStr">
        <is>
          <t>Monday</t>
        </is>
      </c>
      <c r="AG495" s="2" t="inlineStr">
        <is>
          <t>Total</t>
        </is>
      </c>
    </row>
    <row r="496">
      <c r="A496" s="1" t="n"/>
      <c r="B496" s="87" t="inlineStr">
        <is>
          <t>1st</t>
        </is>
      </c>
      <c r="C496" s="87" t="inlineStr">
        <is>
          <t>2nd</t>
        </is>
      </c>
      <c r="D496" s="3" t="inlineStr">
        <is>
          <t>3rd</t>
        </is>
      </c>
      <c r="E496" s="3" t="inlineStr">
        <is>
          <t>4th</t>
        </is>
      </c>
      <c r="F496" s="3" t="inlineStr">
        <is>
          <t>5th</t>
        </is>
      </c>
      <c r="G496" s="3" t="inlineStr">
        <is>
          <t>6th</t>
        </is>
      </c>
      <c r="H496" s="3" t="inlineStr">
        <is>
          <t>7th</t>
        </is>
      </c>
      <c r="I496" s="3" t="inlineStr">
        <is>
          <t>8th</t>
        </is>
      </c>
      <c r="J496" s="3" t="inlineStr">
        <is>
          <t>9th</t>
        </is>
      </c>
      <c r="K496" s="4" t="inlineStr">
        <is>
          <t>10th</t>
        </is>
      </c>
      <c r="L496" s="4" t="inlineStr">
        <is>
          <t>11th</t>
        </is>
      </c>
      <c r="M496" s="4" t="inlineStr">
        <is>
          <t>12th</t>
        </is>
      </c>
      <c r="N496" s="4" t="inlineStr">
        <is>
          <t>13th</t>
        </is>
      </c>
      <c r="O496" s="4" t="inlineStr">
        <is>
          <t>14th</t>
        </is>
      </c>
      <c r="P496" s="4" t="inlineStr">
        <is>
          <t>15th</t>
        </is>
      </c>
      <c r="Q496" s="4" t="inlineStr">
        <is>
          <t>16th</t>
        </is>
      </c>
      <c r="R496" s="5" t="inlineStr">
        <is>
          <t>17th</t>
        </is>
      </c>
      <c r="S496" s="5" t="inlineStr">
        <is>
          <t>18th</t>
        </is>
      </c>
      <c r="T496" s="5" t="inlineStr">
        <is>
          <t>19th</t>
        </is>
      </c>
      <c r="U496" s="5" t="inlineStr">
        <is>
          <t>20th</t>
        </is>
      </c>
      <c r="V496" s="5" t="inlineStr">
        <is>
          <t>21st</t>
        </is>
      </c>
      <c r="W496" s="5" t="inlineStr">
        <is>
          <t>22nd</t>
        </is>
      </c>
      <c r="X496" s="5" t="inlineStr">
        <is>
          <t>23rd</t>
        </is>
      </c>
      <c r="Y496" s="6" t="inlineStr">
        <is>
          <t>24th</t>
        </is>
      </c>
      <c r="Z496" s="6" t="inlineStr">
        <is>
          <t>25th</t>
        </is>
      </c>
      <c r="AA496" s="6" t="inlineStr">
        <is>
          <t>26th</t>
        </is>
      </c>
      <c r="AB496" s="6" t="inlineStr">
        <is>
          <t>27th</t>
        </is>
      </c>
      <c r="AC496" s="6" t="inlineStr">
        <is>
          <t>28th</t>
        </is>
      </c>
      <c r="AD496" s="6" t="inlineStr">
        <is>
          <t>29th</t>
        </is>
      </c>
      <c r="AE496" s="6" t="inlineStr">
        <is>
          <t>30th</t>
        </is>
      </c>
      <c r="AF496" s="7" t="inlineStr">
        <is>
          <t>31st</t>
        </is>
      </c>
      <c r="AG496" s="1" t="n"/>
    </row>
    <row r="497" ht="15.75" customHeight="1">
      <c r="A497" s="8" t="inlineStr">
        <is>
          <t>B-HAM CITY COUNCIL-200790-70489166</t>
        </is>
      </c>
      <c r="S497" s="12">
        <f>5041.28</f>
        <v/>
      </c>
      <c r="Z497" s="12" t="n">
        <v>75502.24000000001</v>
      </c>
      <c r="AG497" s="13">
        <f>SUM(B497:AF497)</f>
        <v/>
      </c>
    </row>
    <row r="498" ht="15.75" customHeight="1">
      <c r="A498" s="8" t="inlineStr">
        <is>
          <t>Buckingham</t>
        </is>
      </c>
      <c r="D498" s="9" t="n"/>
      <c r="E498" s="9" t="n"/>
      <c r="F498" s="9" t="n"/>
      <c r="G498" s="9" t="n"/>
      <c r="H498" s="9" t="n"/>
      <c r="I498" s="9" t="n"/>
      <c r="J498" s="9" t="n"/>
      <c r="K498" s="9" t="n"/>
      <c r="L498" s="9" t="n"/>
      <c r="M498" s="12" t="n">
        <v>4937.64</v>
      </c>
      <c r="N498" s="9" t="n"/>
      <c r="O498" s="9" t="n"/>
      <c r="P498" s="9" t="n"/>
      <c r="Q498" s="9" t="n"/>
      <c r="R498" s="9" t="n"/>
      <c r="S498" s="9" t="n"/>
      <c r="T498" s="9" t="n"/>
      <c r="U498" s="9" t="n"/>
      <c r="V498" s="9" t="n"/>
      <c r="X498" s="9" t="n"/>
      <c r="Y498" s="31" t="n">
        <v>5134.44</v>
      </c>
      <c r="AG498" s="13">
        <f>SUM(B498:AF498)</f>
        <v/>
      </c>
    </row>
    <row r="499" ht="15.75" customHeight="1">
      <c r="A499" s="8" t="inlineStr">
        <is>
          <t>Sandwell respite est</t>
        </is>
      </c>
      <c r="D499" s="9" t="n"/>
      <c r="E499" s="9" t="n"/>
      <c r="F499" s="9" t="n"/>
      <c r="G499" s="9" t="n"/>
      <c r="H499" s="9" t="n"/>
      <c r="I499" s="9" t="n"/>
      <c r="J499" s="9" t="n"/>
      <c r="K499" s="9" t="n"/>
      <c r="L499" s="9" t="n"/>
      <c r="M499" s="9" t="n"/>
      <c r="N499" s="9" t="n"/>
      <c r="O499" s="9" t="n"/>
      <c r="P499" s="9" t="n"/>
      <c r="Q499" s="9" t="n"/>
      <c r="R499" s="9" t="n"/>
      <c r="S499" s="9" t="n"/>
      <c r="T499" s="9" t="n"/>
      <c r="U499" s="9" t="n"/>
      <c r="V499" s="9" t="n"/>
      <c r="W499" s="9" t="n"/>
      <c r="X499" s="9" t="n"/>
      <c r="AF499" s="9" t="n">
        <v>20000</v>
      </c>
      <c r="AG499" s="13">
        <f>SUM(B499:AF499)</f>
        <v/>
      </c>
    </row>
    <row r="500" ht="15.75" customHeight="1">
      <c r="A500" s="8" t="inlineStr">
        <is>
          <t xml:space="preserve">Wolverhampton respite est </t>
        </is>
      </c>
      <c r="D500" s="9" t="n"/>
      <c r="E500" s="9" t="n"/>
      <c r="F500" s="9" t="n"/>
      <c r="G500" s="9" t="n"/>
      <c r="H500" s="9" t="n"/>
      <c r="I500" s="9" t="n"/>
      <c r="J500" s="9" t="n"/>
      <c r="K500" s="9" t="n"/>
      <c r="L500" s="9" t="n"/>
      <c r="M500" s="9" t="n"/>
      <c r="N500" s="9" t="n"/>
      <c r="O500" s="9" t="n"/>
      <c r="P500" s="9" t="n"/>
      <c r="Q500" s="9" t="n"/>
      <c r="R500" s="9" t="n"/>
      <c r="S500" s="9" t="n"/>
      <c r="T500" s="9" t="n"/>
      <c r="U500" s="9" t="n"/>
      <c r="V500" s="9" t="n"/>
      <c r="W500" s="9" t="n"/>
      <c r="X500" s="9" t="n"/>
      <c r="AF500" s="9" t="n">
        <v>30000</v>
      </c>
      <c r="AG500" s="13">
        <f>SUM(B500:AF500)</f>
        <v/>
      </c>
    </row>
    <row r="501" ht="15.75" customHeight="1">
      <c r="A501" s="8" t="inlineStr">
        <is>
          <t>Walsall Respite</t>
        </is>
      </c>
      <c r="D501" s="9" t="n"/>
      <c r="E501" s="9" t="n"/>
      <c r="F501" s="9" t="n"/>
      <c r="G501" s="9" t="n"/>
      <c r="H501" s="9" t="n"/>
      <c r="I501" s="9" t="n"/>
      <c r="J501" s="9" t="n"/>
      <c r="K501" s="9" t="n"/>
      <c r="L501" s="9" t="n"/>
      <c r="M501" s="9" t="n"/>
      <c r="N501" s="9" t="n"/>
      <c r="O501" s="9" t="n"/>
      <c r="P501" s="9" t="n"/>
      <c r="Q501" s="9" t="n"/>
      <c r="R501" s="9" t="n"/>
      <c r="S501" s="9" t="n"/>
      <c r="T501" s="9" t="n"/>
      <c r="U501" s="9" t="n"/>
      <c r="V501" s="9" t="n"/>
      <c r="W501" s="9" t="n"/>
      <c r="X501" s="9" t="n"/>
      <c r="AF501" s="9" t="n">
        <v>15000</v>
      </c>
      <c r="AG501" s="13">
        <f>SUM(B501:AF501)</f>
        <v/>
      </c>
    </row>
    <row r="502" ht="18.75" customHeight="1">
      <c r="A502" s="8" t="inlineStr">
        <is>
          <t>Ideal for All Ltd</t>
        </is>
      </c>
      <c r="D502" s="11" t="n">
        <v>3661.88</v>
      </c>
      <c r="E502" s="9" t="n"/>
      <c r="F502" s="9" t="n"/>
      <c r="G502" s="12" t="n">
        <v>2536.8</v>
      </c>
      <c r="L502" s="9" t="n"/>
      <c r="M502" s="9" t="n"/>
      <c r="N502" s="9" t="n"/>
      <c r="O502" t="n">
        <v>3344</v>
      </c>
      <c r="P502" s="9" t="n"/>
      <c r="Q502" s="9" t="n"/>
      <c r="R502" s="9" t="n"/>
      <c r="S502" s="9" t="n"/>
      <c r="T502" s="9" t="n"/>
      <c r="U502" s="9" t="n"/>
      <c r="V502" s="9" t="n"/>
      <c r="W502" s="9" t="n"/>
      <c r="X502" s="9" t="n"/>
      <c r="AG502" s="13">
        <f>SUM(B502:AF502)</f>
        <v/>
      </c>
    </row>
    <row r="503" ht="15.75" customHeight="1">
      <c r="A503" s="8" t="inlineStr">
        <is>
          <t>KIRKLEES COUNCIL-204312-63046958</t>
        </is>
      </c>
      <c r="D503" s="12" t="n"/>
      <c r="E503" s="9" t="n"/>
      <c r="F503" s="12" t="n"/>
      <c r="G503" s="9" t="n"/>
      <c r="H503" s="9" t="n"/>
      <c r="I503" s="9" t="n"/>
      <c r="J503" s="9" t="n"/>
      <c r="L503" s="12" t="n">
        <v>5554.89</v>
      </c>
      <c r="N503" s="9" t="n"/>
      <c r="O503" s="12" t="n"/>
      <c r="P503" s="9" t="n"/>
      <c r="Q503" s="9" t="n"/>
      <c r="R503" s="9" t="n"/>
      <c r="S503" s="9" t="n"/>
      <c r="T503" s="9" t="n"/>
      <c r="U503" s="9" t="n"/>
      <c r="V503" s="9" t="n"/>
      <c r="W503" s="9" t="n"/>
      <c r="X503" s="9" t="n"/>
      <c r="AG503" s="13">
        <f>SUM(B503:AF503)</f>
        <v/>
      </c>
    </row>
    <row r="504" ht="15.75" customHeight="1">
      <c r="A504" s="8" t="inlineStr">
        <is>
          <t>LBH PAYMENTS BACS-602210-72430192</t>
        </is>
      </c>
      <c r="D504" s="9" t="n"/>
      <c r="E504" s="9" t="n"/>
      <c r="F504" s="9" t="n"/>
      <c r="G504" s="12" t="n"/>
      <c r="H504" s="9" t="n"/>
      <c r="I504" s="9" t="n"/>
      <c r="J504" s="9" t="n"/>
      <c r="K504" s="9" t="n">
        <v>5040</v>
      </c>
      <c r="L504" s="9" t="n"/>
      <c r="M504" s="9" t="n"/>
      <c r="N504" s="9" t="n"/>
      <c r="O504" s="12" t="n"/>
      <c r="P504" s="9" t="n"/>
      <c r="Q504" s="9" t="n"/>
      <c r="R504" s="9" t="n"/>
      <c r="S504" s="9" t="n"/>
      <c r="T504" s="9" t="n"/>
      <c r="U504" s="9" t="n"/>
      <c r="V504" s="9" t="n"/>
      <c r="W504" s="9" t="n"/>
      <c r="X504" s="9" t="n"/>
      <c r="AG504" s="13">
        <f>SUM(B504:AF504)</f>
        <v/>
      </c>
    </row>
    <row r="505" ht="15.75" customHeight="1">
      <c r="A505" s="8" t="inlineStr">
        <is>
          <t>NHS BIRMINGHAM &amp; S-607080-10017097</t>
        </is>
      </c>
      <c r="D505" s="12" t="n"/>
      <c r="E505" s="9" t="inlineStr"/>
      <c r="F505" s="9" t="n"/>
      <c r="G505" s="9" t="n"/>
      <c r="H505" s="9" t="n"/>
      <c r="I505" s="9" t="n"/>
      <c r="J505" s="9" t="n"/>
      <c r="K505" s="9" t="n"/>
      <c r="L505" s="9" t="n"/>
      <c r="M505" s="9" t="n"/>
      <c r="N505" s="9" t="n"/>
      <c r="O505" s="31" t="n">
        <v>7121.63</v>
      </c>
      <c r="P505" s="9" t="n"/>
      <c r="Q505" s="9" t="n"/>
      <c r="R505" s="9" t="n"/>
      <c r="S505" s="9" t="n"/>
      <c r="T505" s="9" t="n"/>
      <c r="U505" s="9" t="n"/>
      <c r="V505" s="9" t="n"/>
      <c r="W505" s="9" t="n"/>
      <c r="X505" s="9" t="n"/>
      <c r="AG505" s="13">
        <f>SUM(B505:AF505)</f>
        <v/>
      </c>
    </row>
    <row r="506" ht="15.75" customHeight="1">
      <c r="A506" s="8" t="inlineStr">
        <is>
          <t>NHS BLACK COUNTRY-607080-10015272</t>
        </is>
      </c>
      <c r="D506" s="9" t="inlineStr"/>
      <c r="E506" s="9" t="n"/>
      <c r="F506" s="9" t="n"/>
      <c r="G506" s="9" t="n"/>
      <c r="I506" s="31" t="n"/>
      <c r="J506" t="n">
        <v>13185.64</v>
      </c>
      <c r="K506" s="26" t="n"/>
      <c r="L506" s="26" t="n"/>
      <c r="M506" s="26" t="n"/>
      <c r="N506" s="31" t="n"/>
      <c r="O506" s="26" t="n"/>
      <c r="P506" s="26" t="n"/>
      <c r="Q506" s="26" t="n"/>
      <c r="R506" s="26" t="n"/>
      <c r="S506" s="9" t="n"/>
      <c r="T506" s="26" t="n"/>
      <c r="U506" s="26" t="n"/>
      <c r="V506" s="31" t="n">
        <v>8073.21</v>
      </c>
      <c r="W506" s="9" t="n"/>
      <c r="X506" s="31" t="n"/>
      <c r="AG506" s="13">
        <f>SUM(B506:AF506)</f>
        <v/>
      </c>
    </row>
    <row r="507" ht="15.75" customHeight="1">
      <c r="A507" s="14" t="inlineStr">
        <is>
          <t>SANDWELL MBC  BEN-601539-69624151</t>
        </is>
      </c>
      <c r="D507" s="9" t="inlineStr"/>
      <c r="E507" t="inlineStr">
        <is>
          <t>.</t>
        </is>
      </c>
      <c r="F507" s="12" t="n"/>
      <c r="G507" s="9" t="n"/>
      <c r="H507" s="9" t="n"/>
      <c r="I507" s="9" t="n"/>
      <c r="J507" s="9" t="n"/>
      <c r="L507" s="31" t="n"/>
      <c r="M507" s="26" t="n"/>
      <c r="N507" s="26" t="n"/>
      <c r="O507" s="26" t="n"/>
      <c r="P507" s="26" t="n"/>
      <c r="Q507" s="31" t="n"/>
      <c r="R507" s="26" t="n"/>
      <c r="S507" s="26" t="n"/>
      <c r="T507" s="26" t="n"/>
      <c r="V507" s="12" t="n">
        <v>3000</v>
      </c>
      <c r="W507" s="26" t="n"/>
      <c r="X507" s="26" t="n"/>
      <c r="AG507" s="13">
        <f>SUM(B507:AF507)</f>
        <v/>
      </c>
    </row>
    <row r="508" ht="15.75" customHeight="1">
      <c r="A508" s="14" t="inlineStr">
        <is>
          <t>SANDWELL MBC-601539-69624135</t>
        </is>
      </c>
      <c r="D508" t="n">
        <v>120000</v>
      </c>
      <c r="R508" t="n">
        <v>120000</v>
      </c>
      <c r="AG508" s="13">
        <f>SUM(B508:AF508)</f>
        <v/>
      </c>
    </row>
    <row r="509" ht="15.75" customHeight="1">
      <c r="A509" s="15" t="inlineStr">
        <is>
          <t>SOLIHULL MBC EXP.-200771-00561525</t>
        </is>
      </c>
      <c r="Z509" t="n">
        <v>32000</v>
      </c>
      <c r="AG509" s="13">
        <f>SUM(B509:AF509)</f>
        <v/>
      </c>
    </row>
    <row r="510" ht="15.75" customHeight="1">
      <c r="A510" s="15" t="inlineStr">
        <is>
          <t>WALSALL MBC BARC-209073-10731692</t>
        </is>
      </c>
      <c r="K510" s="9" t="n">
        <v>187000</v>
      </c>
      <c r="AG510" s="13">
        <f>SUM(B510:AF510)</f>
        <v/>
      </c>
    </row>
    <row r="511" ht="15.75" customHeight="1">
      <c r="A511" s="15" t="inlineStr">
        <is>
          <t>WOLVERHAMPTON CC-560069-44470320</t>
        </is>
      </c>
      <c r="G511" t="n">
        <v>112000</v>
      </c>
      <c r="N511" t="n">
        <v>112000</v>
      </c>
      <c r="U511" t="n">
        <v>112000</v>
      </c>
      <c r="AB511" t="n">
        <v>112000</v>
      </c>
      <c r="AG511" s="13">
        <f>SUM(B511:AF511)</f>
        <v/>
      </c>
    </row>
    <row r="512" ht="15.75" customHeight="1">
      <c r="A512" s="15" t="inlineStr">
        <is>
          <t>Portsmouth</t>
        </is>
      </c>
      <c r="S512" s="9" t="n">
        <v>5247.86</v>
      </c>
      <c r="AG512" s="13">
        <f>SUM(B512:AF512)</f>
        <v/>
      </c>
    </row>
    <row r="513" ht="15.75" customHeight="1">
      <c r="A513" s="15" t="inlineStr">
        <is>
          <t>HB SC</t>
        </is>
      </c>
      <c r="B513" s="16" t="n">
        <v>3800</v>
      </c>
      <c r="C513" s="16" t="n">
        <v>3800</v>
      </c>
      <c r="D513" s="16" t="n">
        <v>3800</v>
      </c>
      <c r="E513" s="16" t="n">
        <v>3800</v>
      </c>
      <c r="F513" s="16" t="n">
        <v>3800</v>
      </c>
      <c r="G513" s="16" t="n">
        <v>3800</v>
      </c>
      <c r="H513" s="16" t="n">
        <v>3800</v>
      </c>
      <c r="I513" s="16" t="n">
        <v>3800</v>
      </c>
      <c r="J513" s="16" t="n">
        <v>3800</v>
      </c>
      <c r="K513" s="16" t="n">
        <v>3800</v>
      </c>
      <c r="L513" s="16" t="n">
        <v>3800</v>
      </c>
      <c r="M513" s="16" t="n">
        <v>3800</v>
      </c>
      <c r="N513" s="16" t="n">
        <v>3800</v>
      </c>
      <c r="O513" s="16" t="n">
        <v>3800</v>
      </c>
      <c r="P513" s="16" t="n">
        <v>3800</v>
      </c>
      <c r="Q513" s="16" t="n">
        <v>3800</v>
      </c>
      <c r="R513" s="16" t="n">
        <v>3800</v>
      </c>
      <c r="S513" s="16" t="n">
        <v>3800</v>
      </c>
      <c r="T513" s="16" t="n">
        <v>3800</v>
      </c>
      <c r="U513" s="16" t="n">
        <v>3800</v>
      </c>
      <c r="V513" s="16" t="n">
        <v>3800</v>
      </c>
      <c r="W513" s="16" t="n">
        <v>3800</v>
      </c>
      <c r="X513" s="16" t="n">
        <v>3800</v>
      </c>
      <c r="Y513" s="16" t="n">
        <v>3800</v>
      </c>
      <c r="Z513" s="16" t="n">
        <v>3800</v>
      </c>
      <c r="AA513" s="16" t="n">
        <v>3800</v>
      </c>
      <c r="AB513" s="16" t="n">
        <v>3800</v>
      </c>
      <c r="AC513" s="16" t="n">
        <v>3800</v>
      </c>
      <c r="AD513" s="16" t="n">
        <v>3800</v>
      </c>
      <c r="AE513" s="16" t="n">
        <v>3800</v>
      </c>
      <c r="AF513" s="16" t="n"/>
      <c r="AG513" s="13">
        <f>SUM(B513:AF513)</f>
        <v/>
      </c>
    </row>
    <row r="514" ht="16.5" customHeight="1" thickBot="1">
      <c r="A514" s="15" t="inlineStr">
        <is>
          <t>Total</t>
        </is>
      </c>
      <c r="B514">
        <f>SUM(B497:B513)</f>
        <v/>
      </c>
      <c r="C514">
        <f>SUM(C497:C513)</f>
        <v/>
      </c>
      <c r="D514">
        <f>SUM(D497:D513)</f>
        <v/>
      </c>
      <c r="E514">
        <f>SUM(E497:E513)</f>
        <v/>
      </c>
      <c r="F514">
        <f>SUM(F497:F513)</f>
        <v/>
      </c>
      <c r="G514">
        <f>SUM(G497:G513)</f>
        <v/>
      </c>
      <c r="H514">
        <f>SUM(H497:H513)</f>
        <v/>
      </c>
      <c r="I514">
        <f>SUM(I497:I513)</f>
        <v/>
      </c>
      <c r="J514">
        <f>SUM(J497:J513)</f>
        <v/>
      </c>
      <c r="K514">
        <f>SUM(K497:K513)</f>
        <v/>
      </c>
      <c r="L514">
        <f>SUM(L497:L513)</f>
        <v/>
      </c>
      <c r="M514">
        <f>SUM(M497:M513)</f>
        <v/>
      </c>
      <c r="N514">
        <f>SUM(N497:N513)</f>
        <v/>
      </c>
      <c r="O514">
        <f>SUM(O497:O513)</f>
        <v/>
      </c>
      <c r="P514">
        <f>SUM(P497:P513)</f>
        <v/>
      </c>
      <c r="Q514">
        <f>SUM(Q497:Q513)</f>
        <v/>
      </c>
      <c r="R514">
        <f>SUM(R497:R513)</f>
        <v/>
      </c>
      <c r="S514">
        <f>SUM(S497:S513)</f>
        <v/>
      </c>
      <c r="T514">
        <f>SUM(T497:T513)</f>
        <v/>
      </c>
      <c r="U514">
        <f>SUM(U497:U513)</f>
        <v/>
      </c>
      <c r="V514">
        <f>SUM(V497:V513)</f>
        <v/>
      </c>
      <c r="W514">
        <f>SUM(W497:W513)</f>
        <v/>
      </c>
      <c r="X514">
        <f>SUM(X497:X513)</f>
        <v/>
      </c>
      <c r="Y514">
        <f>SUM(Y497:Y513)</f>
        <v/>
      </c>
      <c r="Z514">
        <f>SUM(Z497:Z513)</f>
        <v/>
      </c>
      <c r="AA514">
        <f>SUM(AA497:AA513)</f>
        <v/>
      </c>
      <c r="AB514">
        <f>SUM(AB497:AB513)</f>
        <v/>
      </c>
      <c r="AC514">
        <f>SUM(AC497:AC513)</f>
        <v/>
      </c>
      <c r="AD514">
        <f>SUM(AD497:AD513)</f>
        <v/>
      </c>
      <c r="AE514">
        <f>SUM(AE497:AE513)</f>
        <v/>
      </c>
      <c r="AG514" s="252">
        <f>SUM(AG497:AG513)</f>
        <v/>
      </c>
    </row>
    <row r="515" ht="15.75" customHeight="1" thickTop="1">
      <c r="A515" s="15" t="inlineStr">
        <is>
          <t>Ruunning Total</t>
        </is>
      </c>
      <c r="B515">
        <f>B514</f>
        <v/>
      </c>
      <c r="C515">
        <f>B515+C514</f>
        <v/>
      </c>
      <c r="D515">
        <f>C515+D514</f>
        <v/>
      </c>
      <c r="E515">
        <f>D515+E514</f>
        <v/>
      </c>
      <c r="F515">
        <f>E515+F514</f>
        <v/>
      </c>
      <c r="G515">
        <f>F515+G514</f>
        <v/>
      </c>
      <c r="H515">
        <f>G515+H514</f>
        <v/>
      </c>
      <c r="I515">
        <f>H515+I514</f>
        <v/>
      </c>
      <c r="J515">
        <f>I515+J514</f>
        <v/>
      </c>
      <c r="K515">
        <f>J515+K514</f>
        <v/>
      </c>
      <c r="L515">
        <f>K515+L514</f>
        <v/>
      </c>
      <c r="M515">
        <f>L515+M514</f>
        <v/>
      </c>
      <c r="N515">
        <f>M515+N514</f>
        <v/>
      </c>
      <c r="O515">
        <f>N515+O514</f>
        <v/>
      </c>
      <c r="P515">
        <f>O515+P514</f>
        <v/>
      </c>
      <c r="Q515">
        <f>P515+Q514</f>
        <v/>
      </c>
      <c r="R515">
        <f>Q515+R514</f>
        <v/>
      </c>
      <c r="S515">
        <f>R515+S514</f>
        <v/>
      </c>
      <c r="T515">
        <f>S515+T514</f>
        <v/>
      </c>
      <c r="U515">
        <f>T515+U514</f>
        <v/>
      </c>
      <c r="V515">
        <f>U515+V514</f>
        <v/>
      </c>
      <c r="W515">
        <f>V515+W514</f>
        <v/>
      </c>
      <c r="X515">
        <f>W515+X514</f>
        <v/>
      </c>
      <c r="Y515">
        <f>X515+Y514</f>
        <v/>
      </c>
      <c r="Z515">
        <f>Y515+Z514</f>
        <v/>
      </c>
      <c r="AA515">
        <f>Z515+AA514</f>
        <v/>
      </c>
      <c r="AB515">
        <f>AA515+AB514</f>
        <v/>
      </c>
      <c r="AC515">
        <f>AB515+AC514</f>
        <v/>
      </c>
      <c r="AD515">
        <f>AC515+AD514</f>
        <v/>
      </c>
      <c r="AE515">
        <f>AD515+AE514</f>
        <v/>
      </c>
    </row>
    <row r="518">
      <c r="A518" s="1" t="n"/>
      <c r="B518" s="2" t="inlineStr">
        <is>
          <t>April</t>
        </is>
      </c>
      <c r="C518" s="2" t="n"/>
      <c r="D518" s="2" t="n"/>
      <c r="E518" s="2" t="n"/>
      <c r="F518" s="2" t="n"/>
      <c r="G518" s="2" t="n"/>
      <c r="H518" s="2" t="n"/>
      <c r="I518" s="2" t="n"/>
      <c r="J518" s="2" t="n"/>
      <c r="K518" s="2" t="n"/>
      <c r="L518" s="2" t="n"/>
      <c r="M518" s="2" t="n"/>
      <c r="N518" s="2" t="n"/>
      <c r="O518" s="2" t="n"/>
      <c r="P518" s="2" t="n"/>
      <c r="Q518" s="2" t="n"/>
      <c r="R518" s="2" t="n"/>
      <c r="S518" s="2" t="n"/>
      <c r="T518" s="2" t="n"/>
      <c r="U518" s="2" t="n"/>
      <c r="V518" s="2" t="n"/>
      <c r="W518" s="2" t="n"/>
      <c r="X518" s="2" t="n"/>
      <c r="Y518" s="2" t="n"/>
      <c r="Z518" s="2" t="n"/>
      <c r="AA518" s="2" t="n"/>
      <c r="AB518" s="2" t="n"/>
      <c r="AC518" s="2" t="n"/>
      <c r="AD518" s="2" t="n"/>
      <c r="AE518" s="1" t="n"/>
      <c r="AF518" s="1" t="n"/>
      <c r="AG518" s="1" t="n"/>
    </row>
    <row r="519" ht="15.75" customHeight="1">
      <c r="A519" s="1" t="n"/>
      <c r="B519" s="2" t="inlineStr">
        <is>
          <t>Tuesday</t>
        </is>
      </c>
      <c r="C519" s="2" t="inlineStr">
        <is>
          <t>Wednesday</t>
        </is>
      </c>
      <c r="D519" s="2" t="inlineStr">
        <is>
          <t>Thursday</t>
        </is>
      </c>
      <c r="E519" s="2" t="inlineStr">
        <is>
          <t>Friday</t>
        </is>
      </c>
      <c r="F519" s="2" t="inlineStr">
        <is>
          <t>Saturday</t>
        </is>
      </c>
      <c r="G519" s="2" t="inlineStr">
        <is>
          <t>Sunday</t>
        </is>
      </c>
      <c r="H519" s="2" t="inlineStr">
        <is>
          <t>Monday</t>
        </is>
      </c>
      <c r="I519" s="2" t="inlineStr">
        <is>
          <t>Tuesday</t>
        </is>
      </c>
      <c r="J519" s="2" t="inlineStr">
        <is>
          <t>Wednesday</t>
        </is>
      </c>
      <c r="K519" s="2" t="inlineStr">
        <is>
          <t>Thursday</t>
        </is>
      </c>
      <c r="L519" s="2" t="inlineStr">
        <is>
          <t>Friday</t>
        </is>
      </c>
      <c r="M519" s="2" t="inlineStr">
        <is>
          <t>Saturday</t>
        </is>
      </c>
      <c r="N519" s="2" t="inlineStr">
        <is>
          <t>Sunday</t>
        </is>
      </c>
      <c r="O519" s="2" t="inlineStr">
        <is>
          <t>Monday</t>
        </is>
      </c>
      <c r="P519" s="2" t="inlineStr">
        <is>
          <t>Tuesday</t>
        </is>
      </c>
      <c r="Q519" s="2" t="inlineStr">
        <is>
          <t>Wednesday</t>
        </is>
      </c>
      <c r="R519" s="2" t="inlineStr">
        <is>
          <t>Thursday</t>
        </is>
      </c>
      <c r="S519" s="2" t="inlineStr">
        <is>
          <t>Friday</t>
        </is>
      </c>
      <c r="T519" s="2" t="inlineStr">
        <is>
          <t>Saturday</t>
        </is>
      </c>
      <c r="U519" s="2" t="inlineStr">
        <is>
          <t>Sunday</t>
        </is>
      </c>
      <c r="V519" s="2" t="inlineStr">
        <is>
          <t>Monday</t>
        </is>
      </c>
      <c r="W519" s="2" t="inlineStr">
        <is>
          <t>Tuesday</t>
        </is>
      </c>
      <c r="X519" s="2" t="inlineStr">
        <is>
          <t>Wednesday</t>
        </is>
      </c>
      <c r="Y519" s="2" t="inlineStr">
        <is>
          <t>Thursday</t>
        </is>
      </c>
      <c r="Z519" s="2" t="inlineStr">
        <is>
          <t>Friday</t>
        </is>
      </c>
      <c r="AA519" s="2" t="inlineStr">
        <is>
          <t>Saturday</t>
        </is>
      </c>
      <c r="AB519" s="2" t="inlineStr">
        <is>
          <t>Sunday</t>
        </is>
      </c>
      <c r="AC519" s="2" t="inlineStr">
        <is>
          <t>Monday</t>
        </is>
      </c>
      <c r="AD519" s="2" t="inlineStr">
        <is>
          <t>Tuesday</t>
        </is>
      </c>
      <c r="AE519" s="2" t="inlineStr">
        <is>
          <t>Wednesday</t>
        </is>
      </c>
      <c r="AF519" s="9" t="n"/>
      <c r="AG519" s="2" t="inlineStr">
        <is>
          <t>Total</t>
        </is>
      </c>
    </row>
    <row r="520" ht="15.75" customHeight="1">
      <c r="A520" s="1" t="n"/>
      <c r="B520" s="7" t="inlineStr">
        <is>
          <t>1st</t>
        </is>
      </c>
      <c r="C520" s="7" t="inlineStr">
        <is>
          <t>2nd</t>
        </is>
      </c>
      <c r="D520" s="7" t="inlineStr">
        <is>
          <t>3rd</t>
        </is>
      </c>
      <c r="E520" s="7" t="inlineStr">
        <is>
          <t>4th</t>
        </is>
      </c>
      <c r="F520" s="7" t="inlineStr">
        <is>
          <t>5th</t>
        </is>
      </c>
      <c r="G520" s="7" t="inlineStr">
        <is>
          <t>6th</t>
        </is>
      </c>
      <c r="H520" s="3" t="inlineStr">
        <is>
          <t>7th</t>
        </is>
      </c>
      <c r="I520" s="3" t="inlineStr">
        <is>
          <t>8th</t>
        </is>
      </c>
      <c r="J520" s="3" t="inlineStr">
        <is>
          <t>9th</t>
        </is>
      </c>
      <c r="K520" s="3" t="inlineStr">
        <is>
          <t>10th</t>
        </is>
      </c>
      <c r="L520" s="3" t="inlineStr">
        <is>
          <t>11th</t>
        </is>
      </c>
      <c r="M520" s="3" t="inlineStr">
        <is>
          <t>12th</t>
        </is>
      </c>
      <c r="N520" s="3" t="inlineStr">
        <is>
          <t>13th</t>
        </is>
      </c>
      <c r="O520" s="4" t="inlineStr">
        <is>
          <t>14th</t>
        </is>
      </c>
      <c r="P520" s="4" t="inlineStr">
        <is>
          <t>15th</t>
        </is>
      </c>
      <c r="Q520" s="4" t="inlineStr">
        <is>
          <t>16th</t>
        </is>
      </c>
      <c r="R520" s="4" t="inlineStr">
        <is>
          <t>17th</t>
        </is>
      </c>
      <c r="S520" s="4" t="inlineStr">
        <is>
          <t>18th</t>
        </is>
      </c>
      <c r="T520" s="4" t="inlineStr">
        <is>
          <t>19th</t>
        </is>
      </c>
      <c r="U520" s="4" t="inlineStr">
        <is>
          <t>20th</t>
        </is>
      </c>
      <c r="V520" s="5" t="inlineStr">
        <is>
          <t>21st</t>
        </is>
      </c>
      <c r="W520" s="5" t="inlineStr">
        <is>
          <t>22nd</t>
        </is>
      </c>
      <c r="X520" s="5" t="inlineStr">
        <is>
          <t>23rd</t>
        </is>
      </c>
      <c r="Y520" s="5" t="inlineStr">
        <is>
          <t>24th</t>
        </is>
      </c>
      <c r="Z520" s="5" t="inlineStr">
        <is>
          <t>25th</t>
        </is>
      </c>
      <c r="AA520" s="5" t="inlineStr">
        <is>
          <t>26th</t>
        </is>
      </c>
      <c r="AB520" s="5" t="inlineStr">
        <is>
          <t>27th</t>
        </is>
      </c>
      <c r="AC520" s="6" t="inlineStr">
        <is>
          <t>28th</t>
        </is>
      </c>
      <c r="AD520" s="6" t="inlineStr">
        <is>
          <t>29th</t>
        </is>
      </c>
      <c r="AE520" s="6" t="inlineStr">
        <is>
          <t>30th</t>
        </is>
      </c>
      <c r="AF520" s="9" t="n"/>
      <c r="AG520" s="1" t="n"/>
    </row>
    <row r="521" ht="15.75" customHeight="1">
      <c r="A521" s="8" t="inlineStr">
        <is>
          <t>B-HAM CITY COUNCIL-200790-70489166</t>
        </is>
      </c>
      <c r="Q521" s="12">
        <f>5041.28</f>
        <v/>
      </c>
      <c r="S521" s="81" t="n"/>
      <c r="V521" s="81" t="n"/>
      <c r="X521" s="12" t="n">
        <v>75502.24000000001</v>
      </c>
      <c r="AG521" s="13">
        <f>SUM(B521:AF521)</f>
        <v/>
      </c>
    </row>
    <row r="522" ht="15.75" customHeight="1">
      <c r="A522" s="8" t="inlineStr">
        <is>
          <t>Buckingham</t>
        </is>
      </c>
      <c r="B522" s="9" t="n"/>
      <c r="C522" s="9" t="n"/>
      <c r="D522" s="9" t="n"/>
      <c r="E522" s="9" t="n"/>
      <c r="F522" s="9" t="n"/>
      <c r="G522" s="9" t="n"/>
      <c r="H522" s="9" t="n"/>
      <c r="I522" s="9" t="n"/>
      <c r="J522" s="9" t="n"/>
      <c r="K522" s="12" t="n">
        <v>4937.64</v>
      </c>
      <c r="L522" s="9" t="n"/>
      <c r="M522" s="9" t="n"/>
      <c r="N522" s="9" t="n"/>
      <c r="O522" s="9" t="n"/>
      <c r="P522" s="9" t="n"/>
      <c r="Q522" s="9" t="n"/>
      <c r="R522" s="9" t="n"/>
      <c r="S522" s="80" t="n"/>
      <c r="V522" s="80" t="n"/>
      <c r="W522" s="9" t="n"/>
      <c r="X522" s="31" t="n">
        <v>5134.44</v>
      </c>
      <c r="AG522" s="13">
        <f>SUM(B522:AF522)</f>
        <v/>
      </c>
    </row>
    <row r="523" ht="15.75" customHeight="1">
      <c r="A523" s="8" t="inlineStr">
        <is>
          <t>Sandwell respite est</t>
        </is>
      </c>
      <c r="B523" s="9" t="n"/>
      <c r="C523" s="9" t="n"/>
      <c r="D523" s="9" t="n"/>
      <c r="E523" s="9" t="n"/>
      <c r="F523" s="9" t="n"/>
      <c r="G523" s="9" t="n"/>
      <c r="H523" s="9" t="n"/>
      <c r="I523" s="9" t="n"/>
      <c r="J523" s="9" t="n"/>
      <c r="K523" s="9" t="n"/>
      <c r="L523" s="9" t="n"/>
      <c r="M523" s="9" t="n"/>
      <c r="N523" s="9" t="n"/>
      <c r="O523" s="9" t="n"/>
      <c r="P523" s="9" t="n"/>
      <c r="Q523" s="9" t="n"/>
      <c r="R523" s="9" t="n"/>
      <c r="S523" s="80" t="n"/>
      <c r="V523" s="80" t="n"/>
      <c r="W523" s="9" t="n"/>
      <c r="X523" s="9" t="n"/>
      <c r="AF523" s="9" t="n">
        <v>20000</v>
      </c>
      <c r="AG523" s="13">
        <f>SUM(B523:AF523)</f>
        <v/>
      </c>
    </row>
    <row r="524" ht="15.75" customHeight="1">
      <c r="A524" s="8" t="inlineStr">
        <is>
          <t xml:space="preserve">Wolverhampton respite est </t>
        </is>
      </c>
      <c r="B524" s="9" t="n"/>
      <c r="C524" s="9" t="n"/>
      <c r="D524" s="9" t="n"/>
      <c r="E524" s="9" t="n"/>
      <c r="F524" s="9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9" t="n"/>
      <c r="P524" s="9" t="n"/>
      <c r="Q524" s="9" t="n"/>
      <c r="R524" s="9" t="n"/>
      <c r="S524" s="80" t="n"/>
      <c r="V524" s="80" t="n"/>
      <c r="W524" s="9" t="n"/>
      <c r="X524" s="9" t="n"/>
      <c r="AF524" s="9" t="n">
        <v>30000</v>
      </c>
      <c r="AG524" s="13">
        <f>SUM(B524:AF524)</f>
        <v/>
      </c>
    </row>
    <row r="525" ht="15.75" customHeight="1">
      <c r="A525" s="8" t="inlineStr">
        <is>
          <t>Walsall Respite</t>
        </is>
      </c>
      <c r="B525" s="9" t="n"/>
      <c r="C525" s="9" t="n"/>
      <c r="D525" s="9" t="n"/>
      <c r="E525" s="9" t="n"/>
      <c r="F525" s="9" t="n"/>
      <c r="G525" s="9" t="n"/>
      <c r="H525" s="9" t="n"/>
      <c r="I525" s="9" t="n"/>
      <c r="J525" s="9" t="n"/>
      <c r="K525" s="9" t="n"/>
      <c r="L525" s="9" t="n"/>
      <c r="M525" s="9" t="n"/>
      <c r="N525" s="9" t="n"/>
      <c r="O525" s="9" t="n"/>
      <c r="P525" s="9" t="n"/>
      <c r="Q525" s="9" t="n"/>
      <c r="R525" s="9" t="n"/>
      <c r="S525" s="80" t="n"/>
      <c r="V525" s="80" t="n"/>
      <c r="W525" s="9" t="n"/>
      <c r="X525" s="9" t="n"/>
      <c r="AF525" s="9" t="n">
        <v>15000</v>
      </c>
      <c r="AG525" s="13">
        <f>SUM(B525:AF525)</f>
        <v/>
      </c>
    </row>
    <row r="526" ht="18.75" customHeight="1">
      <c r="A526" s="8" t="inlineStr">
        <is>
          <t>Ideal for All Ltd</t>
        </is>
      </c>
      <c r="B526" s="11" t="n">
        <v>3661.88</v>
      </c>
      <c r="C526" s="9" t="n"/>
      <c r="D526" s="9" t="n"/>
      <c r="E526" s="12" t="n">
        <v>2536.8</v>
      </c>
      <c r="J526" s="9" t="n"/>
      <c r="K526" s="9" t="n"/>
      <c r="L526" s="9" t="n"/>
      <c r="N526" s="9" t="n"/>
      <c r="O526" t="n">
        <v>3344</v>
      </c>
      <c r="P526" s="9" t="n"/>
      <c r="Q526" s="9" t="n"/>
      <c r="R526" s="9" t="n"/>
      <c r="S526" s="80" t="n"/>
      <c r="V526" s="80" t="n"/>
      <c r="W526" s="9" t="n"/>
      <c r="X526" s="9" t="n"/>
      <c r="AG526" s="13">
        <f>SUM(B526:AF526)</f>
        <v/>
      </c>
    </row>
    <row r="527" ht="15.75" customHeight="1">
      <c r="A527" s="8" t="inlineStr">
        <is>
          <t>KIRKLEES COUNCIL-204312-63046958</t>
        </is>
      </c>
      <c r="B527" s="12" t="n"/>
      <c r="C527" s="9" t="n"/>
      <c r="D527" s="12" t="n"/>
      <c r="E527" s="9" t="n"/>
      <c r="F527" s="9" t="n"/>
      <c r="G527" s="9" t="n"/>
      <c r="H527" s="9" t="n"/>
      <c r="J527" s="12" t="n">
        <v>5554.89</v>
      </c>
      <c r="L527" s="9" t="n"/>
      <c r="N527" s="9" t="n"/>
      <c r="O527" s="12" t="n"/>
      <c r="P527" s="9" t="n"/>
      <c r="Q527" s="9" t="n"/>
      <c r="R527" s="9" t="n"/>
      <c r="S527" s="80" t="n"/>
      <c r="V527" s="80" t="n"/>
      <c r="W527" s="9" t="n"/>
      <c r="X527" s="9" t="n"/>
      <c r="AG527" s="13">
        <f>SUM(B527:AF527)</f>
        <v/>
      </c>
    </row>
    <row r="528" ht="15.75" customHeight="1">
      <c r="A528" s="8" t="inlineStr">
        <is>
          <t>LBH PAYMENTS BACS-602210-72430192</t>
        </is>
      </c>
      <c r="B528" s="9" t="n"/>
      <c r="C528" s="9" t="n"/>
      <c r="D528" s="9" t="n"/>
      <c r="E528" s="12" t="n"/>
      <c r="F528" s="9" t="n"/>
      <c r="G528" s="9" t="n"/>
      <c r="H528" s="9" t="n"/>
      <c r="I528" s="9" t="n">
        <v>5040</v>
      </c>
      <c r="J528" s="9" t="n"/>
      <c r="K528" s="9" t="n"/>
      <c r="L528" s="9" t="n"/>
      <c r="N528" s="9" t="n"/>
      <c r="O528" s="12" t="n"/>
      <c r="P528" s="9" t="n"/>
      <c r="Q528" s="9" t="n"/>
      <c r="R528" s="9" t="n"/>
      <c r="S528" s="80" t="n"/>
      <c r="V528" s="80" t="n"/>
      <c r="W528" s="9" t="n"/>
      <c r="X528" s="9" t="n"/>
      <c r="AG528" s="13">
        <f>SUM(B528:AF528)</f>
        <v/>
      </c>
    </row>
    <row r="529" ht="15.75" customHeight="1">
      <c r="A529" s="8" t="inlineStr">
        <is>
          <t>NHS BIRMINGHAM &amp; S-607080-10017097</t>
        </is>
      </c>
      <c r="B529" s="12" t="n"/>
      <c r="C529" s="9" t="inlineStr"/>
      <c r="D529" s="9" t="n"/>
      <c r="E529" s="9" t="n"/>
      <c r="F529" s="9" t="n"/>
      <c r="G529" s="9" t="n"/>
      <c r="H529" s="9" t="n"/>
      <c r="I529" s="9" t="n"/>
      <c r="J529" s="9" t="n"/>
      <c r="K529" s="9" t="n"/>
      <c r="L529" s="9" t="n"/>
      <c r="N529" s="9" t="n"/>
      <c r="O529" s="31" t="n">
        <v>7121.63</v>
      </c>
      <c r="P529" s="9" t="n"/>
      <c r="Q529" s="9" t="n"/>
      <c r="R529" s="9" t="n"/>
      <c r="S529" s="80" t="n"/>
      <c r="V529" s="80" t="n"/>
      <c r="W529" s="9" t="n"/>
      <c r="X529" s="9" t="n"/>
      <c r="AG529" s="13">
        <f>SUM(B529:AF529)</f>
        <v/>
      </c>
    </row>
    <row r="530" ht="15.75" customHeight="1">
      <c r="A530" s="8" t="inlineStr">
        <is>
          <t>NHS BLACK COUNTRY-607080-10015272</t>
        </is>
      </c>
      <c r="B530" s="9" t="inlineStr"/>
      <c r="C530" s="9" t="n"/>
      <c r="D530" s="9" t="n"/>
      <c r="E530" s="9" t="n"/>
      <c r="G530" s="31" t="n"/>
      <c r="H530" t="n">
        <v>13185.64</v>
      </c>
      <c r="I530" s="26" t="n"/>
      <c r="J530" s="26" t="n"/>
      <c r="K530" s="26" t="n"/>
      <c r="L530" s="31" t="n"/>
      <c r="M530" s="26" t="n"/>
      <c r="N530" s="26" t="n"/>
      <c r="O530" s="26" t="n"/>
      <c r="P530" s="26" t="n"/>
      <c r="Q530" s="9" t="n"/>
      <c r="R530" s="26" t="n"/>
      <c r="S530" s="88" t="n"/>
      <c r="V530" s="89" t="n"/>
      <c r="W530" s="31" t="n">
        <v>8073.21</v>
      </c>
      <c r="X530" s="9" t="n"/>
      <c r="AG530" s="13">
        <f>SUM(B530:AF530)</f>
        <v/>
      </c>
    </row>
    <row r="531" ht="15.75" customHeight="1">
      <c r="A531" s="14" t="inlineStr">
        <is>
          <t>SANDWELL MBC  BEN-601539-69624151</t>
        </is>
      </c>
      <c r="B531" s="9" t="inlineStr"/>
      <c r="C531" t="inlineStr">
        <is>
          <t>.</t>
        </is>
      </c>
      <c r="D531" s="12" t="n"/>
      <c r="E531" s="9" t="n"/>
      <c r="F531" s="9" t="n"/>
      <c r="G531" s="9" t="n"/>
      <c r="H531" s="9" t="n"/>
      <c r="J531" s="31" t="n"/>
      <c r="K531" s="26" t="n"/>
      <c r="L531" s="26" t="n"/>
      <c r="M531" s="26" t="n"/>
      <c r="N531" s="26" t="n"/>
      <c r="O531" s="31" t="n"/>
      <c r="P531" s="26" t="n"/>
      <c r="Q531" s="26" t="n"/>
      <c r="R531" s="26" t="n"/>
      <c r="S531" s="81" t="n"/>
      <c r="V531" s="88" t="n"/>
      <c r="W531" s="12" t="n">
        <v>3000</v>
      </c>
      <c r="X531" s="26" t="n"/>
      <c r="AG531" s="13">
        <f>SUM(B531:AF531)</f>
        <v/>
      </c>
    </row>
    <row r="532" ht="15.75" customHeight="1">
      <c r="A532" s="14" t="inlineStr">
        <is>
          <t>SANDWELL MBC-601539-69624135</t>
        </is>
      </c>
      <c r="B532" t="n">
        <v>120000</v>
      </c>
      <c r="P532" t="n">
        <v>120000</v>
      </c>
      <c r="S532" s="81" t="n"/>
      <c r="V532" s="81" t="n"/>
      <c r="AC532" t="n">
        <v>120000</v>
      </c>
      <c r="AG532" s="13">
        <f>SUM(B532:AF532)</f>
        <v/>
      </c>
    </row>
    <row r="533" ht="15.75" customHeight="1">
      <c r="A533" s="15" t="inlineStr">
        <is>
          <t>SOLIHULL MBC EXP.-200771-00561525</t>
        </is>
      </c>
      <c r="S533" s="81" t="n"/>
      <c r="V533" s="81" t="n"/>
      <c r="X533" t="n">
        <v>32000</v>
      </c>
      <c r="AG533" s="13">
        <f>SUM(B533:AF533)</f>
        <v/>
      </c>
    </row>
    <row r="534" ht="15.75" customHeight="1">
      <c r="A534" s="15" t="inlineStr">
        <is>
          <t>WALSALL MBC BARC-209073-10731692</t>
        </is>
      </c>
      <c r="I534" s="9" t="n">
        <v>187000</v>
      </c>
      <c r="S534" s="81" t="n"/>
      <c r="V534" s="81" t="n"/>
      <c r="AG534" s="13">
        <f>SUM(B534:AF534)</f>
        <v/>
      </c>
    </row>
    <row r="535" ht="15.75" customHeight="1">
      <c r="A535" s="15" t="inlineStr">
        <is>
          <t>WOLVERHAMPTON CC-560069-44470320</t>
        </is>
      </c>
      <c r="D535" t="n">
        <v>112000</v>
      </c>
      <c r="K535" t="n">
        <v>112000</v>
      </c>
      <c r="R535" t="n">
        <v>112000</v>
      </c>
      <c r="S535" s="81" t="n"/>
      <c r="V535" s="81" t="n"/>
      <c r="Y535" t="n">
        <v>112000</v>
      </c>
      <c r="AG535" s="13">
        <f>SUM(B535:AF535)</f>
        <v/>
      </c>
    </row>
    <row r="536" ht="15.75" customHeight="1">
      <c r="A536" s="15" t="inlineStr">
        <is>
          <t>Portsmouth</t>
        </is>
      </c>
      <c r="P536" s="9" t="n">
        <v>5247.86</v>
      </c>
      <c r="S536" s="81" t="n"/>
      <c r="V536" s="81" t="n"/>
      <c r="AG536" s="13">
        <f>SUM(B536:AF536)</f>
        <v/>
      </c>
    </row>
    <row r="537" ht="15.75" customHeight="1">
      <c r="A537" s="15" t="inlineStr">
        <is>
          <t>HB SC</t>
        </is>
      </c>
      <c r="B537" s="16" t="n">
        <v>3800</v>
      </c>
      <c r="C537" s="16" t="n">
        <v>3800</v>
      </c>
      <c r="D537" s="16" t="n">
        <v>3800</v>
      </c>
      <c r="E537" s="16" t="n">
        <v>3800</v>
      </c>
      <c r="F537" s="16" t="n">
        <v>3800</v>
      </c>
      <c r="G537" s="16" t="n">
        <v>3800</v>
      </c>
      <c r="H537" s="16" t="n">
        <v>3800</v>
      </c>
      <c r="I537" s="16" t="n">
        <v>3800</v>
      </c>
      <c r="J537" s="16" t="n">
        <v>3800</v>
      </c>
      <c r="K537" s="16" t="n">
        <v>3800</v>
      </c>
      <c r="L537" s="16" t="n">
        <v>3800</v>
      </c>
      <c r="M537" s="16" t="n">
        <v>3800</v>
      </c>
      <c r="N537" s="16" t="n">
        <v>3800</v>
      </c>
      <c r="O537" s="16" t="n">
        <v>3800</v>
      </c>
      <c r="P537" s="16" t="n">
        <v>3800</v>
      </c>
      <c r="Q537" s="16" t="n">
        <v>3800</v>
      </c>
      <c r="R537" s="16" t="n">
        <v>3800</v>
      </c>
      <c r="S537" s="16" t="n">
        <v>3800</v>
      </c>
      <c r="T537" s="16" t="n">
        <v>3800</v>
      </c>
      <c r="U537" s="16" t="n">
        <v>3800</v>
      </c>
      <c r="V537" s="16" t="n">
        <v>3800</v>
      </c>
      <c r="W537" s="16" t="n">
        <v>3800</v>
      </c>
      <c r="X537" s="16" t="n">
        <v>3800</v>
      </c>
      <c r="Y537" s="16" t="n">
        <v>3800</v>
      </c>
      <c r="Z537" s="16" t="n">
        <v>3800</v>
      </c>
      <c r="AA537" s="16" t="n">
        <v>3800</v>
      </c>
      <c r="AB537" s="16" t="n">
        <v>3800</v>
      </c>
      <c r="AC537" s="16" t="n">
        <v>3800</v>
      </c>
      <c r="AD537" s="16" t="n">
        <v>3800</v>
      </c>
      <c r="AE537" s="16" t="n">
        <v>3800</v>
      </c>
      <c r="AF537" s="16" t="n"/>
      <c r="AG537" s="13">
        <f>SUM(B537:AF537)</f>
        <v/>
      </c>
    </row>
    <row r="538" ht="16.5" customHeight="1" thickBot="1">
      <c r="A538" s="15" t="inlineStr">
        <is>
          <t>Total</t>
        </is>
      </c>
      <c r="B538">
        <f>SUM(B521:B537)</f>
        <v/>
      </c>
      <c r="C538">
        <f>SUM(C521:C537)</f>
        <v/>
      </c>
      <c r="D538">
        <f>SUM(D521:D537)</f>
        <v/>
      </c>
      <c r="E538">
        <f>SUM(E521:E537)</f>
        <v/>
      </c>
      <c r="F538">
        <f>SUM(F521:F537)</f>
        <v/>
      </c>
      <c r="G538">
        <f>SUM(G521:G537)</f>
        <v/>
      </c>
      <c r="H538">
        <f>SUM(H521:H537)</f>
        <v/>
      </c>
      <c r="I538">
        <f>SUM(I521:I537)</f>
        <v/>
      </c>
      <c r="J538">
        <f>SUM(J521:J537)</f>
        <v/>
      </c>
      <c r="K538">
        <f>SUM(K521:K537)</f>
        <v/>
      </c>
      <c r="L538">
        <f>SUM(L521:L537)</f>
        <v/>
      </c>
      <c r="M538">
        <f>SUM(M521:M537)</f>
        <v/>
      </c>
      <c r="N538">
        <f>SUM(N521:N537)</f>
        <v/>
      </c>
      <c r="O538">
        <f>SUM(O521:O537)</f>
        <v/>
      </c>
      <c r="P538">
        <f>SUM(P521:P537)</f>
        <v/>
      </c>
      <c r="Q538">
        <f>SUM(Q521:Q537)</f>
        <v/>
      </c>
      <c r="R538">
        <f>SUM(R521:R537)</f>
        <v/>
      </c>
      <c r="S538">
        <f>SUM(S521:S537)</f>
        <v/>
      </c>
      <c r="T538">
        <f>SUM(T521:T537)</f>
        <v/>
      </c>
      <c r="U538">
        <f>SUM(U521:U537)</f>
        <v/>
      </c>
      <c r="V538">
        <f>SUM(V521:V537)</f>
        <v/>
      </c>
      <c r="W538">
        <f>SUM(W521:W537)</f>
        <v/>
      </c>
      <c r="X538">
        <f>SUM(X521:X537)</f>
        <v/>
      </c>
      <c r="Y538">
        <f>SUM(Y521:Y537)</f>
        <v/>
      </c>
      <c r="Z538">
        <f>SUM(Z521:Z537)</f>
        <v/>
      </c>
      <c r="AA538">
        <f>SUM(AA521:AA537)</f>
        <v/>
      </c>
      <c r="AB538">
        <f>SUM(AB521:AB537)</f>
        <v/>
      </c>
      <c r="AC538">
        <f>SUM(AC521:AC537)</f>
        <v/>
      </c>
      <c r="AD538">
        <f>SUM(AD521:AD537)</f>
        <v/>
      </c>
      <c r="AE538">
        <f>SUM(AE521:AE537)</f>
        <v/>
      </c>
      <c r="AG538" s="252">
        <f>SUM(AG521:AG537)</f>
        <v/>
      </c>
    </row>
    <row r="539" ht="15.75" customHeight="1" thickTop="1">
      <c r="A539" s="15" t="inlineStr">
        <is>
          <t>Ruunning Total</t>
        </is>
      </c>
      <c r="B539">
        <f>B538</f>
        <v/>
      </c>
      <c r="C539">
        <f>B539+C538</f>
        <v/>
      </c>
      <c r="D539">
        <f>C539+D538</f>
        <v/>
      </c>
      <c r="E539">
        <f>D539+E538</f>
        <v/>
      </c>
      <c r="F539">
        <f>E539+F538</f>
        <v/>
      </c>
      <c r="G539">
        <f>F539+G538</f>
        <v/>
      </c>
      <c r="H539">
        <f>G539+H538</f>
        <v/>
      </c>
      <c r="I539">
        <f>H539+I538</f>
        <v/>
      </c>
      <c r="J539">
        <f>I539+J538</f>
        <v/>
      </c>
      <c r="K539">
        <f>J539+K538</f>
        <v/>
      </c>
      <c r="L539">
        <f>K539+L538</f>
        <v/>
      </c>
      <c r="M539">
        <f>L539+M538</f>
        <v/>
      </c>
      <c r="N539">
        <f>M539+N538</f>
        <v/>
      </c>
      <c r="O539">
        <f>N539+O538</f>
        <v/>
      </c>
      <c r="P539">
        <f>O539+P538</f>
        <v/>
      </c>
      <c r="Q539">
        <f>P539+Q538</f>
        <v/>
      </c>
      <c r="R539">
        <f>Q539+R538</f>
        <v/>
      </c>
      <c r="S539">
        <f>R539+S538</f>
        <v/>
      </c>
      <c r="T539">
        <f>S539+T538</f>
        <v/>
      </c>
      <c r="U539">
        <f>T539+U538</f>
        <v/>
      </c>
      <c r="V539">
        <f>U539+V538</f>
        <v/>
      </c>
      <c r="W539">
        <f>V539+W538</f>
        <v/>
      </c>
      <c r="X539">
        <f>W539+X538</f>
        <v/>
      </c>
      <c r="Y539">
        <f>X539+Y538</f>
        <v/>
      </c>
      <c r="Z539">
        <f>Y539+Z538</f>
        <v/>
      </c>
      <c r="AA539">
        <f>Z539+AA538</f>
        <v/>
      </c>
      <c r="AB539">
        <f>AA539+AB538</f>
        <v/>
      </c>
      <c r="AC539">
        <f>AB539+AC538</f>
        <v/>
      </c>
      <c r="AD539">
        <f>AC539+AD538</f>
        <v/>
      </c>
      <c r="AE539">
        <f>AD539+AE538</f>
        <v/>
      </c>
    </row>
    <row r="542">
      <c r="A542" s="1" t="n"/>
      <c r="B542" s="2" t="inlineStr">
        <is>
          <t>May</t>
        </is>
      </c>
      <c r="C542" s="2" t="n"/>
      <c r="D542" s="2" t="n"/>
      <c r="E542" s="2" t="n"/>
      <c r="F542" s="2" t="n"/>
      <c r="G542" s="2" t="n"/>
      <c r="H542" s="2" t="n"/>
      <c r="I542" s="2" t="n"/>
      <c r="J542" s="2" t="n"/>
      <c r="K542" s="2" t="n"/>
      <c r="L542" s="2" t="n"/>
      <c r="M542" s="2" t="n"/>
      <c r="N542" s="2" t="n"/>
      <c r="O542" s="2" t="n"/>
      <c r="P542" s="2" t="n"/>
      <c r="Q542" s="2" t="n"/>
      <c r="R542" s="2" t="n"/>
      <c r="S542" s="2" t="n"/>
      <c r="T542" s="2" t="n"/>
      <c r="U542" s="2" t="n"/>
      <c r="V542" s="2" t="n"/>
      <c r="W542" s="2" t="n"/>
      <c r="X542" s="2" t="n"/>
      <c r="Y542" s="2" t="n"/>
      <c r="Z542" s="2" t="n"/>
      <c r="AA542" s="2" t="n"/>
      <c r="AB542" s="2" t="n"/>
      <c r="AC542" s="2" t="n"/>
      <c r="AD542" s="2" t="n"/>
      <c r="AE542" s="1" t="n"/>
      <c r="AF542" s="1" t="n"/>
      <c r="AG542" s="1" t="n"/>
    </row>
    <row r="543">
      <c r="A543" s="1" t="n"/>
      <c r="B543" s="2" t="inlineStr">
        <is>
          <t>Wednesday</t>
        </is>
      </c>
      <c r="C543" s="2" t="inlineStr">
        <is>
          <t>Thursday</t>
        </is>
      </c>
      <c r="D543" s="2" t="inlineStr">
        <is>
          <t>Friday</t>
        </is>
      </c>
      <c r="E543" s="2" t="inlineStr">
        <is>
          <t>Saturday</t>
        </is>
      </c>
      <c r="F543" s="2" t="inlineStr">
        <is>
          <t>Sunday</t>
        </is>
      </c>
      <c r="G543" s="34" t="inlineStr">
        <is>
          <t>Monday</t>
        </is>
      </c>
      <c r="H543" s="2" t="inlineStr">
        <is>
          <t>Tuesday</t>
        </is>
      </c>
      <c r="I543" s="2" t="inlineStr">
        <is>
          <t>Wednesday</t>
        </is>
      </c>
      <c r="J543" s="2" t="inlineStr">
        <is>
          <t>Thursday</t>
        </is>
      </c>
      <c r="K543" s="2" t="inlineStr">
        <is>
          <t>Friday</t>
        </is>
      </c>
      <c r="L543" s="2" t="inlineStr">
        <is>
          <t>Saturday</t>
        </is>
      </c>
      <c r="M543" s="2" t="inlineStr">
        <is>
          <t>Sunday</t>
        </is>
      </c>
      <c r="N543" s="2" t="inlineStr">
        <is>
          <t>Monday</t>
        </is>
      </c>
      <c r="O543" s="2" t="inlineStr">
        <is>
          <t>Tuesday</t>
        </is>
      </c>
      <c r="P543" s="2" t="inlineStr">
        <is>
          <t>Wednesday</t>
        </is>
      </c>
      <c r="Q543" s="2" t="inlineStr">
        <is>
          <t>Thursday</t>
        </is>
      </c>
      <c r="R543" s="2" t="inlineStr">
        <is>
          <t>Friday</t>
        </is>
      </c>
      <c r="S543" s="2" t="inlineStr">
        <is>
          <t>Saturday</t>
        </is>
      </c>
      <c r="T543" s="2" t="inlineStr">
        <is>
          <t>Sunday</t>
        </is>
      </c>
      <c r="U543" s="2" t="inlineStr">
        <is>
          <t>Monday</t>
        </is>
      </c>
      <c r="V543" s="2" t="inlineStr">
        <is>
          <t>Tuesday</t>
        </is>
      </c>
      <c r="W543" s="2" t="inlineStr">
        <is>
          <t>Wednesday</t>
        </is>
      </c>
      <c r="X543" s="2" t="inlineStr">
        <is>
          <t>Thursday</t>
        </is>
      </c>
      <c r="Y543" s="2" t="inlineStr">
        <is>
          <t>Friday</t>
        </is>
      </c>
      <c r="Z543" s="2" t="inlineStr">
        <is>
          <t>Saturday</t>
        </is>
      </c>
      <c r="AA543" s="2" t="inlineStr">
        <is>
          <t>Sunday</t>
        </is>
      </c>
      <c r="AB543" s="34" t="inlineStr">
        <is>
          <t>Monday</t>
        </is>
      </c>
      <c r="AC543" s="2" t="inlineStr">
        <is>
          <t>Tuesday</t>
        </is>
      </c>
      <c r="AD543" s="2" t="inlineStr">
        <is>
          <t>Wednesday</t>
        </is>
      </c>
      <c r="AE543" s="2" t="inlineStr">
        <is>
          <t>Thursday</t>
        </is>
      </c>
      <c r="AF543" s="2" t="inlineStr">
        <is>
          <t>Friday</t>
        </is>
      </c>
      <c r="AG543" s="2" t="inlineStr">
        <is>
          <t>Total</t>
        </is>
      </c>
    </row>
    <row r="544">
      <c r="A544" s="1" t="n"/>
      <c r="B544" s="7" t="inlineStr">
        <is>
          <t>1st</t>
        </is>
      </c>
      <c r="C544" s="7" t="inlineStr">
        <is>
          <t>2nd</t>
        </is>
      </c>
      <c r="D544" s="7" t="inlineStr">
        <is>
          <t>3rd</t>
        </is>
      </c>
      <c r="E544" s="7" t="inlineStr">
        <is>
          <t>4th</t>
        </is>
      </c>
      <c r="F544" s="7" t="inlineStr">
        <is>
          <t>5th</t>
        </is>
      </c>
      <c r="G544" s="4" t="inlineStr">
        <is>
          <t>6th</t>
        </is>
      </c>
      <c r="H544" s="4" t="inlineStr">
        <is>
          <t>7th</t>
        </is>
      </c>
      <c r="I544" s="4" t="inlineStr">
        <is>
          <t>8th</t>
        </is>
      </c>
      <c r="J544" s="4" t="inlineStr">
        <is>
          <t>9th</t>
        </is>
      </c>
      <c r="K544" s="4" t="inlineStr">
        <is>
          <t>10th</t>
        </is>
      </c>
      <c r="L544" s="4" t="inlineStr">
        <is>
          <t>11th</t>
        </is>
      </c>
      <c r="M544" s="4" t="inlineStr">
        <is>
          <t>12th</t>
        </is>
      </c>
      <c r="N544" s="5" t="inlineStr">
        <is>
          <t>13th</t>
        </is>
      </c>
      <c r="O544" s="5" t="inlineStr">
        <is>
          <t>14th</t>
        </is>
      </c>
      <c r="P544" s="5" t="inlineStr">
        <is>
          <t>15th</t>
        </is>
      </c>
      <c r="Q544" s="5" t="inlineStr">
        <is>
          <t>16th</t>
        </is>
      </c>
      <c r="R544" s="5" t="inlineStr">
        <is>
          <t>17th</t>
        </is>
      </c>
      <c r="S544" s="5" t="inlineStr">
        <is>
          <t>18th</t>
        </is>
      </c>
      <c r="T544" s="5" t="inlineStr">
        <is>
          <t>19th</t>
        </is>
      </c>
      <c r="U544" s="6" t="inlineStr">
        <is>
          <t>20th</t>
        </is>
      </c>
      <c r="V544" s="6" t="inlineStr">
        <is>
          <t>21st</t>
        </is>
      </c>
      <c r="W544" s="6" t="inlineStr">
        <is>
          <t>22nd</t>
        </is>
      </c>
      <c r="X544" s="6" t="inlineStr">
        <is>
          <t>23rd</t>
        </is>
      </c>
      <c r="Y544" s="6" t="inlineStr">
        <is>
          <t>24th</t>
        </is>
      </c>
      <c r="Z544" s="6" t="inlineStr">
        <is>
          <t>25th</t>
        </is>
      </c>
      <c r="AA544" s="6" t="inlineStr">
        <is>
          <t>26th</t>
        </is>
      </c>
      <c r="AB544" s="7" t="inlineStr">
        <is>
          <t>27th</t>
        </is>
      </c>
      <c r="AC544" s="7" t="inlineStr">
        <is>
          <t>28th</t>
        </is>
      </c>
      <c r="AD544" s="7" t="inlineStr">
        <is>
          <t>29th</t>
        </is>
      </c>
      <c r="AE544" s="7" t="inlineStr">
        <is>
          <t>30th</t>
        </is>
      </c>
      <c r="AF544" s="7" t="inlineStr">
        <is>
          <t>31st</t>
        </is>
      </c>
      <c r="AG544" s="1" t="n"/>
    </row>
    <row r="545" ht="18.75" customHeight="1">
      <c r="A545" s="8" t="inlineStr">
        <is>
          <t>B-HAM CITY COUNCIL-200790-70489166</t>
        </is>
      </c>
      <c r="C545" s="9" t="n"/>
      <c r="D545" s="12" t="n"/>
      <c r="E545" s="9" t="n"/>
      <c r="F545" s="12" t="n"/>
      <c r="G545" s="79" t="n"/>
      <c r="H545" s="10" t="n"/>
      <c r="I545" s="11" t="n"/>
      <c r="J545" s="9" t="n"/>
      <c r="L545" s="12" t="n"/>
      <c r="M545" s="12" t="n"/>
      <c r="N545" s="12" t="n"/>
      <c r="P545" t="n">
        <v>5230.45</v>
      </c>
      <c r="Q545" s="10" t="n"/>
      <c r="R545" s="12" t="n"/>
      <c r="S545" s="12" t="n"/>
      <c r="T545" s="12" t="n"/>
      <c r="V545" s="11" t="n"/>
      <c r="W545" t="n">
        <v>5018.56</v>
      </c>
      <c r="X545" s="31" t="n"/>
      <c r="Y545" s="91" t="n">
        <v>74350</v>
      </c>
      <c r="Z545" s="9" t="n"/>
      <c r="AB545" s="77" t="n"/>
      <c r="AF545" s="12" t="n"/>
      <c r="AG545" s="13">
        <f>SUM(B545:AF545)</f>
        <v/>
      </c>
    </row>
    <row r="546" ht="18.75" customHeight="1">
      <c r="A546" s="8" t="inlineStr">
        <is>
          <t>Accord/Age uk</t>
        </is>
      </c>
      <c r="B546" s="12" t="n"/>
      <c r="C546" s="12" t="n"/>
      <c r="D546" s="12" t="n"/>
      <c r="E546" s="12" t="n"/>
      <c r="F546" s="12" t="n"/>
      <c r="G546" s="79" t="n"/>
      <c r="H546" s="9" t="n"/>
      <c r="I546" s="11" t="n"/>
      <c r="J546" s="9" t="n"/>
      <c r="K546" s="12" t="n"/>
      <c r="L546" s="12" t="n"/>
      <c r="M546" s="12" t="n"/>
      <c r="N546" s="12" t="n"/>
      <c r="O546" s="9" t="n"/>
      <c r="P546" s="9" t="n"/>
      <c r="Q546" s="12" t="n"/>
      <c r="R546" s="12" t="n"/>
      <c r="S546" s="11" t="n"/>
      <c r="T546" s="12" t="n"/>
      <c r="U546" s="11" t="n"/>
      <c r="V546" s="9" t="n"/>
      <c r="W546" s="9" t="n"/>
      <c r="X546" s="26" t="n"/>
      <c r="Y546" s="31" t="n"/>
      <c r="Z546" s="9" t="n"/>
      <c r="AA546" s="9" t="n"/>
      <c r="AB546" s="77" t="n"/>
      <c r="AC546" s="9" t="n"/>
      <c r="AD546" s="9" t="n"/>
      <c r="AE546" s="9" t="n"/>
      <c r="AF546" s="9" t="n"/>
      <c r="AG546" s="13">
        <f>SUM(B546:AF546)</f>
        <v/>
      </c>
    </row>
    <row r="547" ht="15.75" customHeight="1">
      <c r="A547" s="8" t="inlineStr">
        <is>
          <t>Buckingham</t>
        </is>
      </c>
      <c r="C547" s="9" t="n"/>
      <c r="D547" s="9" t="n"/>
      <c r="E547" s="9" t="n"/>
      <c r="F547" s="9" t="n"/>
      <c r="G547" s="80" t="n"/>
      <c r="H547" s="26" t="n"/>
      <c r="I547" s="26" t="n"/>
      <c r="J547" s="26" t="n"/>
      <c r="K547" s="31" t="n">
        <v>5134.44</v>
      </c>
      <c r="L547" s="26" t="n"/>
      <c r="M547" s="26" t="n"/>
      <c r="N547" s="26" t="n"/>
      <c r="O547" s="9" t="n"/>
      <c r="P547" s="12" t="n"/>
      <c r="Q547" s="9" t="n"/>
      <c r="R547" s="9" t="n"/>
      <c r="S547" s="9" t="n"/>
      <c r="T547" s="9" t="n"/>
      <c r="U547" s="9" t="n"/>
      <c r="V547" s="9" t="n"/>
      <c r="W547" s="9" t="n"/>
      <c r="X547" s="26" t="n"/>
      <c r="Y547" s="26" t="n"/>
      <c r="Z547" s="9" t="n"/>
      <c r="AA547" s="9" t="n"/>
      <c r="AB547" s="77" t="n"/>
      <c r="AC547" s="9" t="n"/>
      <c r="AD547" s="9" t="n"/>
      <c r="AE547" s="9" t="n"/>
      <c r="AF547" s="9" t="n"/>
      <c r="AG547" s="13">
        <f>SUM(B547:AF547)</f>
        <v/>
      </c>
    </row>
    <row r="548" ht="15.75" customHeight="1">
      <c r="A548" s="8" t="inlineStr">
        <is>
          <t>Sandwell respite est</t>
        </is>
      </c>
      <c r="B548" s="9" t="n"/>
      <c r="C548" s="9" t="n"/>
      <c r="D548" s="9" t="n"/>
      <c r="E548" s="9" t="n"/>
      <c r="F548" s="9" t="n"/>
      <c r="G548" s="80" t="n"/>
      <c r="H548" s="26" t="n"/>
      <c r="I548" s="26" t="n"/>
      <c r="J548" s="26" t="n"/>
      <c r="K548" s="26" t="n"/>
      <c r="L548" s="26" t="n"/>
      <c r="M548" s="26" t="n"/>
      <c r="N548" t="n">
        <v>9872.459999999999</v>
      </c>
      <c r="P548" t="n">
        <v>2284.8</v>
      </c>
      <c r="Q548" s="9" t="n"/>
      <c r="R548" s="9" t="n"/>
      <c r="S548" s="9" t="n"/>
      <c r="T548" s="9" t="n"/>
      <c r="U548" s="9" t="n"/>
      <c r="V548" s="9" t="n"/>
      <c r="W548" s="9" t="n"/>
      <c r="X548" s="26" t="n"/>
      <c r="Y548" s="26" t="n"/>
      <c r="Z548" s="9" t="n"/>
      <c r="AA548" s="9" t="n"/>
      <c r="AB548" s="77" t="n"/>
      <c r="AC548" s="26" t="n"/>
      <c r="AD548" s="9" t="n"/>
      <c r="AE548" s="9" t="n"/>
      <c r="AF548" s="10" t="n"/>
      <c r="AG548" s="13">
        <f>SUM(B548:AF548)</f>
        <v/>
      </c>
    </row>
    <row r="549" ht="15.75" customHeight="1">
      <c r="A549" s="8" t="inlineStr">
        <is>
          <t xml:space="preserve">Wolverhampton respite est </t>
        </is>
      </c>
      <c r="B549" s="9" t="n"/>
      <c r="C549" s="16" t="n">
        <v>6710.38</v>
      </c>
      <c r="D549" s="9" t="n"/>
      <c r="E549" s="9" t="n"/>
      <c r="F549" s="9" t="n"/>
      <c r="G549" s="80" t="n"/>
      <c r="H549" s="26" t="n"/>
      <c r="I549" s="26" t="n"/>
      <c r="J549" s="26" t="n"/>
      <c r="K549" s="26" t="n">
        <v>7794.54</v>
      </c>
      <c r="L549" s="26" t="n"/>
      <c r="M549" s="26" t="n"/>
      <c r="N549" s="26" t="n"/>
      <c r="O549" s="9" t="n"/>
      <c r="P549" s="9" t="n"/>
      <c r="Q549" s="16" t="n">
        <v>7088.1</v>
      </c>
      <c r="R549" s="9" t="n"/>
      <c r="S549" s="9" t="n"/>
      <c r="T549" s="9" t="n"/>
      <c r="U549" s="9" t="n"/>
      <c r="V549" s="9" t="n"/>
      <c r="W549" s="9" t="n"/>
      <c r="X549" s="16" t="n">
        <v>7088.1</v>
      </c>
      <c r="Y549" s="26" t="n"/>
      <c r="Z549" s="9" t="n"/>
      <c r="AA549" s="9" t="n"/>
      <c r="AB549" s="77" t="n"/>
      <c r="AC549" s="26" t="n">
        <v>11948.48</v>
      </c>
      <c r="AD549" s="9" t="n"/>
      <c r="AE549" s="9" t="n"/>
      <c r="AF549" t="n">
        <v>3014.78</v>
      </c>
      <c r="AG549" s="13">
        <f>SUM(B549:AF549)</f>
        <v/>
      </c>
    </row>
    <row r="550" ht="15.75" customHeight="1">
      <c r="A550" s="8" t="inlineStr">
        <is>
          <t>Walsall Respite</t>
        </is>
      </c>
      <c r="B550" s="9" t="n"/>
      <c r="C550" s="26" t="n"/>
      <c r="D550" s="9" t="n"/>
      <c r="E550" s="9" t="n"/>
      <c r="F550" s="9" t="n"/>
      <c r="G550" s="81" t="n"/>
      <c r="H550" s="26" t="n">
        <v>11806.4</v>
      </c>
      <c r="I550" s="26" t="n"/>
      <c r="J550" s="26" t="n"/>
      <c r="K550" s="31" t="n"/>
      <c r="L550" s="26" t="n"/>
      <c r="M550" s="26" t="n"/>
      <c r="N550" s="26" t="n"/>
      <c r="O550" s="9" t="n"/>
      <c r="P550" s="9" t="n"/>
      <c r="Q550" s="26" t="n"/>
      <c r="R550" t="n">
        <v>3040</v>
      </c>
      <c r="S550" s="9" t="n"/>
      <c r="T550" s="9" t="n"/>
      <c r="U550" s="9" t="n"/>
      <c r="V550" s="9" t="n"/>
      <c r="W550" s="9" t="n"/>
      <c r="X550" s="26" t="n"/>
      <c r="Y550" s="26" t="n"/>
      <c r="Z550" s="9" t="n"/>
      <c r="AA550" s="9" t="n"/>
      <c r="AB550" s="77" t="n"/>
      <c r="AC550" s="9" t="n"/>
      <c r="AD550" s="9" t="n"/>
      <c r="AE550" s="9" t="n"/>
      <c r="AF550" s="9" t="n"/>
      <c r="AG550" s="13">
        <f>SUM(B550:AF550)</f>
        <v/>
      </c>
    </row>
    <row r="551" ht="18.75" customHeight="1">
      <c r="A551" s="8" t="inlineStr">
        <is>
          <t>Ideal for All Ltd</t>
        </is>
      </c>
      <c r="B551" s="9" t="n"/>
      <c r="C551" s="31" t="n"/>
      <c r="D551" s="12" t="n"/>
      <c r="E551" s="11" t="n"/>
      <c r="F551" s="9" t="n"/>
      <c r="G551" s="79" t="n"/>
      <c r="H551" s="76" t="n"/>
      <c r="I551" s="31" t="n"/>
      <c r="J551" s="31" t="n"/>
      <c r="K551" s="31" t="n">
        <v>2516.8</v>
      </c>
      <c r="L551" s="26" t="n"/>
      <c r="M551" s="31" t="n"/>
      <c r="N551" s="31" t="n"/>
      <c r="O551" s="12" t="n"/>
      <c r="P551" s="12" t="n"/>
      <c r="Q551" s="31" t="n"/>
      <c r="R551" s="9" t="n"/>
      <c r="S551" s="9" t="n"/>
      <c r="T551" s="9" t="n"/>
      <c r="U551" t="n">
        <v>3814.88</v>
      </c>
      <c r="V551" s="9" t="n"/>
      <c r="W551" s="9" t="n"/>
      <c r="X551" s="76" t="n"/>
      <c r="Y551" s="26" t="n"/>
      <c r="Z551" s="9" t="n"/>
      <c r="AA551" s="9" t="n"/>
      <c r="AB551" s="77" t="n"/>
      <c r="AC551" s="9" t="n"/>
      <c r="AF551" s="12" t="n"/>
      <c r="AG551" s="13">
        <f>SUM(B551:AF551)</f>
        <v/>
      </c>
    </row>
    <row r="552" ht="15.75" customHeight="1">
      <c r="A552" s="8" t="inlineStr">
        <is>
          <t>KIRKLEES COUNCIL-204312-63046958</t>
        </is>
      </c>
      <c r="B552" s="9" t="n"/>
      <c r="C552" s="26" t="n"/>
      <c r="D552" s="9" t="n"/>
      <c r="E552" s="9" t="n"/>
      <c r="F552" s="9" t="n"/>
      <c r="G552" s="80" t="n"/>
      <c r="H552" s="31" t="n">
        <v>5698.2</v>
      </c>
      <c r="I552" s="31" t="n"/>
      <c r="J552" s="26" t="n"/>
      <c r="K552" s="31" t="n"/>
      <c r="L552" s="26" t="n"/>
      <c r="M552" s="26" t="n"/>
      <c r="N552" s="31" t="n"/>
      <c r="O552" s="9" t="n"/>
      <c r="P552" s="12" t="n"/>
      <c r="Q552" s="26" t="n"/>
      <c r="R552" s="9" t="n"/>
      <c r="S552" s="9" t="n"/>
      <c r="T552" s="9" t="n"/>
      <c r="V552" t="n">
        <v>5888.14</v>
      </c>
      <c r="W552" s="12" t="n"/>
      <c r="X552" s="26" t="n"/>
      <c r="Y552" s="26" t="n"/>
      <c r="Z552" s="9" t="n"/>
      <c r="AA552" s="9" t="n"/>
      <c r="AB552" s="77" t="n"/>
      <c r="AC552" s="12" t="n"/>
      <c r="AD552" s="9" t="n"/>
      <c r="AE552" s="12" t="n"/>
      <c r="AF552" s="12" t="n"/>
      <c r="AG552" s="13">
        <f>SUM(B552:AF552)</f>
        <v/>
      </c>
    </row>
    <row r="553" ht="15.75" customHeight="1">
      <c r="A553" s="8" t="inlineStr">
        <is>
          <t>LBH PAYMENTS BACS-602210-72430192</t>
        </is>
      </c>
      <c r="B553" s="9" t="n"/>
      <c r="C553" s="26" t="n"/>
      <c r="D553" s="9" t="n"/>
      <c r="E553" s="9" t="n"/>
      <c r="F553" s="9" t="n"/>
      <c r="G553" s="80" t="n"/>
      <c r="H553" s="26" t="n"/>
      <c r="I553" s="26" t="n"/>
      <c r="J553" s="26" t="n"/>
      <c r="K553" s="31" t="n"/>
      <c r="L553" s="26" t="n"/>
      <c r="M553" s="26" t="n"/>
      <c r="N553" s="26" t="n"/>
      <c r="O553" s="9" t="n"/>
      <c r="P553" s="9" t="n"/>
      <c r="Q553" s="31" t="n"/>
      <c r="R553" s="9" t="n"/>
      <c r="S553" s="9" t="n"/>
      <c r="T553" s="9" t="n"/>
      <c r="U553" t="n">
        <v>5040</v>
      </c>
      <c r="V553" s="9" t="n"/>
      <c r="W553" s="9" t="n"/>
      <c r="X553" s="26" t="n"/>
      <c r="Y553" s="26" t="n"/>
      <c r="Z553" s="9" t="n"/>
      <c r="AA553" s="9" t="n"/>
      <c r="AB553" s="77" t="n"/>
      <c r="AC553" s="9" t="n"/>
      <c r="AD553" s="9" t="n"/>
      <c r="AE553" s="9" t="n"/>
      <c r="AF553" s="9" t="n"/>
      <c r="AG553" s="13">
        <f>SUM(B553:AF553)</f>
        <v/>
      </c>
    </row>
    <row r="554" ht="15.75" customHeight="1">
      <c r="A554" s="8" t="inlineStr">
        <is>
          <t>NHS BIRMINGHAM &amp; S-607080-10017097</t>
        </is>
      </c>
      <c r="B554" s="9" t="n"/>
      <c r="C554" s="26" t="n"/>
      <c r="D554" s="9" t="n"/>
      <c r="E554" s="9" t="n"/>
      <c r="F554" s="12" t="n"/>
      <c r="G554" s="80" t="n"/>
      <c r="H554" s="26" t="n"/>
      <c r="I554" s="31" t="n"/>
      <c r="J554" s="31" t="n">
        <v>6891.9</v>
      </c>
      <c r="K554" s="31" t="n"/>
      <c r="L554" s="31" t="n"/>
      <c r="M554" s="31" t="n"/>
      <c r="N554" s="31" t="n"/>
      <c r="O554" s="9" t="inlineStr"/>
      <c r="P554" s="9" t="n"/>
      <c r="Q554" s="26" t="n"/>
      <c r="R554" s="9" t="n"/>
      <c r="S554" s="9" t="n"/>
      <c r="T554" s="9" t="n"/>
      <c r="U554" s="9" t="n"/>
      <c r="V554" s="9" t="n"/>
      <c r="W554" s="9" t="n"/>
      <c r="X554" s="26" t="n"/>
      <c r="Y554" s="26" t="n"/>
      <c r="Z554" s="9" t="n"/>
      <c r="AA554" s="9" t="n"/>
      <c r="AB554" s="77" t="n"/>
      <c r="AC554" s="9" t="n"/>
      <c r="AD554" s="9" t="n"/>
      <c r="AE554" s="9" t="n"/>
      <c r="AF554" s="9" t="n"/>
      <c r="AG554" s="13">
        <f>SUM(B554:AF554)</f>
        <v/>
      </c>
    </row>
    <row r="555" ht="15.75" customHeight="1">
      <c r="A555" s="8" t="inlineStr">
        <is>
          <t>NHS BLACK COUNTRY-607080-10015272</t>
        </is>
      </c>
      <c r="B555" s="9" t="n"/>
      <c r="C555" s="31" t="n"/>
      <c r="D555" s="9" t="n"/>
      <c r="E555" s="12" t="n"/>
      <c r="F555" s="9" t="n"/>
      <c r="G555" s="80" t="n"/>
      <c r="H555" s="26" t="n"/>
      <c r="I555" s="26" t="n"/>
      <c r="J555" s="26" t="inlineStr"/>
      <c r="K555" s="31" t="n"/>
      <c r="L555" s="26" t="inlineStr"/>
      <c r="M555" s="26" t="inlineStr"/>
      <c r="N555" s="31" t="n">
        <v>13625.17</v>
      </c>
      <c r="O555" s="12" t="n"/>
      <c r="P555" s="9" t="n"/>
      <c r="Q555" s="26" t="n"/>
      <c r="R555" s="9" t="n"/>
      <c r="S555" s="9" t="n"/>
      <c r="T555" s="12" t="n"/>
      <c r="U555" s="9" t="n"/>
      <c r="V555" s="9" t="n"/>
      <c r="W555" s="90" t="n">
        <v>1101.6</v>
      </c>
      <c r="X555" s="31" t="n"/>
      <c r="Y555" s="26" t="n"/>
      <c r="Z555" s="9" t="n"/>
      <c r="AA555" s="9" t="n"/>
      <c r="AB555" s="77" t="n"/>
      <c r="AC555" s="9" t="n"/>
      <c r="AD555" s="9" t="n"/>
      <c r="AE555" s="26" t="n">
        <v>8342.32</v>
      </c>
      <c r="AF555" s="26" t="n">
        <v>1384.9</v>
      </c>
      <c r="AG555" s="13">
        <f>SUM(B555:AF555)</f>
        <v/>
      </c>
    </row>
    <row r="556" ht="15.75" customHeight="1">
      <c r="A556" s="14" t="inlineStr">
        <is>
          <t>SANDWELL MBC  BEN-601539-69624151</t>
        </is>
      </c>
      <c r="B556" s="9" t="n"/>
      <c r="C556" s="26" t="n"/>
      <c r="D556" s="9" t="n"/>
      <c r="E556" s="9" t="n"/>
      <c r="F556" s="9" t="n"/>
      <c r="G556" s="80" t="n"/>
      <c r="H556" s="26" t="n"/>
      <c r="I556" s="26" t="n"/>
      <c r="J556" s="26" t="n"/>
      <c r="K556" s="26" t="n"/>
      <c r="L556" s="26" t="n"/>
      <c r="M556" s="31" t="n"/>
      <c r="N556" s="26" t="n"/>
      <c r="O556" s="9" t="n"/>
      <c r="P556" s="9" t="n"/>
      <c r="Q556" s="26" t="n"/>
      <c r="R556" s="9" t="n"/>
      <c r="S556" s="9" t="n"/>
      <c r="T556" s="9" t="n"/>
      <c r="U556" s="9" t="n"/>
      <c r="V556" s="9" t="n"/>
      <c r="W556" s="9" t="n"/>
      <c r="X556" s="26" t="n"/>
      <c r="Y556" s="31" t="n">
        <v>2660</v>
      </c>
      <c r="Z556" s="9" t="n"/>
      <c r="AA556" s="9" t="n"/>
      <c r="AB556" s="77" t="n"/>
      <c r="AC556" s="12" t="n"/>
      <c r="AD556" s="9" t="n"/>
      <c r="AE556" s="9" t="n"/>
      <c r="AF556" s="9" t="n"/>
      <c r="AG556" s="13">
        <f>SUM(B556:AF556)</f>
        <v/>
      </c>
    </row>
    <row r="557" ht="15.75" customHeight="1">
      <c r="A557" s="14" t="inlineStr">
        <is>
          <t>SANDWELL MBC-601539-69624135</t>
        </is>
      </c>
      <c r="B557" t="n">
        <v>120054.72</v>
      </c>
      <c r="C557" s="26" t="n"/>
      <c r="D557" s="9" t="n"/>
      <c r="E557" s="9" t="n"/>
      <c r="F557" s="9" t="n"/>
      <c r="G557" s="80" t="n"/>
      <c r="H557" s="26" t="n"/>
      <c r="I557" s="26" t="n"/>
      <c r="J557" s="26" t="n"/>
      <c r="K557" s="26" t="n"/>
      <c r="L557" s="26" t="n"/>
      <c r="M557" s="26" t="n"/>
      <c r="N557" s="31" t="n"/>
      <c r="O557" s="12" t="n"/>
      <c r="Q557" s="31" t="n"/>
      <c r="R557" s="9" t="n"/>
      <c r="S557" s="9" t="n"/>
      <c r="T557" s="9" t="n"/>
      <c r="U557" t="n">
        <v>129344.64</v>
      </c>
      <c r="V557" s="9" t="n"/>
      <c r="W557" s="9" t="n"/>
      <c r="X557" s="26" t="n"/>
      <c r="Y557" s="26" t="n"/>
      <c r="Z557" s="9" t="n"/>
      <c r="AA557" s="9" t="n"/>
      <c r="AB557" s="78" t="n"/>
      <c r="AC557" s="26" t="n">
        <v>121574.4</v>
      </c>
      <c r="AF557" s="9" t="n"/>
      <c r="AG557" s="13">
        <f>SUM(B557:AF557)</f>
        <v/>
      </c>
    </row>
    <row r="558" ht="15.75" customHeight="1">
      <c r="A558" s="15" t="inlineStr">
        <is>
          <t>SOLIHULL MBC EXP.-200771-00561525</t>
        </is>
      </c>
      <c r="B558" s="9" t="n"/>
      <c r="C558" s="26" t="n"/>
      <c r="D558" s="9" t="n"/>
      <c r="E558" s="9" t="n"/>
      <c r="F558" s="9" t="n"/>
      <c r="G558" s="80" t="n"/>
      <c r="H558" s="26" t="n"/>
      <c r="I558" s="26" t="n"/>
      <c r="J558" s="26" t="n"/>
      <c r="K558" s="26" t="n"/>
      <c r="L558" s="26" t="n"/>
      <c r="M558" s="26" t="n"/>
      <c r="N558" s="31" t="n"/>
      <c r="O558" s="9" t="n"/>
      <c r="P558" s="9" t="n"/>
      <c r="Q558" s="26" t="n"/>
      <c r="R558" s="12" t="n"/>
      <c r="S558" s="9" t="n"/>
      <c r="T558" s="9" t="n"/>
      <c r="U558" t="n">
        <v>32010.44</v>
      </c>
      <c r="V558" s="84" t="n"/>
      <c r="W558" s="9" t="n"/>
      <c r="X558" s="26" t="n"/>
      <c r="Y558" s="26" t="n"/>
      <c r="Z558" s="9" t="n"/>
      <c r="AA558" s="9" t="n"/>
      <c r="AB558" s="77" t="n"/>
      <c r="AC558" s="9" t="n"/>
      <c r="AD558" s="9" t="n"/>
      <c r="AE558" s="9" t="n"/>
      <c r="AF558" s="9" t="n"/>
      <c r="AG558" s="13">
        <f>SUM(B558:AF558)</f>
        <v/>
      </c>
    </row>
    <row r="559" ht="15.75" customHeight="1">
      <c r="A559" s="15" t="inlineStr">
        <is>
          <t>WALSALL MBC BARC-209073-10731692</t>
        </is>
      </c>
      <c r="B559" s="9" t="n"/>
      <c r="C559" s="26" t="n"/>
      <c r="D559" s="9" t="n"/>
      <c r="E559" s="9" t="n"/>
      <c r="F559" s="9" t="n"/>
      <c r="G559" s="81" t="n"/>
      <c r="H559" s="16">
        <f>187335.81-H550</f>
        <v/>
      </c>
      <c r="I559" s="26" t="n"/>
      <c r="J559" s="26" t="n"/>
      <c r="K559" s="31" t="n"/>
      <c r="L559" s="26" t="n"/>
      <c r="M559" s="26" t="n"/>
      <c r="N559" s="26" t="n"/>
      <c r="O559" s="9" t="n"/>
      <c r="P559" s="9" t="n"/>
      <c r="Q559" s="26" t="n"/>
      <c r="R559" s="9" t="n"/>
      <c r="S559" s="9" t="n"/>
      <c r="T559" s="9" t="n"/>
      <c r="U559" s="9" t="n"/>
      <c r="V559" s="9" t="n"/>
      <c r="W559" s="9" t="n"/>
      <c r="X559" s="26" t="n"/>
      <c r="Y559" s="26" t="n"/>
      <c r="Z559" s="9" t="n"/>
      <c r="AA559" s="9" t="n"/>
      <c r="AB559" s="77" t="n"/>
      <c r="AC559" s="9" t="n"/>
      <c r="AD559" s="9" t="n"/>
      <c r="AE559" s="9" t="n"/>
      <c r="AF559" s="9" t="n"/>
      <c r="AG559" s="13">
        <f>SUM(B559:AF559)</f>
        <v/>
      </c>
    </row>
    <row r="560" ht="15.75" customHeight="1">
      <c r="A560" s="15" t="inlineStr">
        <is>
          <t>WOLVERHAMPTON CC-560069-44470320</t>
        </is>
      </c>
      <c r="B560" s="9" t="n"/>
      <c r="C560" s="26" t="n">
        <v>110245.52</v>
      </c>
      <c r="D560" t="n">
        <v>1681.6</v>
      </c>
      <c r="E560" s="9" t="n"/>
      <c r="F560" s="9" t="n"/>
      <c r="G560" s="80" t="n"/>
      <c r="H560" s="26" t="n"/>
      <c r="I560" s="26" t="n"/>
      <c r="J560" s="31" t="n"/>
      <c r="K560" s="26">
        <f>119259.74-K549</f>
        <v/>
      </c>
      <c r="L560" s="26" t="n"/>
      <c r="M560" s="26" t="n"/>
      <c r="N560" s="26" t="n">
        <v>7528.8</v>
      </c>
      <c r="O560" s="9" t="n"/>
      <c r="P560" s="9" t="n"/>
      <c r="Q560" s="16">
        <f>119405.04-Q549</f>
        <v/>
      </c>
      <c r="R560" s="9" t="n"/>
      <c r="S560" s="9" t="n"/>
      <c r="T560" s="9" t="n"/>
      <c r="U560" s="9" t="n"/>
      <c r="V560" s="9" t="n"/>
      <c r="W560" s="9" t="n"/>
      <c r="X560" s="26" t="n">
        <v>121335.2</v>
      </c>
      <c r="Y560" s="26" t="n"/>
      <c r="Z560" s="9" t="n"/>
      <c r="AA560" s="9" t="n"/>
      <c r="AB560" s="77" t="n"/>
      <c r="AC560" s="9" t="n"/>
      <c r="AD560" s="9" t="n"/>
      <c r="AE560" s="9" t="n"/>
      <c r="AF560" s="26" t="n">
        <v>137358.79</v>
      </c>
      <c r="AG560" s="13">
        <f>SUM(B560:AF560)</f>
        <v/>
      </c>
    </row>
    <row r="561" ht="15.75" customHeight="1">
      <c r="A561" s="15" t="inlineStr">
        <is>
          <t>Portsmouth PCC</t>
        </is>
      </c>
      <c r="B561" s="9" t="n"/>
      <c r="C561" s="26" t="n"/>
      <c r="E561" s="9" t="n"/>
      <c r="F561" s="9" t="n"/>
      <c r="G561" s="80" t="n"/>
      <c r="H561" s="31" t="n">
        <v>6771.43</v>
      </c>
      <c r="I561" s="9" t="n"/>
      <c r="K561" s="9" t="n"/>
      <c r="L561" s="9" t="n"/>
      <c r="M561" s="9" t="n"/>
      <c r="N561" s="9" t="n"/>
      <c r="O561" s="9" t="n"/>
      <c r="P561" s="9" t="n"/>
      <c r="Q561" s="9" t="n"/>
      <c r="R561" s="9" t="n"/>
      <c r="S561" s="9" t="n"/>
      <c r="T561" s="9" t="n"/>
      <c r="U561" s="9" t="n"/>
      <c r="V561" s="9" t="n"/>
      <c r="W561" s="9" t="n"/>
      <c r="X561" s="26" t="n"/>
      <c r="Y561" s="26" t="n"/>
      <c r="Z561" s="9" t="n"/>
      <c r="AA561" s="9" t="n"/>
      <c r="AB561" s="77" t="n"/>
      <c r="AC561" s="9" t="n"/>
      <c r="AD561" s="9" t="n"/>
      <c r="AE561" s="9" t="n"/>
      <c r="AF561" s="26" t="n">
        <v>5078.57</v>
      </c>
      <c r="AG561" s="13">
        <f>SUM(B561:AF561)</f>
        <v/>
      </c>
    </row>
    <row r="562" ht="15.75" customHeight="1">
      <c r="A562" s="15" t="inlineStr">
        <is>
          <t>TLC</t>
        </is>
      </c>
      <c r="B562" s="9" t="n"/>
      <c r="C562" s="9" t="n"/>
      <c r="D562" s="12" t="n"/>
      <c r="E562" s="12" t="n"/>
      <c r="F562" s="9" t="n"/>
      <c r="G562" s="80" t="n"/>
      <c r="H562" s="9" t="n"/>
      <c r="I562" s="9" t="n"/>
      <c r="J562" s="9" t="n"/>
      <c r="K562" s="9" t="n"/>
      <c r="L562" s="12" t="n"/>
      <c r="M562" s="12" t="n"/>
      <c r="N562" s="9" t="n"/>
      <c r="O562" s="12" t="n"/>
      <c r="P562" s="12" t="n"/>
      <c r="Q562" s="9" t="n"/>
      <c r="R562" s="9" t="n"/>
      <c r="S562" s="12" t="n"/>
      <c r="T562" s="9" t="n"/>
      <c r="U562" s="9" t="n"/>
      <c r="V562" s="9" t="n"/>
      <c r="W562" s="9" t="n"/>
      <c r="X562" s="26" t="n"/>
      <c r="Y562" s="26" t="n"/>
      <c r="Z562" s="9" t="n"/>
      <c r="AA562" s="9" t="n"/>
      <c r="AB562" s="77" t="n"/>
      <c r="AC562" s="12" t="n"/>
      <c r="AD562" s="9" t="n"/>
      <c r="AE562" s="9" t="n"/>
      <c r="AF562" s="9" t="n"/>
      <c r="AG562" s="13">
        <f>SUM(B562:AF562)</f>
        <v/>
      </c>
    </row>
    <row r="563" ht="15.75" customHeight="1">
      <c r="A563" s="15" t="inlineStr">
        <is>
          <t>HB SC</t>
        </is>
      </c>
      <c r="B563" s="16" t="n">
        <v>10595.3</v>
      </c>
      <c r="C563" s="16" t="n">
        <v>1448.470000000001</v>
      </c>
      <c r="D563" s="16" t="n">
        <v>5539.050000000001</v>
      </c>
      <c r="E563" s="16" t="n">
        <v>0</v>
      </c>
      <c r="F563" s="16" t="n">
        <v>250</v>
      </c>
      <c r="G563" s="16" t="n">
        <v>0</v>
      </c>
      <c r="H563" s="16" t="n">
        <v>5072.209999999996</v>
      </c>
      <c r="I563" s="16" t="n">
        <v>1564.85</v>
      </c>
      <c r="J563" s="16" t="n">
        <v>2175.729999999996</v>
      </c>
      <c r="K563" s="16" t="n">
        <v>4587.850000000012</v>
      </c>
      <c r="L563" s="16" t="n">
        <v>600</v>
      </c>
      <c r="M563" s="16" t="n">
        <v>150</v>
      </c>
      <c r="N563" s="16">
        <f>13979.59-N548</f>
        <v/>
      </c>
      <c r="O563" s="16" t="n">
        <v>2399.86</v>
      </c>
      <c r="P563" s="16" t="n">
        <v>2725.360000000001</v>
      </c>
      <c r="Q563" s="16" t="n">
        <v>3327.430000000008</v>
      </c>
      <c r="R563" s="16" t="n">
        <v>3144.290000000001</v>
      </c>
      <c r="S563" s="16" t="n">
        <v>0</v>
      </c>
      <c r="T563" s="16" t="n">
        <v>150</v>
      </c>
      <c r="U563" s="16" t="n">
        <v>6044.610000000005</v>
      </c>
      <c r="V563" s="16" t="n">
        <v>9096.5</v>
      </c>
      <c r="W563" s="16" t="n">
        <v>5746.739999999998</v>
      </c>
      <c r="X563" s="16">
        <f>5690.12000000001+230.46</f>
        <v/>
      </c>
      <c r="Y563" s="16" t="n">
        <v>5451.989999999991</v>
      </c>
      <c r="Z563" s="16" t="n">
        <v>0</v>
      </c>
      <c r="AA563" s="16" t="n">
        <v>0</v>
      </c>
      <c r="AB563" s="16" t="n">
        <v>3907.53</v>
      </c>
      <c r="AC563" s="16" t="n">
        <v>10738.79000000001</v>
      </c>
      <c r="AD563" s="16" t="n">
        <v>2698.399999999949</v>
      </c>
      <c r="AE563" s="16" t="n">
        <v>5361.190000000001</v>
      </c>
      <c r="AF563" s="16" t="n">
        <v>2607.350000000005</v>
      </c>
      <c r="AG563" s="13">
        <f>SUM(B563:AF563)</f>
        <v/>
      </c>
    </row>
    <row r="564" ht="16.5" customHeight="1" thickBot="1">
      <c r="A564" s="15" t="inlineStr">
        <is>
          <t>Total</t>
        </is>
      </c>
      <c r="B564">
        <f>SUM(B545:B563)</f>
        <v/>
      </c>
      <c r="C564">
        <f>SUM(C545:C563)</f>
        <v/>
      </c>
      <c r="D564">
        <f>SUM(D545:D563)</f>
        <v/>
      </c>
      <c r="E564">
        <f>SUM(E545:E563)</f>
        <v/>
      </c>
      <c r="F564">
        <f>SUM(F545:F563)</f>
        <v/>
      </c>
      <c r="G564">
        <f>SUM(G545:G563)</f>
        <v/>
      </c>
      <c r="H564">
        <f>SUM(H545:H563)</f>
        <v/>
      </c>
      <c r="I564">
        <f>SUM(I545:I563)</f>
        <v/>
      </c>
      <c r="J564">
        <f>SUM(J545:J563)</f>
        <v/>
      </c>
      <c r="K564">
        <f>SUM(K545:K563)</f>
        <v/>
      </c>
      <c r="L564">
        <f>SUM(L545:L563)</f>
        <v/>
      </c>
      <c r="M564">
        <f>SUM(M545:M563)</f>
        <v/>
      </c>
      <c r="N564">
        <f>SUM(N545:N563)</f>
        <v/>
      </c>
      <c r="O564">
        <f>SUM(O545:O563)</f>
        <v/>
      </c>
      <c r="P564">
        <f>SUM(P545:P563)</f>
        <v/>
      </c>
      <c r="Q564">
        <f>SUM(Q545:Q563)</f>
        <v/>
      </c>
      <c r="R564">
        <f>SUM(R545:R563)</f>
        <v/>
      </c>
      <c r="S564">
        <f>SUM(S545:S563)</f>
        <v/>
      </c>
      <c r="T564">
        <f>SUM(T545:T563)</f>
        <v/>
      </c>
      <c r="U564">
        <f>SUM(U545:U563)</f>
        <v/>
      </c>
      <c r="V564">
        <f>SUM(V545:V563)</f>
        <v/>
      </c>
      <c r="W564">
        <f>SUM(W545:W563)</f>
        <v/>
      </c>
      <c r="X564">
        <f>SUM(X545:X563)</f>
        <v/>
      </c>
      <c r="Y564">
        <f>SUM(Y545:Y563)</f>
        <v/>
      </c>
      <c r="Z564">
        <f>SUM(Z545:Z563)</f>
        <v/>
      </c>
      <c r="AA564">
        <f>SUM(AA545:AA563)</f>
        <v/>
      </c>
      <c r="AB564">
        <f>SUM(AB545:AB563)</f>
        <v/>
      </c>
      <c r="AC564">
        <f>SUM(AC545:AC563)</f>
        <v/>
      </c>
      <c r="AD564">
        <f>SUM(AD545:AD563)</f>
        <v/>
      </c>
      <c r="AE564">
        <f>SUM(AE545:AE563)</f>
        <v/>
      </c>
      <c r="AF564">
        <f>SUM(AF545:AF563)</f>
        <v/>
      </c>
      <c r="AG564" s="22">
        <f>SUM(AG545:AG563)</f>
        <v/>
      </c>
    </row>
    <row r="565" ht="15.75" customHeight="1" thickTop="1">
      <c r="A565" s="15" t="inlineStr">
        <is>
          <t>Ruunning Total</t>
        </is>
      </c>
      <c r="B565">
        <f>B564</f>
        <v/>
      </c>
      <c r="C565">
        <f>B565+C564</f>
        <v/>
      </c>
      <c r="D565">
        <f>C565+D564</f>
        <v/>
      </c>
      <c r="E565">
        <f>D565+E564</f>
        <v/>
      </c>
      <c r="F565">
        <f>E565+F564</f>
        <v/>
      </c>
      <c r="G565">
        <f>F565+G564</f>
        <v/>
      </c>
      <c r="H565">
        <f>G565+H564</f>
        <v/>
      </c>
      <c r="I565">
        <f>H565+I564</f>
        <v/>
      </c>
      <c r="J565">
        <f>I565+J564</f>
        <v/>
      </c>
      <c r="K565">
        <f>J565+K564</f>
        <v/>
      </c>
      <c r="L565">
        <f>K565+L564</f>
        <v/>
      </c>
      <c r="M565">
        <f>L565+M564</f>
        <v/>
      </c>
      <c r="N565">
        <f>M565+N564</f>
        <v/>
      </c>
      <c r="O565">
        <f>N565+O564</f>
        <v/>
      </c>
      <c r="P565">
        <f>O565+P564</f>
        <v/>
      </c>
      <c r="Q565">
        <f>P565+Q564</f>
        <v/>
      </c>
      <c r="R565">
        <f>Q565+R564</f>
        <v/>
      </c>
      <c r="S565">
        <f>R565+S564</f>
        <v/>
      </c>
      <c r="T565">
        <f>S565+T564</f>
        <v/>
      </c>
      <c r="U565">
        <f>T565+U564</f>
        <v/>
      </c>
      <c r="V565">
        <f>U565+V564</f>
        <v/>
      </c>
      <c r="W565">
        <f>V565+W564</f>
        <v/>
      </c>
      <c r="X565">
        <f>W565+X564</f>
        <v/>
      </c>
      <c r="Y565">
        <f>X565+Y564</f>
        <v/>
      </c>
      <c r="Z565">
        <f>Y565+Z564</f>
        <v/>
      </c>
      <c r="AA565">
        <f>Z565+AA564</f>
        <v/>
      </c>
      <c r="AB565">
        <f>AA565+AB564</f>
        <v/>
      </c>
      <c r="AC565">
        <f>AB565+AC564</f>
        <v/>
      </c>
      <c r="AD565">
        <f>AC565+AD564</f>
        <v/>
      </c>
      <c r="AE565">
        <f>AD565+AE564</f>
        <v/>
      </c>
      <c r="AF565">
        <f>AE565+AF564</f>
        <v/>
      </c>
    </row>
    <row r="566">
      <c r="A566" s="15" t="n"/>
    </row>
    <row r="567">
      <c r="A567" s="15" t="n"/>
    </row>
    <row r="568">
      <c r="A568" s="1" t="n"/>
      <c r="B568" s="2" t="inlineStr">
        <is>
          <t>June</t>
        </is>
      </c>
      <c r="C568" s="2" t="n"/>
      <c r="D568" s="2" t="n"/>
      <c r="E568" s="2" t="n"/>
      <c r="F568" s="2" t="n"/>
      <c r="G568" s="2" t="n"/>
      <c r="H568" s="2" t="n"/>
      <c r="I568" s="2" t="n"/>
      <c r="J568" s="2" t="n"/>
      <c r="K568" s="2" t="n"/>
      <c r="L568" s="2" t="n"/>
      <c r="M568" s="2" t="n"/>
      <c r="N568" s="2" t="n"/>
      <c r="O568" s="2" t="n"/>
      <c r="P568" s="2" t="n"/>
      <c r="Q568" s="2" t="n"/>
      <c r="R568" s="2" t="n"/>
      <c r="S568" s="2" t="n"/>
      <c r="T568" s="2" t="n"/>
      <c r="U568" s="2" t="n"/>
      <c r="V568" s="2" t="n"/>
      <c r="W568" s="2" t="n"/>
      <c r="X568" s="2" t="n"/>
      <c r="Y568" s="2" t="n"/>
      <c r="Z568" s="2" t="n"/>
      <c r="AA568" s="2" t="n"/>
      <c r="AB568" s="2" t="n"/>
      <c r="AC568" s="2" t="n"/>
      <c r="AD568" s="2" t="n"/>
      <c r="AE568" s="1" t="n"/>
      <c r="AF568" s="1" t="n"/>
      <c r="AG568" s="1" t="n"/>
    </row>
    <row r="569" ht="15.75" customHeight="1">
      <c r="A569" s="1" t="n"/>
      <c r="B569" s="2" t="inlineStr">
        <is>
          <t>Sunday</t>
        </is>
      </c>
      <c r="C569" s="2" t="inlineStr">
        <is>
          <t>Monday</t>
        </is>
      </c>
      <c r="D569" s="2" t="inlineStr">
        <is>
          <t>Tuesday</t>
        </is>
      </c>
      <c r="E569" s="2" t="inlineStr">
        <is>
          <t>Wednesday</t>
        </is>
      </c>
      <c r="F569" s="2" t="inlineStr">
        <is>
          <t>Thursday</t>
        </is>
      </c>
      <c r="G569" s="2" t="inlineStr">
        <is>
          <t>Friday</t>
        </is>
      </c>
      <c r="H569" s="2" t="inlineStr">
        <is>
          <t>Saturday</t>
        </is>
      </c>
      <c r="I569" s="2" t="inlineStr">
        <is>
          <t>Sunday</t>
        </is>
      </c>
      <c r="J569" s="2" t="inlineStr">
        <is>
          <t>Monday</t>
        </is>
      </c>
      <c r="K569" s="2" t="inlineStr">
        <is>
          <t>Tuesday</t>
        </is>
      </c>
      <c r="L569" s="2" t="inlineStr">
        <is>
          <t>Wednesday</t>
        </is>
      </c>
      <c r="M569" s="2" t="inlineStr">
        <is>
          <t>Thursday</t>
        </is>
      </c>
      <c r="N569" s="2" t="inlineStr">
        <is>
          <t>Friday</t>
        </is>
      </c>
      <c r="O569" s="2" t="inlineStr">
        <is>
          <t>Saturday</t>
        </is>
      </c>
      <c r="P569" s="2" t="inlineStr">
        <is>
          <t>Sunday</t>
        </is>
      </c>
      <c r="Q569" s="2" t="inlineStr">
        <is>
          <t>Monday</t>
        </is>
      </c>
      <c r="R569" s="2" t="inlineStr">
        <is>
          <t>Tuesday</t>
        </is>
      </c>
      <c r="S569" s="2" t="inlineStr">
        <is>
          <t>Wednesday</t>
        </is>
      </c>
      <c r="T569" s="2" t="inlineStr">
        <is>
          <t>Thursday</t>
        </is>
      </c>
      <c r="U569" s="2" t="inlineStr">
        <is>
          <t>Friday</t>
        </is>
      </c>
      <c r="V569" s="2" t="inlineStr">
        <is>
          <t>Saturday</t>
        </is>
      </c>
      <c r="W569" s="2" t="inlineStr">
        <is>
          <t>Sunday</t>
        </is>
      </c>
      <c r="X569" s="2" t="inlineStr">
        <is>
          <t>Monday</t>
        </is>
      </c>
      <c r="Y569" s="2" t="inlineStr">
        <is>
          <t>Tuesday</t>
        </is>
      </c>
      <c r="Z569" s="2" t="inlineStr">
        <is>
          <t>Wednesday</t>
        </is>
      </c>
      <c r="AA569" s="2" t="inlineStr">
        <is>
          <t>Thursday</t>
        </is>
      </c>
      <c r="AB569" s="2" t="inlineStr">
        <is>
          <t>Friday</t>
        </is>
      </c>
      <c r="AC569" s="2" t="inlineStr">
        <is>
          <t>Saturday</t>
        </is>
      </c>
      <c r="AD569" s="2" t="inlineStr">
        <is>
          <t>Sunday</t>
        </is>
      </c>
      <c r="AE569" s="2" t="inlineStr">
        <is>
          <t>Monday</t>
        </is>
      </c>
      <c r="AF569" s="9" t="n"/>
      <c r="AG569" s="2" t="inlineStr">
        <is>
          <t>Total</t>
        </is>
      </c>
    </row>
    <row r="570" ht="15.75" customHeight="1">
      <c r="A570" s="1" t="n"/>
      <c r="B570" s="7" t="inlineStr">
        <is>
          <t>1st</t>
        </is>
      </c>
      <c r="C570" s="3" t="inlineStr">
        <is>
          <t>2nd</t>
        </is>
      </c>
      <c r="D570" s="3" t="inlineStr">
        <is>
          <t>3rd</t>
        </is>
      </c>
      <c r="E570" s="3" t="inlineStr">
        <is>
          <t>4th</t>
        </is>
      </c>
      <c r="F570" s="3" t="inlineStr">
        <is>
          <t>5th</t>
        </is>
      </c>
      <c r="G570" s="3" t="inlineStr">
        <is>
          <t>6th</t>
        </is>
      </c>
      <c r="H570" s="3" t="inlineStr">
        <is>
          <t>7th</t>
        </is>
      </c>
      <c r="I570" s="3" t="inlineStr">
        <is>
          <t>8th</t>
        </is>
      </c>
      <c r="J570" s="4" t="inlineStr">
        <is>
          <t>9th</t>
        </is>
      </c>
      <c r="K570" s="4" t="inlineStr">
        <is>
          <t>10th</t>
        </is>
      </c>
      <c r="L570" s="4" t="inlineStr">
        <is>
          <t>11th</t>
        </is>
      </c>
      <c r="M570" s="4" t="inlineStr">
        <is>
          <t>12th</t>
        </is>
      </c>
      <c r="N570" s="4" t="inlineStr">
        <is>
          <t>13th</t>
        </is>
      </c>
      <c r="O570" s="4" t="inlineStr">
        <is>
          <t>14th</t>
        </is>
      </c>
      <c r="P570" s="4" t="inlineStr">
        <is>
          <t>15th</t>
        </is>
      </c>
      <c r="Q570" s="5" t="inlineStr">
        <is>
          <t>16th</t>
        </is>
      </c>
      <c r="R570" s="5" t="inlineStr">
        <is>
          <t>17th</t>
        </is>
      </c>
      <c r="S570" s="5" t="inlineStr">
        <is>
          <t>18th</t>
        </is>
      </c>
      <c r="T570" s="5" t="inlineStr">
        <is>
          <t>19th</t>
        </is>
      </c>
      <c r="U570" s="5" t="inlineStr">
        <is>
          <t>20th</t>
        </is>
      </c>
      <c r="V570" s="5" t="inlineStr">
        <is>
          <t>21st</t>
        </is>
      </c>
      <c r="W570" s="5" t="inlineStr">
        <is>
          <t>22nd</t>
        </is>
      </c>
      <c r="X570" s="6" t="inlineStr">
        <is>
          <t>23rd</t>
        </is>
      </c>
      <c r="Y570" s="6" t="inlineStr">
        <is>
          <t>24th</t>
        </is>
      </c>
      <c r="Z570" s="6" t="inlineStr">
        <is>
          <t>25th</t>
        </is>
      </c>
      <c r="AA570" s="6" t="inlineStr">
        <is>
          <t>26th</t>
        </is>
      </c>
      <c r="AB570" s="6" t="inlineStr">
        <is>
          <t>27th</t>
        </is>
      </c>
      <c r="AC570" s="6" t="inlineStr">
        <is>
          <t>28th</t>
        </is>
      </c>
      <c r="AD570" s="6" t="inlineStr">
        <is>
          <t>29th</t>
        </is>
      </c>
      <c r="AE570" s="7" t="inlineStr">
        <is>
          <t>30th</t>
        </is>
      </c>
      <c r="AF570" s="9" t="n"/>
      <c r="AG570" s="1" t="n"/>
    </row>
    <row r="571" ht="15.75" customHeight="1">
      <c r="A571" s="8" t="inlineStr">
        <is>
          <t>B-HAM CITY COUNCIL-200790-70489166</t>
        </is>
      </c>
      <c r="D571" s="12" t="n"/>
      <c r="E571" s="12" t="n"/>
      <c r="F571" s="12" t="n"/>
      <c r="G571" s="12" t="n"/>
      <c r="H571" s="12" t="n"/>
      <c r="I571" s="12" t="n"/>
      <c r="J571" s="12" t="n"/>
      <c r="K571" s="12" t="n"/>
      <c r="L571" s="12" t="n"/>
      <c r="M571" s="12" t="n"/>
      <c r="N571" s="12" t="n"/>
      <c r="O571" s="12" t="n"/>
      <c r="P571" s="12" t="n"/>
      <c r="Q571" s="12" t="n"/>
      <c r="R571" s="12" t="n">
        <v>5230.45</v>
      </c>
      <c r="S571" s="12" t="n"/>
      <c r="T571" s="12" t="n"/>
      <c r="U571" s="12" t="n"/>
      <c r="V571" s="12" t="n"/>
      <c r="W571" s="12" t="n"/>
      <c r="X571" s="12" t="n"/>
      <c r="Y571" s="85" t="n">
        <v>74350</v>
      </c>
      <c r="Z571" s="12" t="n"/>
      <c r="AA571" s="12" t="n"/>
      <c r="AB571" s="12" t="n"/>
      <c r="AC571" s="12" t="n"/>
      <c r="AD571" s="12" t="n"/>
      <c r="AE571" s="12" t="n"/>
      <c r="AG571" s="13">
        <f>SUM(B571:AF571)</f>
        <v/>
      </c>
    </row>
    <row r="572" ht="15.75" customHeight="1">
      <c r="A572" s="8" t="inlineStr">
        <is>
          <t>Buckingham</t>
        </is>
      </c>
      <c r="C572" s="9" t="n"/>
      <c r="D572" s="9" t="n"/>
      <c r="E572" s="9" t="n"/>
      <c r="F572" s="9" t="n"/>
      <c r="G572" s="12" t="n">
        <v>5134.44</v>
      </c>
      <c r="H572" s="9" t="n"/>
      <c r="I572" s="9" t="n"/>
      <c r="J572" s="9" t="n"/>
      <c r="K572" s="9" t="n"/>
      <c r="L572" s="12" t="n"/>
      <c r="M572" s="9" t="n"/>
      <c r="N572" s="9" t="n"/>
      <c r="O572" s="9" t="n"/>
      <c r="P572" s="9" t="n"/>
      <c r="Q572" s="9" t="n"/>
      <c r="R572" s="9" t="n"/>
      <c r="S572" s="9" t="n"/>
      <c r="T572" s="9" t="n"/>
      <c r="U572" s="9" t="n"/>
      <c r="V572" s="12" t="n"/>
      <c r="W572" s="9" t="n"/>
      <c r="X572" s="12" t="n">
        <v>5134.44</v>
      </c>
      <c r="Y572" s="12" t="n"/>
      <c r="Z572" s="12" t="n"/>
      <c r="AA572" s="12" t="n"/>
      <c r="AB572" s="12" t="n"/>
      <c r="AC572" s="12" t="n"/>
      <c r="AD572" s="12" t="n"/>
      <c r="AE572" s="12" t="n"/>
      <c r="AG572" s="13">
        <f>SUM(B572:AF572)</f>
        <v/>
      </c>
    </row>
    <row r="573" ht="15.75" customHeight="1">
      <c r="A573" s="8" t="inlineStr">
        <is>
          <t>Sandwell respite est</t>
        </is>
      </c>
      <c r="C573" s="9" t="n"/>
      <c r="D573" s="9" t="n"/>
      <c r="E573" s="9" t="n"/>
      <c r="F573" s="9" t="n"/>
      <c r="G573" s="9" t="n"/>
      <c r="H573" s="9" t="n"/>
      <c r="I573" s="9" t="n"/>
      <c r="J573" s="9" t="n"/>
      <c r="K573" s="9" t="n"/>
      <c r="L573" s="9" t="n"/>
      <c r="M573" s="9" t="n"/>
      <c r="N573" s="9" t="n"/>
      <c r="O573" s="9" t="n"/>
      <c r="P573" s="9" t="n"/>
      <c r="Q573" s="9" t="n"/>
      <c r="R573" s="9" t="n"/>
      <c r="S573" s="9" t="n"/>
      <c r="T573" s="9" t="n"/>
      <c r="U573" s="9" t="n"/>
      <c r="V573" s="9" t="n"/>
      <c r="W573" s="9" t="n"/>
      <c r="X573" s="12" t="n"/>
      <c r="Y573" s="12" t="n"/>
      <c r="Z573" s="12" t="n"/>
      <c r="AA573" s="12" t="n"/>
      <c r="AB573" s="12" t="n"/>
      <c r="AC573" s="12" t="n"/>
      <c r="AD573" s="12" t="n"/>
      <c r="AE573" s="12" t="n"/>
      <c r="AF573" s="9" t="n">
        <v>20000</v>
      </c>
      <c r="AG573" s="13">
        <f>SUM(B573:AF573)</f>
        <v/>
      </c>
    </row>
    <row r="574" ht="15.75" customHeight="1">
      <c r="A574" s="8" t="inlineStr">
        <is>
          <t xml:space="preserve">Wolverhampton respite est </t>
        </is>
      </c>
      <c r="C574" s="9" t="n"/>
      <c r="D574" s="9" t="n"/>
      <c r="E574" s="9" t="n"/>
      <c r="F574" s="9" t="n"/>
      <c r="G574" s="9" t="n"/>
      <c r="H574" s="9" t="n"/>
      <c r="I574" s="9" t="n"/>
      <c r="J574" s="9" t="n"/>
      <c r="K574" s="9" t="n"/>
      <c r="L574" s="9" t="n"/>
      <c r="M574" s="9" t="n"/>
      <c r="N574" s="9" t="n"/>
      <c r="O574" s="9" t="n"/>
      <c r="P574" s="9" t="n"/>
      <c r="Q574" s="9" t="n"/>
      <c r="R574" s="9" t="n"/>
      <c r="S574" s="9" t="n"/>
      <c r="T574" s="9" t="n"/>
      <c r="U574" s="9" t="n"/>
      <c r="V574" s="9" t="n"/>
      <c r="W574" s="9" t="n"/>
      <c r="X574" s="12" t="n"/>
      <c r="Y574" s="12" t="n"/>
      <c r="Z574" s="12" t="n"/>
      <c r="AA574" s="12" t="n"/>
      <c r="AB574" s="12" t="n"/>
      <c r="AC574" s="12" t="n"/>
      <c r="AD574" s="12" t="n"/>
      <c r="AE574" s="12" t="n"/>
      <c r="AF574" s="9" t="n">
        <v>30000</v>
      </c>
      <c r="AG574" s="13">
        <f>SUM(B574:AF574)</f>
        <v/>
      </c>
    </row>
    <row r="575" ht="15.75" customHeight="1">
      <c r="A575" s="8" t="inlineStr">
        <is>
          <t>Walsall Respite</t>
        </is>
      </c>
      <c r="C575" s="9" t="n"/>
      <c r="D575" s="9" t="n"/>
      <c r="E575" s="9" t="n"/>
      <c r="F575" s="9" t="n"/>
      <c r="G575" s="9" t="n"/>
      <c r="H575" s="9" t="n"/>
      <c r="I575" s="9" t="n"/>
      <c r="J575" s="9" t="n"/>
      <c r="K575" s="9" t="n"/>
      <c r="L575" s="9" t="n"/>
      <c r="M575" s="9" t="n"/>
      <c r="N575" s="9" t="n"/>
      <c r="O575" s="9" t="n"/>
      <c r="P575" s="9" t="n"/>
      <c r="Q575" s="9" t="n"/>
      <c r="R575" s="9" t="n"/>
      <c r="S575" s="9" t="n"/>
      <c r="T575" s="9" t="n"/>
      <c r="U575" s="9" t="n"/>
      <c r="V575" s="9" t="n"/>
      <c r="W575" s="9" t="n"/>
      <c r="X575" s="12" t="n"/>
      <c r="Y575" s="12" t="n"/>
      <c r="Z575" s="12" t="n"/>
      <c r="AA575" s="12" t="n"/>
      <c r="AB575" s="12" t="n"/>
      <c r="AC575" s="12" t="n"/>
      <c r="AD575" s="12" t="n"/>
      <c r="AE575" s="12" t="n"/>
      <c r="AF575" s="9" t="n">
        <v>19208</v>
      </c>
      <c r="AG575" s="13">
        <f>SUM(B575:AF575)</f>
        <v/>
      </c>
    </row>
    <row r="576" ht="18.75" customHeight="1">
      <c r="A576" s="8" t="inlineStr">
        <is>
          <t>Ideal for All Ltd</t>
        </is>
      </c>
      <c r="D576" s="9" t="n"/>
      <c r="E576" s="9" t="n"/>
      <c r="F576" s="12" t="n"/>
      <c r="G576" s="12" t="n"/>
      <c r="H576" s="12" t="n"/>
      <c r="I576" s="12" t="n"/>
      <c r="J576" s="11" t="n">
        <v>3661.88</v>
      </c>
      <c r="K576" s="9" t="n"/>
      <c r="L576" s="9" t="n"/>
      <c r="M576" s="9" t="n"/>
      <c r="N576" s="12" t="n">
        <v>3344</v>
      </c>
      <c r="O576" s="9" t="n"/>
      <c r="P576" s="9" t="n"/>
      <c r="Q576" s="9" t="n"/>
      <c r="R576" s="9" t="n"/>
      <c r="S576" s="9" t="n"/>
      <c r="T576" s="9" t="n"/>
      <c r="U576" s="9" t="n"/>
      <c r="V576" s="9" t="n"/>
      <c r="W576" s="9" t="n"/>
      <c r="X576" s="12" t="n"/>
      <c r="Y576" s="12" t="n"/>
      <c r="Z576" s="12" t="n"/>
      <c r="AA576" s="12" t="n"/>
      <c r="AB576" s="12" t="n"/>
      <c r="AC576" s="12" t="n"/>
      <c r="AD576" s="12" t="n"/>
      <c r="AE576" s="12" t="n"/>
      <c r="AG576" s="13">
        <f>SUM(B576:AF576)</f>
        <v/>
      </c>
    </row>
    <row r="577" ht="15.75" customHeight="1">
      <c r="A577" s="8" t="inlineStr">
        <is>
          <t>KIRKLEES COUNCIL-204312-63046958</t>
        </is>
      </c>
      <c r="C577" s="12" t="n"/>
      <c r="D577" s="9" t="n"/>
      <c r="E577" s="12" t="n"/>
      <c r="F577" s="9" t="n"/>
      <c r="G577" s="9" t="n"/>
      <c r="H577" s="9" t="n"/>
      <c r="I577" s="9" t="n"/>
      <c r="J577" s="12" t="n"/>
      <c r="K577" s="12" t="n">
        <v>5554.89</v>
      </c>
      <c r="L577" s="12" t="n"/>
      <c r="M577" s="9" t="n"/>
      <c r="N577" s="12" t="n"/>
      <c r="O577" s="9" t="n"/>
      <c r="P577" s="9" t="n"/>
      <c r="Q577" s="9" t="n"/>
      <c r="R577" s="9" t="n"/>
      <c r="S577" s="9" t="n"/>
      <c r="T577" s="9" t="n"/>
      <c r="U577" s="9" t="n"/>
      <c r="V577" s="9" t="n"/>
      <c r="W577" s="9" t="n"/>
      <c r="X577" s="12" t="n"/>
      <c r="Y577" s="12" t="n"/>
      <c r="Z577" s="12" t="n"/>
      <c r="AA577" s="12" t="n"/>
      <c r="AB577" s="12" t="n"/>
      <c r="AC577" s="12" t="n"/>
      <c r="AD577" s="12" t="n"/>
      <c r="AE577" s="12" t="n"/>
      <c r="AG577" s="13">
        <f>SUM(B577:AF577)</f>
        <v/>
      </c>
    </row>
    <row r="578" ht="15.75" customHeight="1">
      <c r="A578" s="8" t="inlineStr">
        <is>
          <t>LBH PAYMENTS BACS-602210-72430192</t>
        </is>
      </c>
      <c r="C578" s="9" t="n"/>
      <c r="D578" s="9" t="n"/>
      <c r="E578" s="9" t="n"/>
      <c r="F578" s="12" t="n"/>
      <c r="G578" s="9" t="n"/>
      <c r="H578" s="9" t="n"/>
      <c r="I578" s="9" t="n"/>
      <c r="J578" s="12" t="n"/>
      <c r="K578" s="9" t="n"/>
      <c r="L578" s="9" t="n"/>
      <c r="M578" s="9" t="n"/>
      <c r="N578" s="12" t="n"/>
      <c r="O578" s="9" t="n"/>
      <c r="P578" s="9" t="n"/>
      <c r="Q578" s="9" t="n"/>
      <c r="R578" s="9" t="n"/>
      <c r="S578" s="9" t="n"/>
      <c r="T578" s="9" t="n">
        <v>5040</v>
      </c>
      <c r="U578" s="9" t="n"/>
      <c r="V578" s="9" t="n"/>
      <c r="W578" s="9" t="n"/>
      <c r="X578" s="12" t="n"/>
      <c r="Y578" s="12" t="n"/>
      <c r="Z578" s="12" t="n"/>
      <c r="AA578" s="12" t="n"/>
      <c r="AB578" s="12" t="n"/>
      <c r="AC578" s="12" t="n"/>
      <c r="AD578" s="12" t="n"/>
      <c r="AE578" s="12" t="n"/>
      <c r="AG578" s="13">
        <f>SUM(B578:AF578)</f>
        <v/>
      </c>
    </row>
    <row r="579" ht="15.75" customHeight="1">
      <c r="A579" s="8" t="inlineStr">
        <is>
          <t>NHS BIRMINGHAM &amp; S-607080-10017097</t>
        </is>
      </c>
      <c r="C579" s="12" t="n"/>
      <c r="D579" s="9" t="inlineStr"/>
      <c r="E579" s="9" t="n"/>
      <c r="F579" s="9" t="n"/>
      <c r="G579" s="9" t="n"/>
      <c r="H579" s="9" t="n"/>
      <c r="I579" s="9" t="n"/>
      <c r="J579" s="9" t="n"/>
      <c r="K579" s="9" t="n"/>
      <c r="L579" s="9" t="n"/>
      <c r="M579" s="9" t="n"/>
      <c r="N579" s="12" t="n">
        <v>7121.63</v>
      </c>
      <c r="O579" s="9" t="n"/>
      <c r="P579" s="9" t="n"/>
      <c r="Q579" s="9" t="n"/>
      <c r="R579" s="9" t="n"/>
      <c r="S579" s="9" t="n"/>
      <c r="T579" s="9" t="n"/>
      <c r="U579" s="9" t="n"/>
      <c r="V579" s="9" t="n"/>
      <c r="W579" s="9" t="n"/>
      <c r="X579" s="12" t="n"/>
      <c r="Y579" s="12" t="n"/>
      <c r="Z579" s="12" t="n"/>
      <c r="AA579" s="12" t="n"/>
      <c r="AB579" s="12" t="n"/>
      <c r="AC579" s="12" t="n"/>
      <c r="AD579" s="12" t="n"/>
      <c r="AE579" s="12" t="n"/>
      <c r="AG579" s="13">
        <f>SUM(B579:AF579)</f>
        <v/>
      </c>
    </row>
    <row r="580" ht="15.75" customHeight="1">
      <c r="A580" s="8" t="inlineStr">
        <is>
          <t>NHS BLACK COUNTRY-607080-10015272</t>
        </is>
      </c>
      <c r="C580" s="9" t="inlineStr"/>
      <c r="D580" s="9" t="n"/>
      <c r="E580" s="9" t="n"/>
      <c r="F580" s="9" t="n"/>
      <c r="G580" s="12" t="n"/>
      <c r="H580" s="12" t="n"/>
      <c r="I580" s="12" t="n"/>
      <c r="J580" s="9" t="n"/>
      <c r="K580" s="9" t="n"/>
      <c r="L580" s="12" t="n">
        <v>13185.64</v>
      </c>
      <c r="M580" s="12" t="n"/>
      <c r="N580" s="9" t="n"/>
      <c r="O580" s="9" t="n"/>
      <c r="P580" s="9" t="n"/>
      <c r="Q580" s="9" t="n"/>
      <c r="R580" s="9" t="n"/>
      <c r="S580" s="9" t="n"/>
      <c r="T580" s="9" t="n"/>
      <c r="U580" s="12" t="n">
        <v>8073.21</v>
      </c>
      <c r="V580" s="9" t="n"/>
      <c r="W580" s="12" t="n"/>
      <c r="X580" s="12" t="n"/>
      <c r="Y580" s="12" t="n"/>
      <c r="Z580" s="12" t="n"/>
      <c r="AA580" s="12" t="n"/>
      <c r="AB580" s="12" t="n"/>
      <c r="AC580" s="12" t="n"/>
      <c r="AD580" s="12" t="n"/>
      <c r="AE580" s="12" t="n"/>
      <c r="AG580" s="13">
        <f>SUM(B580:AF580)</f>
        <v/>
      </c>
    </row>
    <row r="581" ht="15.75" customHeight="1">
      <c r="A581" s="14" t="inlineStr">
        <is>
          <t>SANDWELL MBC  BEN-601539-69624151</t>
        </is>
      </c>
      <c r="C581" s="9" t="inlineStr"/>
      <c r="D581" s="12" t="inlineStr">
        <is>
          <t>.</t>
        </is>
      </c>
      <c r="E581" s="12" t="n"/>
      <c r="F581" s="9" t="n"/>
      <c r="G581" s="9" t="n"/>
      <c r="H581" s="9" t="n"/>
      <c r="I581" s="9" t="n"/>
      <c r="J581" s="12" t="n"/>
      <c r="K581" s="12" t="n"/>
      <c r="L581" s="9" t="n"/>
      <c r="M581" s="9" t="n"/>
      <c r="N581" s="9" t="n"/>
      <c r="O581" s="9" t="n"/>
      <c r="P581" s="12" t="n"/>
      <c r="Q581" s="9" t="n"/>
      <c r="R581" s="9" t="n"/>
      <c r="S581" s="9" t="n"/>
      <c r="T581" s="12" t="n"/>
      <c r="U581" s="12" t="n">
        <v>2660</v>
      </c>
      <c r="V581" s="9" t="n"/>
      <c r="W581" s="9" t="n"/>
      <c r="X581" s="12" t="n"/>
      <c r="Y581" s="12" t="n"/>
      <c r="Z581" s="12" t="n"/>
      <c r="AA581" s="12" t="n"/>
      <c r="AB581" s="12" t="n"/>
      <c r="AC581" s="12" t="n"/>
      <c r="AD581" s="12" t="n"/>
      <c r="AE581" s="12" t="n"/>
      <c r="AG581" s="13">
        <f>SUM(B581:AF581)</f>
        <v/>
      </c>
    </row>
    <row r="582" ht="15.75" customHeight="1">
      <c r="A582" s="14" t="inlineStr">
        <is>
          <t>SANDWELL MBC-601539-69624135</t>
        </is>
      </c>
      <c r="D582" s="12" t="n"/>
      <c r="E582" s="12" t="n"/>
      <c r="F582" s="12" t="n"/>
      <c r="G582" s="12" t="n"/>
      <c r="H582" s="12" t="n"/>
      <c r="I582" s="12" t="n"/>
      <c r="J582" s="12" t="n"/>
      <c r="K582" s="12" t="n">
        <v>120000</v>
      </c>
      <c r="L582" s="12" t="n"/>
      <c r="M582" s="12" t="n"/>
      <c r="N582" s="12" t="n"/>
      <c r="O582" s="12" t="n"/>
      <c r="P582" s="12" t="n"/>
      <c r="Q582" s="12" t="n"/>
      <c r="R582" s="12" t="n"/>
      <c r="S582" s="12" t="n"/>
      <c r="T582" s="12" t="n"/>
      <c r="U582" s="12" t="n"/>
      <c r="V582" s="12" t="n"/>
      <c r="W582" s="12" t="n"/>
      <c r="X582" s="12" t="n"/>
      <c r="Y582" s="12" t="n">
        <v>120000</v>
      </c>
      <c r="Z582" s="12" t="n"/>
      <c r="AA582" s="12" t="n"/>
      <c r="AB582" s="12" t="n"/>
      <c r="AC582" s="12" t="n"/>
      <c r="AD582" s="12" t="n"/>
      <c r="AE582" s="12" t="n"/>
      <c r="AG582" s="13">
        <f>SUM(B582:AF582)</f>
        <v/>
      </c>
    </row>
    <row r="583" ht="15.75" customHeight="1">
      <c r="A583" s="15" t="inlineStr">
        <is>
          <t>SOLIHULL MBC EXP.-200771-00561525</t>
        </is>
      </c>
      <c r="D583" s="12" t="n"/>
      <c r="E583" s="12" t="n"/>
      <c r="F583" s="12" t="n"/>
      <c r="G583" s="12" t="n"/>
      <c r="H583" s="12" t="n"/>
      <c r="I583" s="12" t="n"/>
      <c r="J583" s="12" t="n"/>
      <c r="K583" s="12" t="n"/>
      <c r="L583" s="12" t="n"/>
      <c r="M583" s="12" t="n"/>
      <c r="N583" s="12" t="n"/>
      <c r="O583" s="12" t="n"/>
      <c r="P583" s="12" t="n"/>
      <c r="Q583" s="12" t="n"/>
      <c r="R583" s="12" t="n"/>
      <c r="S583" s="12" t="n"/>
      <c r="T583" s="12" t="n"/>
      <c r="U583" s="12" t="n"/>
      <c r="V583" s="12" t="n"/>
      <c r="W583" s="12" t="n"/>
      <c r="X583" s="12" t="n"/>
      <c r="Y583" s="12" t="n">
        <v>32000</v>
      </c>
      <c r="Z583" s="12" t="n"/>
      <c r="AA583" s="12" t="n"/>
      <c r="AB583" s="12" t="n"/>
      <c r="AC583" s="12" t="n"/>
      <c r="AD583" s="12" t="n"/>
      <c r="AE583" s="12" t="n"/>
      <c r="AG583" s="13">
        <f>SUM(B583:AF583)</f>
        <v/>
      </c>
    </row>
    <row r="584" ht="15.75" customHeight="1">
      <c r="A584" s="15" t="inlineStr">
        <is>
          <t>WALSALL MBC BARC-209073-10731692</t>
        </is>
      </c>
      <c r="D584" s="12" t="n"/>
      <c r="E584" s="12" t="n"/>
      <c r="F584" s="12" t="n"/>
      <c r="G584" s="12" t="n"/>
      <c r="H584" s="12" t="n"/>
      <c r="I584" s="12" t="n"/>
      <c r="J584" s="9" t="n">
        <v>191991.08</v>
      </c>
      <c r="K584" s="12" t="n"/>
      <c r="L584" s="12" t="n"/>
      <c r="M584" s="12" t="n"/>
      <c r="N584" s="12" t="n"/>
      <c r="O584" s="12" t="n"/>
      <c r="P584" s="12" t="n"/>
      <c r="Q584" s="12" t="n"/>
      <c r="R584" s="12" t="n"/>
      <c r="S584" s="12" t="n"/>
      <c r="T584" s="12" t="n"/>
      <c r="U584" s="12" t="n"/>
      <c r="V584" s="12" t="n"/>
      <c r="W584" s="12" t="n"/>
      <c r="X584" s="12" t="n"/>
      <c r="Y584" s="12" t="n"/>
      <c r="Z584" s="12" t="n"/>
      <c r="AA584" s="12" t="n"/>
      <c r="AB584" s="12" t="n"/>
      <c r="AC584" s="12" t="n"/>
      <c r="AD584" s="12" t="n"/>
      <c r="AE584" s="12" t="n"/>
      <c r="AG584" s="13">
        <f>SUM(B584:AF584)</f>
        <v/>
      </c>
    </row>
    <row r="585" ht="15.75" customHeight="1">
      <c r="A585" s="15" t="inlineStr">
        <is>
          <t>WOLVERHAMPTON CC-560069-44470320</t>
        </is>
      </c>
      <c r="D585" s="12" t="n"/>
      <c r="E585" s="12" t="n"/>
      <c r="F585" s="12" t="n">
        <v>112000</v>
      </c>
      <c r="G585" s="12" t="n"/>
      <c r="H585" s="12" t="n"/>
      <c r="I585" s="12" t="n"/>
      <c r="J585" s="12" t="n"/>
      <c r="K585" s="12" t="n"/>
      <c r="L585" s="12" t="n"/>
      <c r="M585" s="12" t="n">
        <v>112000</v>
      </c>
      <c r="N585" s="12" t="n"/>
      <c r="O585" s="12" t="n"/>
      <c r="P585" s="12" t="n"/>
      <c r="Q585" s="12" t="n"/>
      <c r="R585" s="12" t="n"/>
      <c r="S585" s="12" t="n"/>
      <c r="T585" s="12" t="n">
        <v>112000</v>
      </c>
      <c r="U585" s="12" t="n"/>
      <c r="V585" s="12" t="n"/>
      <c r="W585" s="12" t="n"/>
      <c r="X585" s="12" t="n"/>
      <c r="Y585" s="12" t="n"/>
      <c r="Z585" s="12" t="n"/>
      <c r="AA585" s="12" t="n">
        <v>112000</v>
      </c>
      <c r="AB585" s="12" t="n"/>
      <c r="AC585" s="12" t="n"/>
      <c r="AD585" s="12" t="n"/>
      <c r="AE585" s="12" t="n"/>
      <c r="AG585" s="13">
        <f>SUM(B585:AF585)</f>
        <v/>
      </c>
    </row>
    <row r="586" ht="15.75" customHeight="1">
      <c r="A586" s="15" t="inlineStr">
        <is>
          <t>Portsmouth</t>
        </is>
      </c>
      <c r="D586" s="12" t="n"/>
      <c r="E586" s="12" t="n"/>
      <c r="F586" s="12" t="n"/>
      <c r="G586" s="12" t="n"/>
      <c r="H586" s="12" t="n"/>
      <c r="I586" s="12" t="n"/>
      <c r="J586" s="12" t="n"/>
      <c r="K586" s="9" t="n">
        <v>5247.86</v>
      </c>
      <c r="L586" s="12" t="n"/>
      <c r="M586" s="12" t="n"/>
      <c r="N586" s="12" t="n"/>
      <c r="O586" s="12" t="n"/>
      <c r="P586" s="12" t="n"/>
      <c r="Q586" s="12" t="n"/>
      <c r="R586" s="12" t="n"/>
      <c r="S586" s="12" t="n"/>
      <c r="T586" s="12" t="n"/>
      <c r="U586" s="12" t="n"/>
      <c r="V586" s="12" t="n"/>
      <c r="W586" s="12" t="n"/>
      <c r="X586" s="12" t="n"/>
      <c r="Y586" s="12" t="n"/>
      <c r="Z586" s="12" t="n"/>
      <c r="AA586" s="12" t="n"/>
      <c r="AB586" s="12" t="n"/>
      <c r="AC586" s="12" t="n"/>
      <c r="AD586" s="12" t="n"/>
      <c r="AE586" s="12" t="n"/>
      <c r="AG586" s="13">
        <f>SUM(B586:AF586)</f>
        <v/>
      </c>
    </row>
    <row r="587" ht="15.75" customHeight="1">
      <c r="A587" s="15" t="inlineStr">
        <is>
          <t>HB SC</t>
        </is>
      </c>
      <c r="B587" s="16" t="n">
        <v>0</v>
      </c>
      <c r="C587" s="16" t="n">
        <v>5212.32</v>
      </c>
      <c r="D587" s="10" t="n">
        <v>3400</v>
      </c>
      <c r="E587" s="10" t="n">
        <v>3400</v>
      </c>
      <c r="F587" s="10" t="n">
        <v>3400</v>
      </c>
      <c r="G587" s="10" t="n">
        <v>3400</v>
      </c>
      <c r="H587" s="10" t="n">
        <v>3400</v>
      </c>
      <c r="I587" s="10" t="n">
        <v>3400</v>
      </c>
      <c r="J587" s="10" t="n">
        <v>3400</v>
      </c>
      <c r="K587" s="10" t="n">
        <v>3400</v>
      </c>
      <c r="L587" s="10" t="n">
        <v>3400</v>
      </c>
      <c r="M587" s="10" t="n">
        <v>3400</v>
      </c>
      <c r="N587" s="10" t="n">
        <v>3400</v>
      </c>
      <c r="O587" s="10" t="n">
        <v>3400</v>
      </c>
      <c r="P587" s="10" t="n">
        <v>3400</v>
      </c>
      <c r="Q587" s="10" t="n">
        <v>3400</v>
      </c>
      <c r="R587" s="10" t="n">
        <v>3400</v>
      </c>
      <c r="S587" s="10" t="n">
        <v>3400</v>
      </c>
      <c r="T587" s="10" t="n">
        <v>3400</v>
      </c>
      <c r="U587" s="10" t="n">
        <v>3400</v>
      </c>
      <c r="V587" s="10" t="n">
        <v>3400</v>
      </c>
      <c r="W587" s="10" t="n">
        <v>3400</v>
      </c>
      <c r="X587" s="10" t="n">
        <v>3400</v>
      </c>
      <c r="Y587" s="10" t="n">
        <v>3400</v>
      </c>
      <c r="Z587" s="10" t="n">
        <v>3400</v>
      </c>
      <c r="AA587" s="10" t="n">
        <v>3400</v>
      </c>
      <c r="AB587" s="10" t="n">
        <v>3400</v>
      </c>
      <c r="AC587" s="10" t="n">
        <v>3400</v>
      </c>
      <c r="AD587" s="10" t="n">
        <v>3400</v>
      </c>
      <c r="AE587" s="10" t="n">
        <v>3400</v>
      </c>
      <c r="AF587" s="16" t="n"/>
      <c r="AG587" s="13">
        <f>SUM(B587:AF587)</f>
        <v/>
      </c>
    </row>
    <row r="588" ht="16.5" customHeight="1" thickBot="1">
      <c r="A588" s="15" t="inlineStr">
        <is>
          <t>Total</t>
        </is>
      </c>
      <c r="B588">
        <f>SUM(B571:B587)</f>
        <v/>
      </c>
      <c r="C588">
        <f>SUM(C571:C587)</f>
        <v/>
      </c>
      <c r="D588">
        <f>SUM(D571:D587)</f>
        <v/>
      </c>
      <c r="E588">
        <f>SUM(E571:E587)</f>
        <v/>
      </c>
      <c r="F588">
        <f>SUM(F571:F587)</f>
        <v/>
      </c>
      <c r="G588">
        <f>SUM(G571:G587)</f>
        <v/>
      </c>
      <c r="H588">
        <f>SUM(H571:H587)</f>
        <v/>
      </c>
      <c r="I588">
        <f>SUM(I571:I587)</f>
        <v/>
      </c>
      <c r="J588">
        <f>SUM(J571:J587)</f>
        <v/>
      </c>
      <c r="K588">
        <f>SUM(K571:K587)</f>
        <v/>
      </c>
      <c r="L588">
        <f>SUM(L571:L587)</f>
        <v/>
      </c>
      <c r="M588">
        <f>SUM(M571:M587)</f>
        <v/>
      </c>
      <c r="N588">
        <f>SUM(N571:N587)</f>
        <v/>
      </c>
      <c r="O588">
        <f>SUM(O571:O587)</f>
        <v/>
      </c>
      <c r="P588">
        <f>SUM(P571:P587)</f>
        <v/>
      </c>
      <c r="Q588">
        <f>SUM(Q571:Q587)</f>
        <v/>
      </c>
      <c r="R588">
        <f>SUM(R571:R587)</f>
        <v/>
      </c>
      <c r="S588">
        <f>SUM(S571:S587)</f>
        <v/>
      </c>
      <c r="T588">
        <f>SUM(T571:T587)</f>
        <v/>
      </c>
      <c r="U588">
        <f>SUM(U571:U587)</f>
        <v/>
      </c>
      <c r="V588">
        <f>SUM(V571:V587)</f>
        <v/>
      </c>
      <c r="W588">
        <f>SUM(W571:W587)</f>
        <v/>
      </c>
      <c r="X588">
        <f>SUM(X571:X587)</f>
        <v/>
      </c>
      <c r="Y588">
        <f>SUM(Y571:Y587)</f>
        <v/>
      </c>
      <c r="Z588">
        <f>SUM(Z571:Z587)</f>
        <v/>
      </c>
      <c r="AA588">
        <f>SUM(AA571:AA587)</f>
        <v/>
      </c>
      <c r="AB588">
        <f>SUM(AB571:AB587)</f>
        <v/>
      </c>
      <c r="AC588">
        <f>SUM(AC571:AC587)</f>
        <v/>
      </c>
      <c r="AD588">
        <f>SUM(AD571:AD587)</f>
        <v/>
      </c>
      <c r="AE588">
        <f>SUM(AE571:AE587)</f>
        <v/>
      </c>
      <c r="AG588" s="252">
        <f>SUM(AG571:AG587)</f>
        <v/>
      </c>
    </row>
    <row r="589" ht="15.75" customHeight="1" thickTop="1">
      <c r="A589" s="15" t="inlineStr">
        <is>
          <t>Ruunning Total</t>
        </is>
      </c>
      <c r="B589">
        <f>B588</f>
        <v/>
      </c>
      <c r="C589">
        <f>B589+C588</f>
        <v/>
      </c>
      <c r="D589">
        <f>C589+D588</f>
        <v/>
      </c>
      <c r="E589">
        <f>D589+E588</f>
        <v/>
      </c>
      <c r="F589">
        <f>E589+F588</f>
        <v/>
      </c>
      <c r="G589">
        <f>F589+G588</f>
        <v/>
      </c>
      <c r="H589">
        <f>G589+H588</f>
        <v/>
      </c>
      <c r="I589">
        <f>H589+I588</f>
        <v/>
      </c>
      <c r="J589">
        <f>I589+J588</f>
        <v/>
      </c>
      <c r="K589">
        <f>J589+K588</f>
        <v/>
      </c>
      <c r="L589">
        <f>K589+L588</f>
        <v/>
      </c>
      <c r="M589">
        <f>L589+M588</f>
        <v/>
      </c>
      <c r="N589">
        <f>M589+N588</f>
        <v/>
      </c>
      <c r="O589">
        <f>N589+O588</f>
        <v/>
      </c>
      <c r="P589">
        <f>O589+P588</f>
        <v/>
      </c>
      <c r="Q589">
        <f>P589+Q588</f>
        <v/>
      </c>
      <c r="R589">
        <f>Q589+R588</f>
        <v/>
      </c>
      <c r="S589">
        <f>R589+S588</f>
        <v/>
      </c>
      <c r="T589">
        <f>S589+T588</f>
        <v/>
      </c>
      <c r="U589">
        <f>T589+U588</f>
        <v/>
      </c>
      <c r="V589">
        <f>U589+V588</f>
        <v/>
      </c>
      <c r="W589">
        <f>V589+W588</f>
        <v/>
      </c>
      <c r="X589">
        <f>W589+X588</f>
        <v/>
      </c>
      <c r="Y589">
        <f>X589+Y588</f>
        <v/>
      </c>
      <c r="Z589">
        <f>Y589+Z588</f>
        <v/>
      </c>
      <c r="AA589">
        <f>Z589+AA588</f>
        <v/>
      </c>
      <c r="AB589">
        <f>AA589+AB588</f>
        <v/>
      </c>
      <c r="AC589">
        <f>AB589+AC588</f>
        <v/>
      </c>
      <c r="AD589">
        <f>AC589+AD588</f>
        <v/>
      </c>
      <c r="AE589">
        <f>AD589+AE588</f>
        <v/>
      </c>
    </row>
    <row r="593">
      <c r="AG593" s="253" t="n"/>
    </row>
  </sheetData>
  <conditionalFormatting sqref="B53:AF53">
    <cfRule type="cellIs" priority="1" operator="greaterThan" dxfId="2">
      <formula>0</formula>
    </cfRule>
    <cfRule type="cellIs" priority="2" operator="lessThan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2:AG285"/>
  <sheetViews>
    <sheetView topLeftCell="A98" zoomScale="70" zoomScaleNormal="70" workbookViewId="0">
      <pane xSplit="1" topLeftCell="I1" activePane="topRight" state="frozen"/>
      <selection activeCell="A40" sqref="A40"/>
      <selection pane="topRight" activeCell="J140" sqref="J140"/>
    </sheetView>
  </sheetViews>
  <sheetFormatPr baseColWidth="8" defaultRowHeight="15"/>
  <cols>
    <col width="40.42578125" bestFit="1" customWidth="1" min="1" max="1"/>
    <col width="11.28515625" bestFit="1" customWidth="1" min="2" max="6"/>
    <col width="10.140625" bestFit="1" customWidth="1" min="7" max="7"/>
    <col width="11.28515625" bestFit="1" customWidth="1" min="8" max="8"/>
    <col width="10.140625" bestFit="1" customWidth="1" min="9" max="9"/>
    <col width="13.140625" bestFit="1" customWidth="1" min="10" max="10"/>
    <col width="11.28515625" bestFit="1" customWidth="1" min="11" max="11"/>
    <col width="9.85546875" bestFit="1" customWidth="1" min="12" max="12"/>
    <col width="11.28515625" bestFit="1" customWidth="1" min="13" max="13"/>
    <col width="10.140625" bestFit="1" customWidth="1" min="14" max="14"/>
    <col width="11.28515625" bestFit="1" customWidth="1" min="15" max="15"/>
    <col width="10.140625" bestFit="1" customWidth="1" min="16" max="19"/>
    <col width="13.140625" bestFit="1" customWidth="1" min="20" max="20"/>
    <col width="10.140625" bestFit="1" customWidth="1" min="21" max="23"/>
    <col width="11" bestFit="1" customWidth="1" min="24" max="26"/>
    <col width="13.5703125" bestFit="1" customWidth="1" min="27" max="27"/>
    <col width="11" bestFit="1" customWidth="1" min="28" max="31"/>
    <col width="13.140625" bestFit="1" customWidth="1" min="32" max="32"/>
    <col width="15.42578125" bestFit="1" customWidth="1" min="33" max="33"/>
  </cols>
  <sheetData>
    <row r="2">
      <c r="A2" s="1" t="n"/>
      <c r="B2" s="2" t="inlineStr">
        <is>
          <t>Monday</t>
        </is>
      </c>
      <c r="C2" s="2" t="inlineStr">
        <is>
          <t>Tuesday</t>
        </is>
      </c>
      <c r="D2" s="2" t="inlineStr">
        <is>
          <t>Wednesday</t>
        </is>
      </c>
      <c r="E2" s="2" t="inlineStr">
        <is>
          <t>Thursday</t>
        </is>
      </c>
      <c r="F2" s="2" t="inlineStr">
        <is>
          <t>Friday</t>
        </is>
      </c>
      <c r="G2" s="2" t="inlineStr">
        <is>
          <t>Saturday</t>
        </is>
      </c>
      <c r="H2" s="2" t="inlineStr">
        <is>
          <t>Sunday</t>
        </is>
      </c>
      <c r="I2" s="2" t="inlineStr">
        <is>
          <t>Monday</t>
        </is>
      </c>
      <c r="J2" s="2" t="inlineStr">
        <is>
          <t>Tuesday</t>
        </is>
      </c>
      <c r="K2" s="2" t="inlineStr">
        <is>
          <t>Wednesday</t>
        </is>
      </c>
      <c r="L2" s="2" t="inlineStr">
        <is>
          <t>Thursday</t>
        </is>
      </c>
      <c r="M2" s="2" t="inlineStr">
        <is>
          <t>Friday</t>
        </is>
      </c>
      <c r="N2" s="2" t="inlineStr">
        <is>
          <t>Saturday</t>
        </is>
      </c>
      <c r="O2" s="2" t="inlineStr">
        <is>
          <t>Sunday</t>
        </is>
      </c>
      <c r="P2" s="2" t="inlineStr">
        <is>
          <t>Monday</t>
        </is>
      </c>
      <c r="Q2" s="2" t="inlineStr">
        <is>
          <t>Tuesday</t>
        </is>
      </c>
      <c r="R2" s="2" t="inlineStr">
        <is>
          <t>Wednesday</t>
        </is>
      </c>
      <c r="S2" s="2" t="inlineStr">
        <is>
          <t>Thursday</t>
        </is>
      </c>
      <c r="T2" s="2" t="inlineStr">
        <is>
          <t>Friday</t>
        </is>
      </c>
      <c r="U2" s="2" t="inlineStr">
        <is>
          <t>Saturday</t>
        </is>
      </c>
      <c r="V2" s="2" t="inlineStr">
        <is>
          <t>Sunday</t>
        </is>
      </c>
      <c r="W2" s="2" t="inlineStr">
        <is>
          <t>Monday</t>
        </is>
      </c>
      <c r="X2" s="2" t="inlineStr">
        <is>
          <t>Tuesday</t>
        </is>
      </c>
      <c r="Y2" s="2" t="inlineStr">
        <is>
          <t>Wednesday</t>
        </is>
      </c>
      <c r="Z2" s="2" t="inlineStr">
        <is>
          <t>Thursday</t>
        </is>
      </c>
      <c r="AA2" s="2" t="inlineStr">
        <is>
          <t>Friday</t>
        </is>
      </c>
      <c r="AB2" s="2" t="inlineStr">
        <is>
          <t>Saturday</t>
        </is>
      </c>
      <c r="AC2" s="2" t="inlineStr">
        <is>
          <t>Sunday</t>
        </is>
      </c>
      <c r="AD2" s="2" t="inlineStr">
        <is>
          <t>Monday</t>
        </is>
      </c>
      <c r="AE2" s="2" t="inlineStr">
        <is>
          <t>Tueday</t>
        </is>
      </c>
      <c r="AF2" s="2" t="inlineStr">
        <is>
          <t>Wedneeday</t>
        </is>
      </c>
      <c r="AG2" s="2" t="inlineStr">
        <is>
          <t>Total</t>
        </is>
      </c>
    </row>
    <row r="3">
      <c r="A3" s="1" t="n"/>
      <c r="B3" s="3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t="15.75" customHeight="1">
      <c r="A4" s="8" t="inlineStr">
        <is>
          <t>B-HAM CITY COUNCIL-200790-70489166</t>
        </is>
      </c>
      <c r="B4" s="26" t="n"/>
      <c r="C4" s="26" t="n"/>
      <c r="D4" s="31" t="n"/>
      <c r="E4" s="16" t="n"/>
      <c r="F4" s="31" t="n"/>
      <c r="G4" s="26" t="n"/>
      <c r="H4" s="31" t="n"/>
      <c r="I4" s="31" t="n"/>
      <c r="J4" s="31" t="n"/>
      <c r="K4" s="31" t="n"/>
      <c r="L4" s="31" t="n"/>
      <c r="M4" t="n">
        <v>62841.32</v>
      </c>
      <c r="N4" s="9" t="n"/>
      <c r="O4" s="12" t="n"/>
      <c r="P4" s="12" t="n"/>
      <c r="Q4" s="12" t="n"/>
      <c r="R4" s="31" t="n"/>
      <c r="S4" s="31" t="n"/>
      <c r="T4" s="31" t="n"/>
      <c r="U4" s="31" t="n"/>
      <c r="V4" s="31" t="n"/>
      <c r="W4" s="31" t="n">
        <v>6526.88</v>
      </c>
      <c r="X4" s="31" t="n"/>
      <c r="Y4" s="31" t="n">
        <v>4856.67</v>
      </c>
      <c r="Z4" s="31" t="n"/>
      <c r="AA4" s="31" t="n"/>
      <c r="AB4" s="31" t="n"/>
      <c r="AC4" s="31" t="n"/>
      <c r="AD4" s="31" t="n"/>
      <c r="AE4" s="31" t="n"/>
      <c r="AF4" s="31" t="n"/>
      <c r="AG4" s="13">
        <f>SUM(B4:AF4)</f>
        <v/>
      </c>
    </row>
    <row r="5" ht="15.75" customHeight="1">
      <c r="A5" s="8" t="inlineStr">
        <is>
          <t>Buckingham</t>
        </is>
      </c>
      <c r="B5" s="26" t="n"/>
      <c r="C5" s="26" t="n"/>
      <c r="D5" s="26" t="n"/>
      <c r="E5" s="26" t="n"/>
      <c r="F5" s="31" t="n">
        <v>5134.44</v>
      </c>
      <c r="G5" s="26" t="n"/>
      <c r="H5" s="26" t="n"/>
      <c r="I5" s="26" t="n"/>
      <c r="J5" s="26" t="n"/>
      <c r="K5" s="26" t="n"/>
      <c r="L5" s="26" t="n"/>
      <c r="M5" s="9" t="n"/>
      <c r="N5" s="9" t="n"/>
      <c r="O5" s="9" t="n"/>
      <c r="P5" s="9" t="n"/>
      <c r="Q5" s="9" t="n"/>
      <c r="R5" s="31" t="n"/>
      <c r="S5" s="31" t="n"/>
      <c r="T5" s="31" t="n"/>
      <c r="U5" s="31" t="n"/>
      <c r="V5" s="31" t="n"/>
      <c r="W5" s="31" t="n"/>
      <c r="X5" s="31" t="n"/>
      <c r="Y5" s="31" t="n"/>
      <c r="Z5" s="31" t="n"/>
      <c r="AA5" s="31" t="n"/>
      <c r="AB5" s="31" t="n"/>
      <c r="AC5" s="31" t="n"/>
      <c r="AD5" s="31" t="n"/>
      <c r="AE5" s="31" t="n"/>
      <c r="AF5" s="31" t="n"/>
      <c r="AG5" s="13">
        <f>SUM(B5:AF5)</f>
        <v/>
      </c>
    </row>
    <row r="6" ht="15.75" customHeight="1">
      <c r="A6" s="8" t="inlineStr">
        <is>
          <t>Sandwell respite est</t>
        </is>
      </c>
      <c r="B6" s="26" t="n"/>
      <c r="C6" s="26" t="n"/>
      <c r="D6" s="26" t="n"/>
      <c r="E6" s="26" t="n"/>
      <c r="F6" s="26" t="n"/>
      <c r="G6" s="26" t="n"/>
      <c r="H6" s="26" t="n"/>
      <c r="I6" s="26" t="n"/>
      <c r="J6" s="26" t="n"/>
      <c r="K6" s="26" t="n"/>
      <c r="L6" s="26" t="n"/>
      <c r="M6" s="9" t="n"/>
      <c r="N6" s="9" t="n"/>
      <c r="O6" s="9" t="n"/>
      <c r="P6" s="9" t="n"/>
      <c r="Q6" s="9" t="n"/>
      <c r="R6" s="31" t="n"/>
      <c r="S6" s="31" t="n"/>
      <c r="T6" s="31" t="n">
        <v>1904</v>
      </c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13">
        <f>SUM(B6:AF6)</f>
        <v/>
      </c>
    </row>
    <row r="7" ht="15.75" customHeight="1">
      <c r="A7" s="8" t="inlineStr">
        <is>
          <t xml:space="preserve">Wolverhampton respite est </t>
        </is>
      </c>
      <c r="B7" s="26" t="n"/>
      <c r="C7" s="26" t="n"/>
      <c r="D7" s="26" t="n"/>
      <c r="E7" s="26" t="n">
        <v>7108.1</v>
      </c>
      <c r="F7" s="26" t="n"/>
      <c r="G7" s="26" t="n"/>
      <c r="H7" s="26" t="n"/>
      <c r="I7" s="26" t="n"/>
      <c r="J7" s="26" t="n"/>
      <c r="K7" s="26" t="n"/>
      <c r="L7" s="16" t="n">
        <v>7108.1</v>
      </c>
      <c r="M7" t="n">
        <v>3040</v>
      </c>
      <c r="N7" s="9" t="n"/>
      <c r="O7" s="9" t="n"/>
      <c r="P7" s="9" t="n"/>
      <c r="Q7" s="9" t="n"/>
      <c r="R7" s="31" t="n"/>
      <c r="S7" s="31" t="n">
        <v>7108.1</v>
      </c>
      <c r="T7" s="31" t="n"/>
      <c r="U7" s="31" t="n"/>
      <c r="V7" s="31" t="n"/>
      <c r="W7" s="31" t="n"/>
      <c r="X7" s="31" t="n"/>
      <c r="Y7" s="31" t="n"/>
      <c r="Z7" s="31" t="n">
        <v>7108.1</v>
      </c>
      <c r="AA7" s="31" t="n">
        <v>16670.45</v>
      </c>
      <c r="AB7" s="31" t="n"/>
      <c r="AC7" s="31" t="n"/>
      <c r="AD7" s="31" t="n"/>
      <c r="AE7" s="31" t="n"/>
      <c r="AF7" s="75" t="n"/>
      <c r="AG7" s="13">
        <f>SUM(B7:AF7)</f>
        <v/>
      </c>
    </row>
    <row r="8" ht="15.75" customHeight="1">
      <c r="A8" s="8" t="inlineStr">
        <is>
          <t>Walsall Respite</t>
        </is>
      </c>
      <c r="B8" s="26" t="n"/>
      <c r="C8" s="31" t="n">
        <v>12043.2</v>
      </c>
      <c r="D8" s="31" t="n"/>
      <c r="E8" s="31" t="n"/>
      <c r="F8" s="31" t="n">
        <v>2761.46</v>
      </c>
      <c r="G8" s="31" t="n"/>
      <c r="H8" s="26" t="n"/>
      <c r="I8" s="26" t="n"/>
      <c r="J8" s="26" t="n"/>
      <c r="K8" s="26" t="n"/>
      <c r="L8" s="26" t="n"/>
      <c r="M8" s="9" t="n"/>
      <c r="N8" s="9" t="n"/>
      <c r="O8" s="9" t="n"/>
      <c r="P8" s="9" t="n"/>
      <c r="Q8" s="9" t="n"/>
      <c r="R8" s="31" t="n"/>
      <c r="S8" s="31" t="n"/>
      <c r="T8" s="31" t="n"/>
      <c r="U8" s="31" t="n"/>
      <c r="V8" s="31" t="n"/>
      <c r="W8" s="31" t="n"/>
      <c r="X8" s="31" t="n">
        <v>1275</v>
      </c>
      <c r="Y8" s="31" t="n"/>
      <c r="Z8" s="31" t="n"/>
      <c r="AA8" s="31" t="n"/>
      <c r="AB8" s="31" t="n"/>
      <c r="AC8" s="31" t="n"/>
      <c r="AD8" s="31" t="n"/>
      <c r="AE8" s="31" t="n"/>
      <c r="AF8" s="31" t="n">
        <v>123883.6</v>
      </c>
      <c r="AG8" s="13">
        <f>SUM(B8:AF8)</f>
        <v/>
      </c>
    </row>
    <row r="9" ht="15.75" customHeight="1">
      <c r="A9" s="8" t="inlineStr">
        <is>
          <t>Ideal for All Ltd</t>
        </is>
      </c>
      <c r="B9" s="26" t="n"/>
      <c r="C9" s="26" t="n"/>
      <c r="D9" s="31" t="n"/>
      <c r="E9" s="31" t="n"/>
      <c r="F9" s="31" t="n"/>
      <c r="G9" s="26" t="n"/>
      <c r="H9" s="31" t="n"/>
      <c r="I9" s="31" t="n"/>
      <c r="J9" s="31" t="n"/>
      <c r="K9" s="31" t="n"/>
      <c r="L9" s="31" t="n"/>
      <c r="N9" s="9" t="n"/>
      <c r="O9" s="9" t="n"/>
      <c r="P9" s="12" t="n"/>
      <c r="R9" s="31" t="n"/>
      <c r="S9" s="31" t="n"/>
      <c r="T9" s="31" t="n">
        <v>3496</v>
      </c>
      <c r="U9" s="31" t="n"/>
      <c r="V9" s="31" t="n"/>
      <c r="W9" s="31" t="n"/>
      <c r="X9" s="31" t="n"/>
      <c r="Y9" s="31" t="n"/>
      <c r="Z9" s="31" t="n"/>
      <c r="AA9" s="31" t="n"/>
      <c r="AB9" s="31" t="n"/>
      <c r="AC9" s="31" t="n"/>
      <c r="AD9" s="31" t="n"/>
      <c r="AE9" s="31" t="n">
        <v>3661.88</v>
      </c>
      <c r="AF9" s="31" t="n"/>
      <c r="AG9" s="13">
        <f>SUM(B9:AF9)</f>
        <v/>
      </c>
    </row>
    <row r="10" ht="15.75" customHeight="1">
      <c r="A10" s="8" t="inlineStr">
        <is>
          <t>KIRKLEES COUNCIL-204312-63046958</t>
        </is>
      </c>
      <c r="B10" s="26" t="n"/>
      <c r="C10" s="26" t="n"/>
      <c r="D10" s="31" t="n"/>
      <c r="E10" s="26" t="n"/>
      <c r="F10" s="31" t="n"/>
      <c r="G10" s="26" t="n"/>
      <c r="H10" s="26" t="n"/>
      <c r="I10" s="31" t="n"/>
      <c r="J10" s="26" t="n"/>
      <c r="K10" s="31" t="n"/>
      <c r="L10" s="26" t="n"/>
      <c r="M10" s="9" t="n"/>
      <c r="N10" s="9" t="n"/>
      <c r="O10" s="9" t="n"/>
      <c r="P10" s="12" t="n"/>
      <c r="Q10" s="12" t="n"/>
      <c r="R10" s="31" t="n"/>
      <c r="S10" s="31" t="n"/>
      <c r="T10" s="31" t="n"/>
      <c r="U10" s="31" t="n"/>
      <c r="V10" s="31" t="n"/>
      <c r="W10" s="31" t="n"/>
      <c r="X10" s="31" t="n"/>
      <c r="Y10" s="31" t="n"/>
      <c r="Z10" s="31" t="n"/>
      <c r="AA10" s="31" t="n"/>
      <c r="AB10" s="31" t="n"/>
      <c r="AC10" s="31" t="n"/>
      <c r="AD10" s="31" t="n"/>
      <c r="AE10" s="31" t="n">
        <v>5888.14</v>
      </c>
      <c r="AF10" s="31" t="n"/>
      <c r="AG10" s="13">
        <f>SUM(B10:AF10)</f>
        <v/>
      </c>
    </row>
    <row r="11" ht="15.75" customHeight="1">
      <c r="A11" s="8" t="inlineStr">
        <is>
          <t>LBH PAYMENTS BACS-602210-72430192</t>
        </is>
      </c>
      <c r="B11" s="26" t="n"/>
      <c r="C11" s="26" t="n"/>
      <c r="D11" s="26" t="n"/>
      <c r="E11" s="26" t="n"/>
      <c r="F11" s="31" t="n"/>
      <c r="G11" s="26" t="n"/>
      <c r="H11" s="26" t="n"/>
      <c r="I11" s="26" t="n"/>
      <c r="J11" s="26" t="n"/>
      <c r="K11" s="26" t="n"/>
      <c r="L11" s="31" t="n"/>
      <c r="M11" t="n">
        <v>5613.3</v>
      </c>
      <c r="N11" s="9" t="n"/>
      <c r="O11" s="9" t="n"/>
      <c r="P11" s="9" t="n"/>
      <c r="Q11" s="9" t="n"/>
      <c r="R11" s="31" t="n"/>
      <c r="S11" s="31" t="n"/>
      <c r="T11" s="31" t="n"/>
      <c r="U11" s="31" t="n"/>
      <c r="V11" s="31" t="n"/>
      <c r="W11" s="31" t="n"/>
      <c r="X11" s="31" t="n"/>
      <c r="Y11" s="31" t="n"/>
      <c r="Z11" s="31" t="n"/>
      <c r="AA11" s="31" t="n"/>
      <c r="AB11" s="31" t="n"/>
      <c r="AC11" s="31" t="n"/>
      <c r="AD11" s="31" t="n"/>
      <c r="AE11" s="31" t="n"/>
      <c r="AF11" s="31" t="n"/>
      <c r="AG11" s="13">
        <f>SUM(B11:AF11)</f>
        <v/>
      </c>
    </row>
    <row r="12" ht="15.75" customHeight="1">
      <c r="A12" s="8" t="inlineStr">
        <is>
          <t>NHS BIRMINGHAM &amp; S-607080-10017097</t>
        </is>
      </c>
      <c r="B12" s="26" t="n"/>
      <c r="C12" s="26" t="n"/>
      <c r="D12" s="31" t="n"/>
      <c r="E12" s="31" t="n"/>
      <c r="F12" s="31" t="n"/>
      <c r="G12" s="31" t="n"/>
      <c r="H12" s="31" t="n"/>
      <c r="I12" s="31" t="n"/>
      <c r="J12" s="31" t="n"/>
      <c r="K12" s="31" t="n">
        <v>6891.9</v>
      </c>
      <c r="L12" s="26" t="n"/>
      <c r="M12" s="9" t="n"/>
      <c r="N12" s="9" t="n"/>
      <c r="O12" s="9" t="n"/>
      <c r="P12" s="9" t="n"/>
      <c r="Q12" s="9" t="n"/>
      <c r="R12" s="31" t="n"/>
      <c r="S12" s="31" t="n"/>
      <c r="T12" s="31" t="n"/>
      <c r="U12" s="31" t="n"/>
      <c r="V12" s="31" t="n"/>
      <c r="W12" s="31" t="n"/>
      <c r="X12" s="31" t="n"/>
      <c r="Y12" s="31" t="n"/>
      <c r="Z12" s="31" t="n"/>
      <c r="AA12" s="31" t="n"/>
      <c r="AB12" s="31" t="n"/>
      <c r="AC12" s="31" t="n"/>
      <c r="AD12" s="31" t="n"/>
      <c r="AE12" s="31" t="n"/>
      <c r="AF12" s="31" t="n"/>
      <c r="AG12" s="13">
        <f>SUM(B12:AF12)</f>
        <v/>
      </c>
    </row>
    <row r="13" ht="15.75" customHeight="1">
      <c r="A13" s="8" t="inlineStr">
        <is>
          <t>NHS BLACK COUNTRY-607080-10015272</t>
        </is>
      </c>
      <c r="B13" s="26" t="n"/>
      <c r="C13" s="26" t="n"/>
      <c r="D13" s="26" t="n"/>
      <c r="E13" s="31" t="n">
        <v>4125</v>
      </c>
      <c r="F13" s="31" t="n"/>
      <c r="G13" s="26" t="inlineStr"/>
      <c r="H13" s="26" t="inlineStr"/>
      <c r="I13" s="31" t="inlineStr">
        <is>
          <t>.</t>
        </is>
      </c>
      <c r="J13" s="31" t="n"/>
      <c r="K13" s="26" t="n"/>
      <c r="L13" s="26" t="n"/>
      <c r="M13" s="9" t="n"/>
      <c r="N13" s="9" t="n"/>
      <c r="P13" s="31" t="n">
        <v>13625.17</v>
      </c>
      <c r="Q13" s="9" t="n"/>
      <c r="R13" s="31" t="n"/>
      <c r="S13" s="31" t="n"/>
      <c r="T13" s="31" t="n"/>
      <c r="U13" s="31" t="n"/>
      <c r="V13" s="31" t="n"/>
      <c r="W13" s="31" t="n"/>
      <c r="X13" s="31" t="n"/>
      <c r="Y13" s="31" t="n"/>
      <c r="Z13" s="31" t="n"/>
      <c r="AA13" s="31" t="n"/>
      <c r="AB13" s="31" t="n"/>
      <c r="AC13" s="31" t="n"/>
      <c r="AD13" s="31" t="n"/>
      <c r="AE13" s="31" t="n"/>
      <c r="AF13" s="31" t="n"/>
      <c r="AG13" s="13">
        <f>SUM(B13:AF13)</f>
        <v/>
      </c>
    </row>
    <row r="14" ht="15.75" customHeight="1">
      <c r="A14" s="14" t="inlineStr">
        <is>
          <t>SANDWELL MBC  BEN-601539-69624151</t>
        </is>
      </c>
      <c r="B14" s="26" t="n"/>
      <c r="C14" s="26" t="n"/>
      <c r="D14" s="26" t="n"/>
      <c r="E14" s="26" t="n"/>
      <c r="F14" s="26" t="n"/>
      <c r="G14" s="26" t="n"/>
      <c r="H14" s="31" t="n"/>
      <c r="I14" s="26" t="n"/>
      <c r="J14" s="26" t="n"/>
      <c r="K14" s="26" t="n"/>
      <c r="L14" s="26" t="n"/>
      <c r="M14" s="9" t="n"/>
      <c r="N14" s="9" t="n"/>
      <c r="O14" s="9" t="n"/>
      <c r="P14" s="26" t="n"/>
      <c r="Q14" s="9" t="n"/>
      <c r="R14" s="31" t="n"/>
      <c r="S14" s="31" t="n"/>
      <c r="T14" s="31" t="n"/>
      <c r="U14" s="31" t="n"/>
      <c r="V14" s="31" t="n"/>
      <c r="W14" s="31" t="n">
        <v>2660</v>
      </c>
      <c r="X14" s="31" t="n"/>
      <c r="Y14" s="31" t="n"/>
      <c r="Z14" s="31" t="n"/>
      <c r="AA14" s="31" t="n"/>
      <c r="AB14" s="31" t="n"/>
      <c r="AC14" s="31" t="n"/>
      <c r="AD14" s="31" t="n"/>
      <c r="AE14" s="31" t="n"/>
      <c r="AF14" s="31" t="n"/>
      <c r="AG14" s="13">
        <f>SUM(B14:AF14)</f>
        <v/>
      </c>
    </row>
    <row r="15" ht="15.75" customHeight="1">
      <c r="A15" s="14" t="inlineStr">
        <is>
          <t>SANDWELL MBC-601539-69624135</t>
        </is>
      </c>
      <c r="B15" s="26" t="n"/>
      <c r="C15" s="26" t="n"/>
      <c r="D15" s="26" t="n"/>
      <c r="E15" s="26" t="n"/>
      <c r="F15" s="26" t="n"/>
      <c r="G15" s="26" t="n"/>
      <c r="H15" s="26" t="n"/>
      <c r="I15" s="26" t="n">
        <v>121094.4</v>
      </c>
      <c r="J15" s="26" t="n"/>
      <c r="K15" s="26" t="n"/>
      <c r="L15" s="26" t="n"/>
      <c r="M15" s="9" t="n"/>
      <c r="N15" s="9" t="n"/>
      <c r="O15" s="9" t="n"/>
      <c r="P15" s="26" t="n"/>
      <c r="Q15" s="9" t="n"/>
      <c r="R15" s="31" t="n"/>
      <c r="S15" s="31" t="n"/>
      <c r="T15" s="31" t="n"/>
      <c r="U15" s="31" t="n"/>
      <c r="V15" s="31" t="n"/>
      <c r="W15" s="31" t="n">
        <v>121065.84</v>
      </c>
      <c r="X15" s="31" t="n"/>
      <c r="Y15" s="31" t="n"/>
      <c r="Z15" s="31" t="n"/>
      <c r="AA15" s="31" t="n"/>
      <c r="AB15" s="31" t="n"/>
      <c r="AC15" s="31" t="n"/>
      <c r="AD15" s="31" t="n"/>
      <c r="AE15" s="31" t="n"/>
      <c r="AF15" s="31" t="n"/>
      <c r="AG15" s="13">
        <f>SUM(B15:AF15)</f>
        <v/>
      </c>
    </row>
    <row r="16" ht="15.75" customHeight="1">
      <c r="A16" s="15" t="inlineStr">
        <is>
          <t>SOLIHULL MBC EXP.-200771-00561525</t>
        </is>
      </c>
      <c r="B16" s="26" t="n"/>
      <c r="C16" s="26" t="n"/>
      <c r="D16" s="26" t="n"/>
      <c r="E16" s="26" t="n"/>
      <c r="F16" s="26" t="n"/>
      <c r="G16" s="26" t="n"/>
      <c r="H16" s="26" t="n"/>
      <c r="I16" s="26" t="n"/>
      <c r="J16" s="26" t="n"/>
      <c r="K16" s="26" t="n"/>
      <c r="L16" s="26" t="n"/>
      <c r="M16" s="9" t="n"/>
      <c r="N16" s="9" t="n"/>
      <c r="O16" s="9" t="n"/>
      <c r="P16" s="31" t="n">
        <v>32010.44</v>
      </c>
      <c r="Q16" s="9" t="n"/>
      <c r="R16" s="31" t="n"/>
      <c r="S16" s="31" t="n"/>
      <c r="T16" s="31" t="n"/>
      <c r="U16" s="31" t="n"/>
      <c r="V16" s="31" t="n"/>
      <c r="W16" s="31" t="n"/>
      <c r="X16" s="31" t="n"/>
      <c r="Y16" s="31" t="n"/>
      <c r="Z16" s="31" t="n"/>
      <c r="AA16" s="31" t="n"/>
      <c r="AB16" s="31" t="n"/>
      <c r="AC16" s="31" t="n"/>
      <c r="AD16" s="31" t="n"/>
      <c r="AE16" s="31" t="n"/>
      <c r="AF16" s="31" t="n"/>
      <c r="AG16" s="13">
        <f>SUM(B16:AF16)</f>
        <v/>
      </c>
    </row>
    <row r="17" ht="15.75" customHeight="1">
      <c r="A17" s="15" t="inlineStr">
        <is>
          <t>WALSALL MBC BARC-209073-10731692</t>
        </is>
      </c>
      <c r="B17" s="26" t="n"/>
      <c r="C17" s="26" t="n">
        <v>202118.63</v>
      </c>
      <c r="D17" s="26" t="n"/>
      <c r="E17" s="26" t="n"/>
      <c r="F17" s="26" t="n"/>
      <c r="G17" s="31" t="n"/>
      <c r="H17" s="26" t="n"/>
      <c r="I17" s="26" t="n"/>
      <c r="J17" s="26" t="n"/>
      <c r="K17" s="26" t="n"/>
      <c r="L17" s="26" t="n"/>
      <c r="M17" s="9" t="n"/>
      <c r="N17" s="9" t="n"/>
      <c r="O17" s="9" t="n"/>
      <c r="P17" s="26" t="n"/>
      <c r="Q17" s="9" t="n"/>
      <c r="R17" s="31" t="n"/>
      <c r="S17" s="31" t="n"/>
      <c r="T17" s="31" t="n"/>
      <c r="U17" s="31" t="n"/>
      <c r="V17" s="31" t="n"/>
      <c r="W17" s="31" t="n"/>
      <c r="X17" s="31" t="n"/>
      <c r="Y17" s="31" t="n"/>
      <c r="Z17" s="31" t="n"/>
      <c r="AA17" s="31" t="n"/>
      <c r="AB17" s="31" t="n"/>
      <c r="AC17" s="31" t="n"/>
      <c r="AD17" s="31" t="n"/>
      <c r="AE17" s="31" t="n"/>
      <c r="AF17" s="31" t="n">
        <v>190170.72</v>
      </c>
      <c r="AG17" s="13">
        <f>SUM(B17:AF17)</f>
        <v/>
      </c>
    </row>
    <row r="18" ht="15.75" customHeight="1">
      <c r="A18" s="15" t="inlineStr">
        <is>
          <t>WOLVERHAMPTON CC-560069-44470320</t>
        </is>
      </c>
      <c r="B18" s="26" t="n"/>
      <c r="C18" s="26" t="n"/>
      <c r="D18" s="26" t="n"/>
      <c r="E18" s="26">
        <f>109664.72+2710.4</f>
        <v/>
      </c>
      <c r="F18" s="26" t="n"/>
      <c r="G18" s="26" t="n"/>
      <c r="H18" s="26" t="n"/>
      <c r="I18" s="26" t="n"/>
      <c r="J18" s="26" t="n">
        <v>5111.04</v>
      </c>
      <c r="K18" s="26" t="n"/>
      <c r="L18" s="16">
        <f>124397.06-L7</f>
        <v/>
      </c>
      <c r="M18" s="16" t="n">
        <v>8015.04</v>
      </c>
      <c r="N18" s="26" t="n"/>
      <c r="O18" s="26" t="n"/>
      <c r="P18" s="31" t="n"/>
      <c r="Q18" s="9" t="n"/>
      <c r="R18" s="31" t="n"/>
      <c r="S18" s="31" t="n">
        <v>117288.96</v>
      </c>
      <c r="T18" s="31" t="n"/>
      <c r="U18" s="31" t="n"/>
      <c r="V18" s="31" t="n"/>
      <c r="W18" s="31" t="n">
        <v>11822.12</v>
      </c>
      <c r="X18" s="31" t="n"/>
      <c r="Y18" s="31" t="n"/>
      <c r="Z18" s="31">
        <f>124106.66-Z7</f>
        <v/>
      </c>
      <c r="AA18" s="31" t="n"/>
      <c r="AB18" s="31" t="n"/>
      <c r="AC18" s="31" t="n"/>
      <c r="AD18" s="31" t="n"/>
      <c r="AE18" s="31" t="n"/>
      <c r="AF18" s="31" t="n"/>
      <c r="AG18" s="13">
        <f>SUM(B18:AF18)</f>
        <v/>
      </c>
    </row>
    <row r="19" ht="15.75" customHeight="1">
      <c r="A19" s="15" t="inlineStr">
        <is>
          <t>Portsmouth</t>
        </is>
      </c>
      <c r="B19" s="26" t="n"/>
      <c r="C19" s="26" t="n">
        <v>5247.86</v>
      </c>
      <c r="D19" s="31" t="n"/>
      <c r="E19" s="26" t="n"/>
      <c r="F19" s="26" t="n"/>
      <c r="G19" s="26" t="n"/>
      <c r="H19" s="26" t="n"/>
      <c r="I19" s="26" t="n"/>
      <c r="J19" s="26" t="n"/>
      <c r="K19" s="26" t="n"/>
      <c r="L19" s="26" t="n"/>
      <c r="M19" s="26" t="n"/>
      <c r="N19" s="26" t="n"/>
      <c r="O19" s="26" t="n"/>
      <c r="P19" s="26" t="n"/>
      <c r="Q19" s="9" t="n"/>
      <c r="R19" s="31" t="n"/>
      <c r="S19" s="31" t="n"/>
      <c r="T19" s="31" t="n"/>
      <c r="U19" s="31" t="n"/>
      <c r="V19" s="31" t="n"/>
      <c r="W19" s="31" t="n"/>
      <c r="X19" s="31" t="n"/>
      <c r="Y19" s="31" t="n"/>
      <c r="Z19" s="31" t="n"/>
      <c r="AA19" s="31" t="n"/>
      <c r="AB19" s="31" t="n"/>
      <c r="AC19" s="31" t="n"/>
      <c r="AD19" s="31" t="n"/>
      <c r="AE19" s="31" t="n"/>
      <c r="AF19" s="31" t="n"/>
      <c r="AG19" s="13">
        <f>SUM(B19:AF19)</f>
        <v/>
      </c>
    </row>
    <row r="20" ht="15.75" customHeight="1">
      <c r="A20" s="15" t="inlineStr">
        <is>
          <t>HB SC</t>
        </is>
      </c>
      <c r="B20" s="16" t="n">
        <v>7206.429999999993</v>
      </c>
      <c r="C20" s="31" t="n">
        <v>1259.009999999996</v>
      </c>
      <c r="D20" s="16" t="n">
        <v>1134.01</v>
      </c>
      <c r="E20" s="16" t="n">
        <v>3261.869999999995</v>
      </c>
      <c r="F20" s="16" t="n">
        <v>2932.730000000001</v>
      </c>
      <c r="G20" s="16" t="n">
        <v>0</v>
      </c>
      <c r="H20" s="16" t="n">
        <v>200</v>
      </c>
      <c r="I20" s="16" t="n">
        <v>4257.26999999999</v>
      </c>
      <c r="J20" s="16" t="n">
        <v>3869.419999999999</v>
      </c>
      <c r="K20" s="16" t="n">
        <v>1818.539999999999</v>
      </c>
      <c r="L20" s="16" t="n">
        <v>2304.820000000007</v>
      </c>
      <c r="M20" s="16" t="n">
        <v>3044.389999999978</v>
      </c>
      <c r="N20" s="16" t="n">
        <v>200</v>
      </c>
      <c r="O20" s="16" t="n">
        <v>0</v>
      </c>
      <c r="P20" s="16" t="n">
        <v>7342.569999999994</v>
      </c>
      <c r="Q20" s="16" t="n">
        <v>2930.67</v>
      </c>
      <c r="R20" s="75" t="n">
        <v>5613</v>
      </c>
      <c r="S20" s="75" t="n">
        <v>9131.329999999987</v>
      </c>
      <c r="T20" s="75" t="n">
        <v>6153.5</v>
      </c>
      <c r="U20" s="75" t="n">
        <v>0</v>
      </c>
      <c r="V20" s="75" t="n">
        <v>455.12</v>
      </c>
      <c r="W20" s="75" t="n">
        <v>6317.250000000005</v>
      </c>
      <c r="X20" s="75" t="n">
        <v>4931.860000000001</v>
      </c>
      <c r="Y20" s="75" t="n">
        <v>1636.359999999999</v>
      </c>
      <c r="Z20" s="75" t="n">
        <v>4597.210000000006</v>
      </c>
      <c r="AA20" s="75" t="n">
        <v>3911.18</v>
      </c>
      <c r="AB20" s="75" t="n">
        <v>411.67</v>
      </c>
      <c r="AC20" s="75" t="n">
        <v>0</v>
      </c>
      <c r="AD20" s="75" t="n">
        <v>3799.84</v>
      </c>
      <c r="AE20" s="75" t="n">
        <v>5334.21</v>
      </c>
      <c r="AF20" s="75" t="n">
        <v>4532.509999999893</v>
      </c>
      <c r="AG20" s="13">
        <f>SUM(B20:AF20)</f>
        <v/>
      </c>
    </row>
    <row r="21" ht="16.5" customHeight="1" thickBot="1">
      <c r="A21" s="15" t="inlineStr">
        <is>
          <t>Total</t>
        </is>
      </c>
      <c r="B21">
        <f>SUM(B5:B20)</f>
        <v/>
      </c>
      <c r="C21">
        <f>SUM(C5:C20)</f>
        <v/>
      </c>
      <c r="D21">
        <f>SUM(D5:D20)</f>
        <v/>
      </c>
      <c r="E21">
        <f>SUM(E5:E20)</f>
        <v/>
      </c>
      <c r="F21">
        <f>SUM(F5:F20)</f>
        <v/>
      </c>
      <c r="G21">
        <f>SUM(G5:G20)</f>
        <v/>
      </c>
      <c r="H21">
        <f>SUM(H5:H20)</f>
        <v/>
      </c>
      <c r="I21">
        <f>SUM(I5:I20)</f>
        <v/>
      </c>
      <c r="J21">
        <f>SUM(J5:J20)</f>
        <v/>
      </c>
      <c r="K21">
        <f>SUM(K5:K20)</f>
        <v/>
      </c>
      <c r="L21">
        <f>SUM(L5:L20)</f>
        <v/>
      </c>
      <c r="M21">
        <f>SUM(M5:M20)</f>
        <v/>
      </c>
      <c r="N21">
        <f>SUM(N5:N20)</f>
        <v/>
      </c>
      <c r="O21">
        <f>SUM(O5:O20)</f>
        <v/>
      </c>
      <c r="P21">
        <f>SUM(P5:P20)</f>
        <v/>
      </c>
      <c r="Q21">
        <f>SUM(Q5:Q20)</f>
        <v/>
      </c>
      <c r="R21">
        <f>SUM(R5:R20)</f>
        <v/>
      </c>
      <c r="S21">
        <f>SUM(S5:S20)</f>
        <v/>
      </c>
      <c r="T21">
        <f>SUM(T5:T20)</f>
        <v/>
      </c>
      <c r="U21">
        <f>SUM(U5:U20)</f>
        <v/>
      </c>
      <c r="V21">
        <f>SUM(V5:V20)</f>
        <v/>
      </c>
      <c r="W21">
        <f>SUM(W5:W20)</f>
        <v/>
      </c>
      <c r="X21">
        <f>SUM(X5:X20)</f>
        <v/>
      </c>
      <c r="Y21">
        <f>SUM(Y5:Y20)</f>
        <v/>
      </c>
      <c r="Z21">
        <f>SUM(Z5:Z20)</f>
        <v/>
      </c>
      <c r="AA21">
        <f>SUM(AA5:AA20)</f>
        <v/>
      </c>
      <c r="AB21">
        <f>SUM(AB5:AB20)</f>
        <v/>
      </c>
      <c r="AC21">
        <f>SUM(AC5:AC20)</f>
        <v/>
      </c>
      <c r="AD21">
        <f>SUM(AD5:AD20)</f>
        <v/>
      </c>
      <c r="AE21">
        <f>SUM(AE5:AE20)</f>
        <v/>
      </c>
      <c r="AG21" s="252">
        <f>SUM(AG4:AG20)</f>
        <v/>
      </c>
    </row>
    <row r="22" ht="15.75" customHeight="1" thickTop="1">
      <c r="A22" s="15" t="inlineStr">
        <is>
          <t>Ruunning Total</t>
        </is>
      </c>
      <c r="B22">
        <f>B21</f>
        <v/>
      </c>
      <c r="C22">
        <f>B22+C21</f>
        <v/>
      </c>
      <c r="D22">
        <f>C22+D21</f>
        <v/>
      </c>
      <c r="E22">
        <f>D22+E21</f>
        <v/>
      </c>
      <c r="F22">
        <f>E22+F21</f>
        <v/>
      </c>
      <c r="G22">
        <f>F22+G21</f>
        <v/>
      </c>
      <c r="H22">
        <f>G22+H21</f>
        <v/>
      </c>
      <c r="I22">
        <f>H22+I21</f>
        <v/>
      </c>
      <c r="J22">
        <f>I22+J21</f>
        <v/>
      </c>
      <c r="K22">
        <f>J22+K21</f>
        <v/>
      </c>
      <c r="L22">
        <f>K22+L21</f>
        <v/>
      </c>
      <c r="M22">
        <f>L22+M21</f>
        <v/>
      </c>
      <c r="N22">
        <f>M22+N21</f>
        <v/>
      </c>
      <c r="O22">
        <f>N22+O21</f>
        <v/>
      </c>
      <c r="P22">
        <f>O22+P21</f>
        <v/>
      </c>
      <c r="Q22">
        <f>P22+Q21</f>
        <v/>
      </c>
      <c r="R22">
        <f>Q22+R21</f>
        <v/>
      </c>
      <c r="S22">
        <f>R22+S21</f>
        <v/>
      </c>
      <c r="T22">
        <f>S22+T21</f>
        <v/>
      </c>
      <c r="U22">
        <f>T22+U21</f>
        <v/>
      </c>
      <c r="V22">
        <f>U22+V21</f>
        <v/>
      </c>
      <c r="W22">
        <f>V22+W21</f>
        <v/>
      </c>
      <c r="X22">
        <f>W22+X21</f>
        <v/>
      </c>
      <c r="Y22">
        <f>X22+Y21</f>
        <v/>
      </c>
      <c r="Z22">
        <f>Y22+Z21</f>
        <v/>
      </c>
      <c r="AA22">
        <f>Z22+AA21</f>
        <v/>
      </c>
      <c r="AB22">
        <f>AA22+AB21</f>
        <v/>
      </c>
      <c r="AC22">
        <f>AB22+AC21</f>
        <v/>
      </c>
      <c r="AD22">
        <f>AC22+AD21</f>
        <v/>
      </c>
      <c r="AE22">
        <f>AD22+AE21</f>
        <v/>
      </c>
    </row>
    <row r="25">
      <c r="A25" s="1" t="n"/>
      <c r="B25" s="2" t="inlineStr">
        <is>
          <t>August</t>
        </is>
      </c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1" t="n"/>
      <c r="AF25" s="1" t="n"/>
      <c r="AG25" s="1" t="n"/>
    </row>
    <row r="26">
      <c r="A26" s="1" t="n"/>
      <c r="B26" s="2" t="inlineStr">
        <is>
          <t>Thursday</t>
        </is>
      </c>
      <c r="C26" s="2" t="inlineStr">
        <is>
          <t>Friday</t>
        </is>
      </c>
      <c r="D26" s="2" t="inlineStr">
        <is>
          <t>Saturday</t>
        </is>
      </c>
      <c r="E26" s="2" t="inlineStr">
        <is>
          <t>Sunday</t>
        </is>
      </c>
      <c r="F26" s="2" t="inlineStr">
        <is>
          <t>Monday</t>
        </is>
      </c>
      <c r="G26" s="2" t="inlineStr">
        <is>
          <t>Tuesday</t>
        </is>
      </c>
      <c r="H26" s="2" t="inlineStr">
        <is>
          <t>Wednesday</t>
        </is>
      </c>
      <c r="I26" s="2" t="inlineStr">
        <is>
          <t>Thursday</t>
        </is>
      </c>
      <c r="J26" s="2" t="inlineStr">
        <is>
          <t>Friday</t>
        </is>
      </c>
      <c r="K26" s="2" t="inlineStr">
        <is>
          <t>Saturday</t>
        </is>
      </c>
      <c r="L26" s="2" t="inlineStr">
        <is>
          <t>Sunday</t>
        </is>
      </c>
      <c r="M26" s="2" t="inlineStr">
        <is>
          <t>Monday</t>
        </is>
      </c>
      <c r="N26" s="2" t="inlineStr">
        <is>
          <t>Tuesday</t>
        </is>
      </c>
      <c r="O26" s="2" t="inlineStr">
        <is>
          <t>Wednesday</t>
        </is>
      </c>
      <c r="P26" s="2" t="inlineStr">
        <is>
          <t>Thursday</t>
        </is>
      </c>
      <c r="Q26" s="2" t="inlineStr">
        <is>
          <t>Friday</t>
        </is>
      </c>
      <c r="R26" s="2" t="inlineStr">
        <is>
          <t>Saturday</t>
        </is>
      </c>
      <c r="S26" s="2" t="inlineStr">
        <is>
          <t>Sunday</t>
        </is>
      </c>
      <c r="T26" s="2" t="inlineStr">
        <is>
          <t>Monday</t>
        </is>
      </c>
      <c r="U26" s="2" t="inlineStr">
        <is>
          <t>Tuesday</t>
        </is>
      </c>
      <c r="V26" s="2" t="inlineStr">
        <is>
          <t>Wednesday</t>
        </is>
      </c>
      <c r="W26" s="2" t="inlineStr">
        <is>
          <t>Thursday</t>
        </is>
      </c>
      <c r="X26" s="2" t="inlineStr">
        <is>
          <t>Friday</t>
        </is>
      </c>
      <c r="Y26" s="2" t="inlineStr">
        <is>
          <t>Saturday</t>
        </is>
      </c>
      <c r="Z26" s="2" t="inlineStr">
        <is>
          <t>Sunday</t>
        </is>
      </c>
      <c r="AA26" s="2" t="inlineStr">
        <is>
          <t>Monday</t>
        </is>
      </c>
      <c r="AB26" s="2" t="inlineStr">
        <is>
          <t>Tuesday</t>
        </is>
      </c>
      <c r="AC26" s="2" t="inlineStr">
        <is>
          <t>Wednesday</t>
        </is>
      </c>
      <c r="AD26" s="2" t="inlineStr">
        <is>
          <t>Thursday</t>
        </is>
      </c>
      <c r="AE26" s="2" t="inlineStr">
        <is>
          <t>Friday</t>
        </is>
      </c>
      <c r="AF26" s="2" t="inlineStr">
        <is>
          <t>Saturday</t>
        </is>
      </c>
      <c r="AG26" s="2" t="inlineStr">
        <is>
          <t>Total</t>
        </is>
      </c>
    </row>
    <row r="27">
      <c r="A27" s="1" t="n"/>
      <c r="B27" s="7" t="inlineStr">
        <is>
          <t>1st</t>
        </is>
      </c>
      <c r="C27" s="7" t="inlineStr">
        <is>
          <t>2nd</t>
        </is>
      </c>
      <c r="D27" s="7" t="inlineStr">
        <is>
          <t>3rd</t>
        </is>
      </c>
      <c r="E27" s="7" t="inlineStr">
        <is>
          <t>4th</t>
        </is>
      </c>
      <c r="F27" s="3" t="inlineStr">
        <is>
          <t>5th</t>
        </is>
      </c>
      <c r="G27" s="3" t="inlineStr">
        <is>
          <t>6th</t>
        </is>
      </c>
      <c r="H27" s="3" t="inlineStr">
        <is>
          <t>7th</t>
        </is>
      </c>
      <c r="I27" s="3" t="inlineStr">
        <is>
          <t>8th</t>
        </is>
      </c>
      <c r="J27" s="3" t="inlineStr">
        <is>
          <t>9th</t>
        </is>
      </c>
      <c r="K27" s="3" t="inlineStr">
        <is>
          <t>10th</t>
        </is>
      </c>
      <c r="L27" s="3" t="inlineStr">
        <is>
          <t>11th</t>
        </is>
      </c>
      <c r="M27" s="4" t="inlineStr">
        <is>
          <t>12th</t>
        </is>
      </c>
      <c r="N27" s="4" t="inlineStr">
        <is>
          <t>13th</t>
        </is>
      </c>
      <c r="O27" s="4" t="inlineStr">
        <is>
          <t>14th</t>
        </is>
      </c>
      <c r="P27" s="4" t="inlineStr">
        <is>
          <t>15th</t>
        </is>
      </c>
      <c r="Q27" s="4" t="inlineStr">
        <is>
          <t>16th</t>
        </is>
      </c>
      <c r="R27" s="4" t="inlineStr">
        <is>
          <t>17th</t>
        </is>
      </c>
      <c r="S27" s="4" t="inlineStr">
        <is>
          <t>18th</t>
        </is>
      </c>
      <c r="T27" s="5" t="inlineStr">
        <is>
          <t>19th</t>
        </is>
      </c>
      <c r="U27" s="5" t="inlineStr">
        <is>
          <t>20th</t>
        </is>
      </c>
      <c r="V27" s="5" t="inlineStr">
        <is>
          <t>21st</t>
        </is>
      </c>
      <c r="W27" s="5" t="inlineStr">
        <is>
          <t>22nd</t>
        </is>
      </c>
      <c r="X27" s="5" t="inlineStr">
        <is>
          <t>23rd</t>
        </is>
      </c>
      <c r="Y27" s="5" t="inlineStr">
        <is>
          <t>24th</t>
        </is>
      </c>
      <c r="Z27" s="5" t="inlineStr">
        <is>
          <t>25th</t>
        </is>
      </c>
      <c r="AA27" s="6" t="inlineStr">
        <is>
          <t>26th</t>
        </is>
      </c>
      <c r="AB27" s="6" t="inlineStr">
        <is>
          <t>27th</t>
        </is>
      </c>
      <c r="AC27" s="6" t="inlineStr">
        <is>
          <t>28th</t>
        </is>
      </c>
      <c r="AD27" s="6" t="inlineStr">
        <is>
          <t>29th</t>
        </is>
      </c>
      <c r="AE27" s="6" t="inlineStr">
        <is>
          <t>30th</t>
        </is>
      </c>
      <c r="AF27" s="6" t="inlineStr">
        <is>
          <t>31st</t>
        </is>
      </c>
      <c r="AG27" s="1" t="n"/>
    </row>
    <row r="28" ht="18.75" customHeight="1">
      <c r="A28" s="8" t="inlineStr">
        <is>
          <t>B-HAM CITY COUNCIL-200790-70489166</t>
        </is>
      </c>
      <c r="B28" s="26" t="n"/>
      <c r="C28" s="31" t="n"/>
      <c r="D28" s="9" t="n"/>
      <c r="E28" s="12" t="n"/>
      <c r="F28" s="12" t="n"/>
      <c r="G28" s="12" t="n"/>
      <c r="H28" s="31" t="n">
        <v>5018.56</v>
      </c>
      <c r="I28" s="12" t="n"/>
      <c r="K28" s="9" t="n"/>
      <c r="L28" s="12" t="n"/>
      <c r="M28" s="12" t="n"/>
      <c r="N28" s="12" t="n"/>
      <c r="P28" s="31" t="n">
        <v>62841.32</v>
      </c>
      <c r="Q28" s="12" t="n"/>
      <c r="R28" s="12" t="n"/>
      <c r="S28" s="12" t="n"/>
      <c r="U28" s="12" t="n"/>
      <c r="W28" s="12" t="n"/>
      <c r="X28" s="10" t="n"/>
      <c r="Y28" s="11" t="n"/>
      <c r="Z28" s="9" t="n"/>
      <c r="AA28" s="79" t="n"/>
      <c r="AB28" s="9" t="n"/>
      <c r="AD28" s="9" t="n"/>
      <c r="AE28" s="31" t="n"/>
      <c r="AF28" s="9" t="n"/>
      <c r="AG28" s="13">
        <f>SUM(B28:AF28)</f>
        <v/>
      </c>
    </row>
    <row r="29" ht="15.75" customHeight="1">
      <c r="A29" s="8" t="inlineStr">
        <is>
          <t>Buckingham</t>
        </is>
      </c>
      <c r="B29" s="26" t="n"/>
      <c r="C29" s="31" t="n">
        <v>5134.44</v>
      </c>
      <c r="D29" s="9" t="n"/>
      <c r="E29" s="9" t="n"/>
      <c r="F29" s="9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" t="n"/>
      <c r="P29" s="31" t="n"/>
      <c r="Q29" s="12" t="n"/>
      <c r="R29" s="12" t="n"/>
      <c r="S29" s="12" t="n"/>
      <c r="T29" s="12" t="n"/>
      <c r="U29" s="12" t="n"/>
      <c r="V29" s="12" t="n"/>
      <c r="W29" s="9" t="n"/>
      <c r="X29" s="9" t="n"/>
      <c r="Y29" s="9" t="n"/>
      <c r="Z29" s="9" t="n"/>
      <c r="AA29" s="80" t="n"/>
      <c r="AB29" s="9" t="n"/>
      <c r="AC29" s="9" t="n"/>
      <c r="AD29" s="9" t="n"/>
      <c r="AE29" s="31" t="n">
        <v>5134.44</v>
      </c>
      <c r="AF29" s="9" t="n"/>
      <c r="AG29" s="13">
        <f>SUM(B29:AF29)</f>
        <v/>
      </c>
    </row>
    <row r="30" ht="15.75" customHeight="1">
      <c r="A30" s="8" t="inlineStr">
        <is>
          <t>Sandwell respite est</t>
        </is>
      </c>
      <c r="B30" s="26" t="n"/>
      <c r="C30" s="26" t="n"/>
      <c r="D30" s="9" t="n"/>
      <c r="E30" s="9" t="n"/>
      <c r="F30" s="9" t="n"/>
      <c r="G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26" t="n"/>
      <c r="Q30" s="93" t="n">
        <v>11513.6</v>
      </c>
      <c r="R30" s="9" t="n"/>
      <c r="S30" s="9" t="n"/>
      <c r="T30" s="9" t="n"/>
      <c r="U30" s="9" t="n"/>
      <c r="V30" s="9" t="n"/>
      <c r="W30" s="9" t="n"/>
      <c r="X30" s="9" t="n"/>
      <c r="Y30" s="9" t="n"/>
      <c r="Z30" s="9" t="n"/>
      <c r="AA30" s="80" t="n"/>
      <c r="AB30" s="9" t="n"/>
      <c r="AC30" s="93" t="n">
        <v>10645.32</v>
      </c>
      <c r="AD30" s="9" t="n"/>
      <c r="AE30" s="31" t="n"/>
      <c r="AF30" s="9" t="n"/>
      <c r="AG30" s="13">
        <f>SUM(B30:AF30)</f>
        <v/>
      </c>
    </row>
    <row r="31" ht="15.75" customHeight="1">
      <c r="A31" s="8" t="inlineStr">
        <is>
          <t xml:space="preserve">Wolverhampton respite est </t>
        </is>
      </c>
      <c r="B31" s="26" t="n">
        <v>7108.1</v>
      </c>
      <c r="C31" s="26" t="n"/>
      <c r="D31" s="9" t="n"/>
      <c r="E31" s="9" t="n"/>
      <c r="F31" s="9" t="n"/>
      <c r="G31" s="9" t="n"/>
      <c r="H31" s="9" t="n"/>
      <c r="I31" s="26" t="n">
        <v>7108.1</v>
      </c>
      <c r="J31" s="9" t="n"/>
      <c r="K31" s="9" t="n"/>
      <c r="L31" s="9" t="n"/>
      <c r="M31" s="9" t="n"/>
      <c r="N31" s="9" t="n"/>
      <c r="P31" s="16" t="n">
        <v>7108.1</v>
      </c>
      <c r="R31" s="12" t="n"/>
      <c r="S31" s="9" t="n"/>
      <c r="T31" t="n">
        <v>11822.12</v>
      </c>
      <c r="U31" s="9" t="n"/>
      <c r="V31" s="9" t="n"/>
      <c r="W31" s="16" t="n">
        <v>7108.1</v>
      </c>
      <c r="X31" s="94" t="n">
        <v>3158.4</v>
      </c>
      <c r="Y31" s="9" t="n"/>
      <c r="Z31" s="9" t="n"/>
      <c r="AA31" s="80" t="n"/>
      <c r="AB31" s="94" t="n">
        <v>9897.92</v>
      </c>
      <c r="AD31" s="9" t="n"/>
      <c r="AE31" s="16" t="n">
        <v>7108.1</v>
      </c>
      <c r="AF31" s="10" t="n"/>
      <c r="AG31" s="13">
        <f>SUM(B31:AF31)</f>
        <v/>
      </c>
    </row>
    <row r="32" ht="15.75" customHeight="1">
      <c r="A32" s="8" t="inlineStr">
        <is>
          <t>Walsall Respite</t>
        </is>
      </c>
      <c r="B32" s="26" t="n"/>
      <c r="C32" s="26" t="n"/>
      <c r="D32" s="9" t="n"/>
      <c r="E32" s="9" t="n"/>
      <c r="F32" s="9" t="n"/>
      <c r="G32" s="12" t="n"/>
      <c r="H32" s="9" t="n"/>
      <c r="I32" s="9" t="n"/>
      <c r="J32" t="n">
        <v>3040</v>
      </c>
      <c r="K32" s="9" t="n"/>
      <c r="L32" s="9" t="n"/>
      <c r="M32" s="9" t="n"/>
      <c r="N32" s="9" t="n"/>
      <c r="O32" s="9" t="n"/>
      <c r="P32" s="26" t="n"/>
      <c r="Q32" s="9" t="n"/>
      <c r="R32" s="12" t="n"/>
      <c r="S32" s="9" t="n"/>
      <c r="T32" s="9" t="n"/>
      <c r="U32" s="9" t="n"/>
      <c r="V32" s="9" t="n"/>
      <c r="W32" s="9" t="n"/>
      <c r="X32" s="9" t="n"/>
      <c r="Y32" s="9" t="n"/>
      <c r="Z32" s="9" t="n"/>
      <c r="AA32" s="80" t="n"/>
      <c r="AB32" s="26" t="n">
        <v>14854.4</v>
      </c>
      <c r="AD32" s="9" t="n"/>
      <c r="AE32" s="31" t="n"/>
      <c r="AG32" s="13">
        <f>SUM(B32:AF32)</f>
        <v/>
      </c>
    </row>
    <row r="33" ht="18.75" customHeight="1">
      <c r="A33" s="8" t="inlineStr">
        <is>
          <t>Ideal for All Ltd</t>
        </is>
      </c>
      <c r="B33" s="31" t="n"/>
      <c r="C33" s="31" t="n"/>
      <c r="D33" s="9" t="n"/>
      <c r="E33" s="12" t="n"/>
      <c r="F33" s="12" t="n"/>
      <c r="G33" s="12" t="n"/>
      <c r="H33" s="12" t="n"/>
      <c r="I33" t="n">
        <v>3661.88</v>
      </c>
      <c r="J33" s="12" t="n"/>
      <c r="K33" s="9" t="n"/>
      <c r="L33" s="9" t="n"/>
      <c r="M33" s="12" t="n"/>
      <c r="N33" s="12" t="n"/>
      <c r="O33" s="12" t="n"/>
      <c r="P33" s="31" t="n"/>
      <c r="R33" s="9" t="n"/>
      <c r="S33" s="9" t="n"/>
      <c r="T33" s="11" t="n"/>
      <c r="V33" s="9" t="n"/>
      <c r="W33" s="9" t="n"/>
      <c r="X33" s="12" t="n"/>
      <c r="Y33" s="9" t="n"/>
      <c r="Z33" s="9" t="n"/>
      <c r="AA33" s="80" t="n"/>
      <c r="AB33" s="26" t="n"/>
      <c r="AC33" s="9" t="n"/>
      <c r="AE33" s="31" t="n"/>
      <c r="AF33" s="9" t="n"/>
      <c r="AG33" s="13">
        <f>SUM(B33:AF33)</f>
        <v/>
      </c>
    </row>
    <row r="34" ht="15.75" customHeight="1">
      <c r="A34" s="8" t="inlineStr">
        <is>
          <t>KIRKLEES COUNCIL-204312-63046958</t>
        </is>
      </c>
      <c r="B34" s="26" t="n"/>
      <c r="C34" s="31" t="n"/>
      <c r="D34" s="9" t="n"/>
      <c r="E34" s="9" t="n"/>
      <c r="F34" s="12" t="n"/>
      <c r="G34" s="9" t="n"/>
      <c r="H34" s="12" t="n"/>
      <c r="I34" s="9" t="n"/>
      <c r="J34" s="9" t="n"/>
      <c r="K34" s="9" t="n"/>
      <c r="L34" s="9" t="n"/>
      <c r="M34" s="12" t="n"/>
      <c r="N34" s="12" t="n"/>
      <c r="O34" s="12" t="n"/>
      <c r="P34" s="31" t="n"/>
      <c r="Q34" s="12" t="n"/>
      <c r="R34" s="9" t="n"/>
      <c r="S34" s="9" t="n"/>
      <c r="T34" s="9" t="n"/>
      <c r="U34" s="9" t="n"/>
      <c r="V34" s="12" t="n"/>
      <c r="W34" s="9" t="n"/>
      <c r="X34" s="9" t="n"/>
      <c r="Y34" s="9" t="n"/>
      <c r="Z34" s="9" t="n"/>
      <c r="AA34" s="80" t="n"/>
      <c r="AB34" s="31" t="n"/>
      <c r="AC34" s="9" t="n"/>
      <c r="AD34" s="9" t="n"/>
      <c r="AE34" s="31" t="n"/>
      <c r="AF34" s="12" t="n"/>
      <c r="AG34" s="13">
        <f>SUM(B34:AF34)</f>
        <v/>
      </c>
    </row>
    <row r="35" ht="15.75" customHeight="1">
      <c r="A35" s="8" t="inlineStr">
        <is>
          <t>LBH PAYMENTS BACS-602210-72430192</t>
        </is>
      </c>
      <c r="B35" s="26" t="n"/>
      <c r="C35" s="31" t="n"/>
      <c r="D35" s="9" t="n"/>
      <c r="E35" s="9" t="n"/>
      <c r="F35" s="9" t="n"/>
      <c r="G35" s="9" t="n"/>
      <c r="H35" s="9" t="n"/>
      <c r="I35" s="12" t="n"/>
      <c r="K35" s="9" t="n"/>
      <c r="L35" s="9" t="n"/>
      <c r="M35" s="9" t="n"/>
      <c r="N35" s="9" t="n"/>
      <c r="O35" t="n">
        <v>5203.8</v>
      </c>
      <c r="P35" s="31" t="n"/>
      <c r="Q35" s="12" t="n"/>
      <c r="R35" s="9" t="n"/>
      <c r="S35" s="9" t="n"/>
      <c r="T35" s="9" t="n"/>
      <c r="U35" s="9" t="n"/>
      <c r="V35" s="9" t="n"/>
      <c r="W35" s="9" t="n"/>
      <c r="X35" s="9" t="n"/>
      <c r="Y35" s="9" t="n"/>
      <c r="Z35" s="9" t="n"/>
      <c r="AA35" s="80" t="n"/>
      <c r="AB35" s="26" t="n"/>
      <c r="AC35" s="9" t="n"/>
      <c r="AD35" s="9" t="n"/>
      <c r="AE35" s="26" t="n"/>
      <c r="AF35" s="9" t="n"/>
      <c r="AG35" s="13">
        <f>SUM(B35:AF35)</f>
        <v/>
      </c>
    </row>
    <row r="36" ht="15.75" customHeight="1">
      <c r="A36" s="8" t="inlineStr">
        <is>
          <t>NHS BIRMINGHAM &amp; S-607080-10017097</t>
        </is>
      </c>
      <c r="B36" s="31" t="n"/>
      <c r="C36" s="31" t="n"/>
      <c r="D36" s="12" t="n"/>
      <c r="E36" s="12" t="n"/>
      <c r="F36" s="12" t="n"/>
      <c r="G36" s="12" t="n"/>
      <c r="J36" s="9" t="n"/>
      <c r="K36" s="9" t="n"/>
      <c r="L36" s="9" t="n"/>
      <c r="M36" s="9" t="n"/>
      <c r="N36" s="9" t="n"/>
      <c r="P36" s="31" t="n">
        <v>7121.63</v>
      </c>
      <c r="Q36" s="12" t="n"/>
      <c r="R36" s="9" t="n"/>
      <c r="S36" s="9" t="n"/>
      <c r="T36" s="9" t="n"/>
      <c r="U36" s="9" t="n"/>
      <c r="V36" s="9" t="n"/>
      <c r="W36" s="9" t="n"/>
      <c r="X36" s="9" t="n"/>
      <c r="Y36" s="9" t="n"/>
      <c r="Z36" s="9" t="n"/>
      <c r="AA36" s="80" t="n"/>
      <c r="AB36" s="26" t="n"/>
      <c r="AC36" s="9" t="n"/>
      <c r="AD36" s="9" t="n"/>
      <c r="AE36" s="26" t="n"/>
      <c r="AF36" s="9" t="n"/>
      <c r="AG36" s="13">
        <f>SUM(B36:AF36)</f>
        <v/>
      </c>
    </row>
    <row r="37" ht="15.75" customHeight="1">
      <c r="A37" s="8" t="inlineStr">
        <is>
          <t>NHS BLACK COUNTRY-607080-10015272</t>
        </is>
      </c>
      <c r="B37" s="31" t="n"/>
      <c r="C37" s="31" t="n"/>
      <c r="D37" s="9" t="inlineStr"/>
      <c r="E37" s="9" t="inlineStr"/>
      <c r="G37" s="12" t="n"/>
      <c r="I37" t="n">
        <v>3300</v>
      </c>
      <c r="J37" s="12" t="n"/>
      <c r="K37" s="9" t="n"/>
      <c r="L37" s="12" t="n"/>
      <c r="N37" s="9" t="n"/>
      <c r="O37" s="12" t="n"/>
      <c r="P37" s="31" t="n">
        <v>13625.17</v>
      </c>
      <c r="R37" s="12" t="n"/>
      <c r="S37" s="9" t="n"/>
      <c r="T37" s="12" t="n"/>
      <c r="U37" s="12" t="n"/>
      <c r="V37" s="12" t="n"/>
      <c r="W37" s="12" t="n"/>
      <c r="X37" s="9" t="n"/>
      <c r="Y37" s="9" t="n"/>
      <c r="Z37" s="12" t="n"/>
      <c r="AA37" s="80" t="n"/>
      <c r="AB37" s="31" t="n"/>
      <c r="AC37" s="12" t="n"/>
      <c r="AD37" s="9" t="n"/>
      <c r="AE37" s="26" t="n"/>
      <c r="AF37" s="9" t="n"/>
      <c r="AG37" s="13">
        <f>SUM(B37:AF37)</f>
        <v/>
      </c>
    </row>
    <row r="38" ht="15.75" customHeight="1">
      <c r="A38" s="14" t="inlineStr">
        <is>
          <t>SANDWELL MBC  BEN-601539-69624151</t>
        </is>
      </c>
      <c r="B38" s="26" t="n"/>
      <c r="C38" s="26" t="n"/>
      <c r="D38" s="9" t="n"/>
      <c r="E38" s="9" t="n"/>
      <c r="F38" s="9" t="n"/>
      <c r="G38" s="9" t="n"/>
      <c r="H38" s="12" t="n"/>
      <c r="I38" s="9" t="n"/>
      <c r="J38" s="9" t="n"/>
      <c r="K38" s="9" t="n"/>
      <c r="L38" s="9" t="n"/>
      <c r="M38" s="9" t="n"/>
      <c r="N38" s="9" t="n"/>
      <c r="O38" s="9" t="n"/>
      <c r="P38" s="26" t="n"/>
      <c r="Q38" s="9" t="n"/>
      <c r="R38" s="9" t="n"/>
      <c r="T38" t="n">
        <v>2660</v>
      </c>
      <c r="U38" s="9" t="n"/>
      <c r="V38" s="12" t="n"/>
      <c r="W38" s="9" t="n"/>
      <c r="X38" s="9" t="n"/>
      <c r="Y38" s="12" t="n"/>
      <c r="Z38" s="9" t="n"/>
      <c r="AA38" s="80" t="n"/>
      <c r="AB38" s="26" t="n"/>
      <c r="AC38" s="9" t="n"/>
      <c r="AD38" s="9" t="n"/>
      <c r="AE38" s="26" t="n"/>
      <c r="AF38" s="9" t="n"/>
      <c r="AG38" s="13">
        <f>SUM(B38:AF38)</f>
        <v/>
      </c>
    </row>
    <row r="39" ht="15.75" customHeight="1">
      <c r="A39" s="14" t="inlineStr">
        <is>
          <t>SANDWELL MBC-601539-69624135</t>
        </is>
      </c>
      <c r="B39" s="26" t="n"/>
      <c r="C39" s="31" t="n">
        <v>121094.4</v>
      </c>
      <c r="D39" s="9" t="n"/>
      <c r="E39" s="9" t="n"/>
      <c r="F39" s="9" t="n"/>
      <c r="G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31" t="n"/>
      <c r="Q39" s="9" t="n"/>
      <c r="R39" s="9" t="n"/>
      <c r="S39" s="9" t="n"/>
      <c r="T39" s="9" t="n"/>
      <c r="U39" s="26" t="n">
        <v>129273.44</v>
      </c>
      <c r="V39" s="9" t="n"/>
      <c r="W39" s="9" t="n"/>
      <c r="X39" s="9" t="n"/>
      <c r="Y39" s="9" t="n"/>
      <c r="Z39" s="9" t="n"/>
      <c r="AA39" s="80" t="n"/>
      <c r="AB39" s="26" t="n"/>
      <c r="AC39" s="9" t="n"/>
      <c r="AD39" s="9" t="n"/>
      <c r="AE39" s="26" t="n"/>
      <c r="AF39" s="9" t="n"/>
      <c r="AG39" s="13">
        <f>SUM(B39:AF39)</f>
        <v/>
      </c>
    </row>
    <row r="40" ht="15.75" customHeight="1">
      <c r="A40" s="15" t="inlineStr">
        <is>
          <t>SOLIHULL MBC EXP.-200771-00561525</t>
        </is>
      </c>
      <c r="B40" s="26" t="n"/>
      <c r="C40" s="26" t="n"/>
      <c r="D40" s="9" t="n"/>
      <c r="E40" s="9" t="n"/>
      <c r="F40" s="9" t="n"/>
      <c r="G40" s="9" t="n"/>
      <c r="H40" s="9" t="n"/>
      <c r="I40" s="9" t="n"/>
      <c r="J40" s="9" t="n"/>
      <c r="K40" s="9" t="n"/>
      <c r="L40" s="9" t="n"/>
      <c r="M40" t="n">
        <v>32010.44</v>
      </c>
      <c r="N40" s="9" t="n"/>
      <c r="O40" s="9" t="n"/>
      <c r="P40" s="26" t="n"/>
      <c r="Q40" s="9" t="n"/>
      <c r="R40" s="12" t="n"/>
      <c r="S40" s="9" t="n"/>
      <c r="T40" s="12" t="n"/>
      <c r="U40" s="9" t="n"/>
      <c r="V40" s="9" t="n"/>
      <c r="W40" s="9" t="n"/>
      <c r="X40" s="9" t="n"/>
      <c r="Y40" s="9" t="n"/>
      <c r="Z40" s="9" t="n"/>
      <c r="AA40" s="80" t="n"/>
      <c r="AB40" s="26" t="n"/>
      <c r="AC40" s="9" t="n"/>
      <c r="AD40" s="9" t="n"/>
      <c r="AE40" s="26" t="n"/>
      <c r="AF40" s="9" t="n"/>
      <c r="AG40" s="13">
        <f>SUM(B40:AF40)</f>
        <v/>
      </c>
    </row>
    <row r="41" ht="15.75" customHeight="1">
      <c r="A41" s="15" t="inlineStr">
        <is>
          <t>WALSALL MBC BARC-209073-10731692</t>
        </is>
      </c>
      <c r="B41" s="26" t="n"/>
      <c r="C41" s="26" t="n"/>
      <c r="D41" s="9" t="n"/>
      <c r="E41" s="9" t="n"/>
      <c r="F41" s="9" t="n"/>
      <c r="G41" s="12" t="n"/>
      <c r="H41" s="9" t="n"/>
      <c r="I41" s="9" t="n"/>
      <c r="J41" s="9" t="n"/>
      <c r="K41" s="9" t="n"/>
      <c r="L41" s="9" t="n"/>
      <c r="M41" s="9" t="n"/>
      <c r="N41" s="9" t="n"/>
      <c r="O41" s="9" t="n"/>
      <c r="P41" s="26" t="n"/>
      <c r="Q41" s="9" t="n"/>
      <c r="R41" s="9" t="n"/>
      <c r="S41" s="9" t="n"/>
      <c r="T41" s="9" t="n"/>
      <c r="U41" s="9" t="n"/>
      <c r="V41" s="9" t="n"/>
      <c r="W41" s="9" t="n"/>
      <c r="X41" s="9" t="n"/>
      <c r="Y41" s="9" t="n"/>
      <c r="Z41" s="9" t="n"/>
      <c r="AA41" s="80" t="n"/>
      <c r="AB41" s="31">
        <f>204753.04-AB32</f>
        <v/>
      </c>
      <c r="AC41" s="9" t="n"/>
      <c r="AE41" s="31" t="n"/>
      <c r="AF41" s="9" t="n"/>
      <c r="AG41" s="13">
        <f>SUM(B41:AF41)</f>
        <v/>
      </c>
    </row>
    <row r="42" ht="15.75" customHeight="1">
      <c r="A42" s="15" t="inlineStr">
        <is>
          <t>WOLVERHAMPTON CC-560069-44470320</t>
        </is>
      </c>
      <c r="B42" s="26">
        <f>148303.62-B31</f>
        <v/>
      </c>
      <c r="C42" s="26" t="n"/>
      <c r="D42" s="9" t="n"/>
      <c r="E42" s="9" t="n"/>
      <c r="F42" s="9" t="n"/>
      <c r="G42" s="9" t="n"/>
      <c r="H42" s="9" t="n"/>
      <c r="I42" s="26" t="n">
        <v>114830</v>
      </c>
      <c r="J42" s="26" t="n"/>
      <c r="K42" s="26" t="n"/>
      <c r="L42" s="26" t="n"/>
      <c r="M42" s="26" t="n"/>
      <c r="N42" s="9" t="n"/>
      <c r="O42" s="9" t="n"/>
      <c r="P42" s="26" t="n">
        <v>114253.04</v>
      </c>
      <c r="Q42" s="9" t="n"/>
      <c r="R42" s="9" t="n"/>
      <c r="S42" s="9" t="n"/>
      <c r="T42" s="9" t="n"/>
      <c r="U42" s="9" t="n"/>
      <c r="V42" s="9" t="n"/>
      <c r="W42" s="16">
        <f>118650.74-W31</f>
        <v/>
      </c>
      <c r="X42" s="9" t="n"/>
      <c r="Y42" s="9" t="n"/>
      <c r="Z42" s="9" t="n"/>
      <c r="AA42" s="80" t="n"/>
      <c r="AB42" s="12" t="n"/>
      <c r="AC42" s="9" t="n"/>
      <c r="AD42" s="12" t="n"/>
      <c r="AE42" s="26" t="n">
        <v>114253</v>
      </c>
      <c r="AF42" s="9" t="n"/>
      <c r="AG42" s="13">
        <f>SUM(B42:AF42)</f>
        <v/>
      </c>
    </row>
    <row r="43" ht="15.75" customHeight="1">
      <c r="A43" s="15" t="inlineStr">
        <is>
          <t>Portsmouth</t>
        </is>
      </c>
      <c r="B43" s="26" t="n"/>
      <c r="C43" s="31" t="n"/>
      <c r="D43" s="31" t="n"/>
      <c r="E43" s="26" t="n"/>
      <c r="F43" s="26" t="n">
        <v>5078.57</v>
      </c>
      <c r="G43" s="9" t="n"/>
      <c r="H43" s="9" t="n"/>
      <c r="I43" s="26" t="n"/>
      <c r="J43" s="26" t="n"/>
      <c r="K43" s="26" t="n"/>
      <c r="L43" s="26" t="n"/>
      <c r="M43" s="26" t="n"/>
      <c r="N43" s="9" t="n"/>
      <c r="O43" s="9" t="n"/>
      <c r="P43" s="26" t="n"/>
      <c r="Q43" s="9" t="n"/>
      <c r="R43" s="9" t="n"/>
      <c r="S43" s="9" t="n"/>
      <c r="T43" s="9" t="n"/>
      <c r="U43" s="9" t="n"/>
      <c r="V43" s="9" t="n"/>
      <c r="W43" s="9" t="n"/>
      <c r="X43" s="9" t="n"/>
      <c r="Y43" s="9" t="n"/>
      <c r="Z43" s="9" t="n"/>
      <c r="AA43" s="80" t="n"/>
      <c r="AB43" s="9" t="n"/>
      <c r="AC43" s="9" t="n"/>
      <c r="AD43" s="9" t="n"/>
      <c r="AE43" s="31" t="n"/>
      <c r="AF43" s="9" t="n"/>
      <c r="AG43" s="13">
        <f>SUM(B43:AF43)</f>
        <v/>
      </c>
    </row>
    <row r="44" ht="15.75" customHeight="1">
      <c r="A44" s="15" t="inlineStr">
        <is>
          <t>HB SC</t>
        </is>
      </c>
      <c r="B44" s="16" t="n">
        <v>4552.359999999986</v>
      </c>
      <c r="C44" s="16" t="n">
        <v>3547.410000000006</v>
      </c>
      <c r="D44" s="16" t="n">
        <v>0</v>
      </c>
      <c r="E44" s="16" t="n">
        <v>0</v>
      </c>
      <c r="F44" s="16" t="n">
        <v>4339.76</v>
      </c>
      <c r="G44" s="16" t="n">
        <v>1173.76</v>
      </c>
      <c r="H44" s="16" t="n">
        <v>1690.570000000001</v>
      </c>
      <c r="I44" s="16" t="n">
        <v>2029.849999999996</v>
      </c>
      <c r="J44" s="16" t="n">
        <v>4404.030000000001</v>
      </c>
      <c r="K44" s="16" t="n">
        <v>480.56</v>
      </c>
      <c r="L44" s="16" t="n">
        <v>0</v>
      </c>
      <c r="M44" s="16" t="n">
        <v>6309.920000000002</v>
      </c>
      <c r="N44" s="16" t="n">
        <v>2279.56</v>
      </c>
      <c r="O44" s="16" t="n">
        <v>1450.08</v>
      </c>
      <c r="P44" s="16" t="n">
        <v>2514.180000000008</v>
      </c>
      <c r="Q44" s="16" t="n">
        <v>9600.109999999999</v>
      </c>
      <c r="R44" s="16" t="n">
        <v>1350.04</v>
      </c>
      <c r="S44" s="16" t="n">
        <v>0</v>
      </c>
      <c r="T44" s="16" t="n">
        <v>13226.39</v>
      </c>
      <c r="U44" s="16" t="n">
        <v>9287.929999999993</v>
      </c>
      <c r="V44" s="16" t="n">
        <v>3597.52</v>
      </c>
      <c r="W44" s="16" t="n">
        <v>1750.869999999995</v>
      </c>
      <c r="X44" s="16" t="n">
        <v>8036.870000000001</v>
      </c>
      <c r="Y44" s="16" t="n">
        <v>619.6700000000001</v>
      </c>
      <c r="Z44" s="16" t="n">
        <v>545</v>
      </c>
      <c r="AA44" s="16" t="n">
        <v>392.5</v>
      </c>
      <c r="AB44" s="16" t="n">
        <v>5782.959999999992</v>
      </c>
      <c r="AC44" s="16" t="n">
        <v>2571.59</v>
      </c>
      <c r="AD44" s="16" t="n">
        <v>2758.100000000028</v>
      </c>
      <c r="AE44" s="16" t="n">
        <v>12627.90999999999</v>
      </c>
      <c r="AF44" s="16" t="n">
        <v>380</v>
      </c>
      <c r="AG44" s="13">
        <f>SUM(B44:AF44)</f>
        <v/>
      </c>
    </row>
    <row r="45" ht="16.5" customHeight="1" thickBot="1">
      <c r="A45" s="15" t="inlineStr">
        <is>
          <t>Total</t>
        </is>
      </c>
      <c r="B45">
        <f>SUM(B28:B44)</f>
        <v/>
      </c>
      <c r="C45">
        <f>SUM(C28:C44)</f>
        <v/>
      </c>
      <c r="D45">
        <f>SUM(D28:D44)</f>
        <v/>
      </c>
      <c r="E45">
        <f>SUM(E28:E44)</f>
        <v/>
      </c>
      <c r="F45">
        <f>SUM(F28:F44)</f>
        <v/>
      </c>
      <c r="G45">
        <f>SUM(G28:G44)</f>
        <v/>
      </c>
      <c r="H45">
        <f>SUM(H28:H44)</f>
        <v/>
      </c>
      <c r="I45">
        <f>SUM(I28:I44)</f>
        <v/>
      </c>
      <c r="J45">
        <f>SUM(J28:J44)</f>
        <v/>
      </c>
      <c r="K45">
        <f>SUM(K28:K44)</f>
        <v/>
      </c>
      <c r="L45">
        <f>SUM(L28:L44)</f>
        <v/>
      </c>
      <c r="M45">
        <f>SUM(M28:M44)</f>
        <v/>
      </c>
      <c r="N45">
        <f>SUM(N28:N44)</f>
        <v/>
      </c>
      <c r="O45">
        <f>SUM(O28:O44)</f>
        <v/>
      </c>
      <c r="P45">
        <f>SUM(P28:P44)</f>
        <v/>
      </c>
      <c r="Q45">
        <f>SUM(Q28:Q44)</f>
        <v/>
      </c>
      <c r="R45">
        <f>SUM(R28:R44)</f>
        <v/>
      </c>
      <c r="S45">
        <f>SUM(S28:S44)</f>
        <v/>
      </c>
      <c r="T45">
        <f>SUM(T28:T44)</f>
        <v/>
      </c>
      <c r="U45">
        <f>SUM(U28:U44)</f>
        <v/>
      </c>
      <c r="V45">
        <f>SUM(V28:V44)</f>
        <v/>
      </c>
      <c r="W45">
        <f>SUM(W28:W44)</f>
        <v/>
      </c>
      <c r="X45">
        <f>SUM(X28:X44)</f>
        <v/>
      </c>
      <c r="Y45">
        <f>SUM(Y28:Y44)</f>
        <v/>
      </c>
      <c r="Z45">
        <f>SUM(Z28:Z44)</f>
        <v/>
      </c>
      <c r="AA45">
        <f>SUM(AA28:AA44)</f>
        <v/>
      </c>
      <c r="AB45">
        <f>SUM(AB28:AB44)</f>
        <v/>
      </c>
      <c r="AC45">
        <f>SUM(AC28:AC44)</f>
        <v/>
      </c>
      <c r="AD45">
        <f>SUM(AD28:AD44)</f>
        <v/>
      </c>
      <c r="AE45">
        <f>SUM(AE28:AE44)</f>
        <v/>
      </c>
      <c r="AG45" s="252">
        <f>SUM(AG28:AG44)</f>
        <v/>
      </c>
    </row>
    <row r="46" ht="15.75" customHeight="1" thickTop="1">
      <c r="A46" s="15" t="inlineStr">
        <is>
          <t>Ruunning Total</t>
        </is>
      </c>
      <c r="B46">
        <f>B45</f>
        <v/>
      </c>
      <c r="C46">
        <f>B46+C45</f>
        <v/>
      </c>
      <c r="D46">
        <f>C46+D45</f>
        <v/>
      </c>
      <c r="E46">
        <f>D46+E45</f>
        <v/>
      </c>
      <c r="F46">
        <f>E46+F45</f>
        <v/>
      </c>
      <c r="G46">
        <f>F46+G45</f>
        <v/>
      </c>
      <c r="H46">
        <f>G46+H45</f>
        <v/>
      </c>
      <c r="I46">
        <f>H46+I45</f>
        <v/>
      </c>
      <c r="J46">
        <f>I46+J45</f>
        <v/>
      </c>
      <c r="K46">
        <f>J46+K45</f>
        <v/>
      </c>
      <c r="L46">
        <f>K46+L45</f>
        <v/>
      </c>
      <c r="M46">
        <f>L46+M45</f>
        <v/>
      </c>
      <c r="N46">
        <f>M46+N45</f>
        <v/>
      </c>
      <c r="O46">
        <f>N46+O45</f>
        <v/>
      </c>
      <c r="P46">
        <f>O46+P45</f>
        <v/>
      </c>
      <c r="Q46">
        <f>P46+Q45</f>
        <v/>
      </c>
      <c r="R46">
        <f>Q46+R45</f>
        <v/>
      </c>
      <c r="S46">
        <f>R46+S45</f>
        <v/>
      </c>
      <c r="T46">
        <f>S46+T45</f>
        <v/>
      </c>
      <c r="U46">
        <f>T46+U45</f>
        <v/>
      </c>
      <c r="V46">
        <f>U46+V45</f>
        <v/>
      </c>
      <c r="W46">
        <f>V46+W45</f>
        <v/>
      </c>
      <c r="X46">
        <f>W46+X45</f>
        <v/>
      </c>
      <c r="Y46">
        <f>X46+Y45</f>
        <v/>
      </c>
      <c r="Z46">
        <f>Y46+Z45</f>
        <v/>
      </c>
      <c r="AA46">
        <f>Z46+AA45</f>
        <v/>
      </c>
      <c r="AB46">
        <f>AA46+AB45</f>
        <v/>
      </c>
      <c r="AC46">
        <f>AB46+AC45</f>
        <v/>
      </c>
      <c r="AD46">
        <f>AC46+AD45</f>
        <v/>
      </c>
      <c r="AE46">
        <f>AD46+AE45</f>
        <v/>
      </c>
    </row>
    <row r="48">
      <c r="A48" s="1" t="n"/>
      <c r="B48" s="2" t="inlineStr">
        <is>
          <t>Septemnber</t>
        </is>
      </c>
      <c r="C48" s="2" t="n"/>
      <c r="D48" s="2" t="n"/>
      <c r="E48" s="2" t="n"/>
      <c r="F48" s="2" t="n"/>
      <c r="G48" s="2" t="n"/>
      <c r="H48" s="2" t="n"/>
      <c r="I48" s="2" t="n"/>
      <c r="J48" s="2" t="n"/>
      <c r="K48" s="2" t="n"/>
      <c r="L48" s="2" t="n"/>
      <c r="M48" s="2" t="n"/>
      <c r="N48" s="2" t="n"/>
      <c r="O48" s="2" t="n"/>
      <c r="P48" s="2" t="n"/>
      <c r="Q48" s="2" t="n"/>
      <c r="R48" s="2" t="n"/>
      <c r="S48" s="2" t="n"/>
      <c r="T48" s="2" t="n"/>
      <c r="U48" s="2" t="n"/>
      <c r="V48" s="2" t="n"/>
      <c r="W48" s="2" t="n"/>
      <c r="X48" s="2" t="n"/>
      <c r="Y48" s="2" t="n"/>
      <c r="Z48" s="2" t="n"/>
      <c r="AA48" s="2" t="n"/>
      <c r="AB48" s="2" t="n"/>
      <c r="AC48" s="2" t="n"/>
      <c r="AD48" s="2" t="n"/>
      <c r="AE48" s="1" t="n"/>
      <c r="AF48" s="1" t="n"/>
      <c r="AG48" s="1" t="n"/>
    </row>
    <row r="49" ht="15.75" customHeight="1">
      <c r="A49" s="1" t="n"/>
      <c r="B49" s="2" t="inlineStr">
        <is>
          <t xml:space="preserve">Sunday </t>
        </is>
      </c>
      <c r="C49" s="2" t="inlineStr">
        <is>
          <t>Monday</t>
        </is>
      </c>
      <c r="D49" s="2" t="inlineStr">
        <is>
          <t>Tuesday</t>
        </is>
      </c>
      <c r="E49" s="2" t="inlineStr">
        <is>
          <t>Wednesday</t>
        </is>
      </c>
      <c r="F49" s="2" t="inlineStr">
        <is>
          <t>Thursday</t>
        </is>
      </c>
      <c r="G49" s="2" t="inlineStr">
        <is>
          <t>Friday</t>
        </is>
      </c>
      <c r="H49" s="2" t="inlineStr">
        <is>
          <t>Saturday</t>
        </is>
      </c>
      <c r="I49" s="2" t="inlineStr">
        <is>
          <t>Sunday</t>
        </is>
      </c>
      <c r="J49" s="2" t="inlineStr">
        <is>
          <t>Monday</t>
        </is>
      </c>
      <c r="K49" s="2" t="inlineStr">
        <is>
          <t>Tuesday</t>
        </is>
      </c>
      <c r="L49" s="2" t="inlineStr">
        <is>
          <t>Wednesday</t>
        </is>
      </c>
      <c r="M49" s="2" t="inlineStr">
        <is>
          <t>Thursday</t>
        </is>
      </c>
      <c r="N49" s="2" t="inlineStr">
        <is>
          <t>Friday</t>
        </is>
      </c>
      <c r="O49" s="2" t="inlineStr">
        <is>
          <t>Saturday</t>
        </is>
      </c>
      <c r="P49" s="2" t="inlineStr">
        <is>
          <t>Sunday</t>
        </is>
      </c>
      <c r="Q49" s="2" t="inlineStr">
        <is>
          <t>Monday</t>
        </is>
      </c>
      <c r="R49" s="2" t="inlineStr">
        <is>
          <t>Tuesday</t>
        </is>
      </c>
      <c r="S49" s="2" t="inlineStr">
        <is>
          <t>Wednesday</t>
        </is>
      </c>
      <c r="T49" s="2" t="inlineStr">
        <is>
          <t>Thursday</t>
        </is>
      </c>
      <c r="U49" s="2" t="inlineStr">
        <is>
          <t>Friday</t>
        </is>
      </c>
      <c r="V49" s="2" t="inlineStr">
        <is>
          <t>Saturday</t>
        </is>
      </c>
      <c r="W49" s="2" t="inlineStr">
        <is>
          <t>Sunday</t>
        </is>
      </c>
      <c r="X49" s="2" t="inlineStr">
        <is>
          <t>Monday</t>
        </is>
      </c>
      <c r="Y49" s="2" t="inlineStr">
        <is>
          <t>Tuesday</t>
        </is>
      </c>
      <c r="Z49" s="2" t="inlineStr">
        <is>
          <t>Wednesday</t>
        </is>
      </c>
      <c r="AA49" s="2" t="inlineStr">
        <is>
          <t>Thursday</t>
        </is>
      </c>
      <c r="AB49" s="2" t="inlineStr">
        <is>
          <t>Friday</t>
        </is>
      </c>
      <c r="AC49" s="2" t="inlineStr">
        <is>
          <t>Saturday</t>
        </is>
      </c>
      <c r="AD49" s="2" t="inlineStr">
        <is>
          <t>Sunday</t>
        </is>
      </c>
      <c r="AE49" s="2" t="inlineStr">
        <is>
          <t>Monday</t>
        </is>
      </c>
      <c r="AF49" s="9" t="n"/>
      <c r="AG49" s="2" t="inlineStr">
        <is>
          <t>Total</t>
        </is>
      </c>
    </row>
    <row r="50" ht="15.75" customHeight="1">
      <c r="A50" s="1" t="n"/>
      <c r="B50" s="87" t="inlineStr">
        <is>
          <t>1st</t>
        </is>
      </c>
      <c r="C50" s="3" t="inlineStr">
        <is>
          <t>2nd</t>
        </is>
      </c>
      <c r="D50" s="3" t="inlineStr">
        <is>
          <t>3rd</t>
        </is>
      </c>
      <c r="E50" s="3" t="inlineStr">
        <is>
          <t>4th</t>
        </is>
      </c>
      <c r="F50" s="3" t="inlineStr">
        <is>
          <t>5th</t>
        </is>
      </c>
      <c r="G50" s="3" t="inlineStr">
        <is>
          <t>6th</t>
        </is>
      </c>
      <c r="H50" s="3" t="inlineStr">
        <is>
          <t>7th</t>
        </is>
      </c>
      <c r="I50" s="3" t="inlineStr">
        <is>
          <t>8th</t>
        </is>
      </c>
      <c r="J50" s="4" t="inlineStr">
        <is>
          <t>9th</t>
        </is>
      </c>
      <c r="K50" s="4" t="inlineStr">
        <is>
          <t>10th</t>
        </is>
      </c>
      <c r="L50" s="4" t="inlineStr">
        <is>
          <t>11th</t>
        </is>
      </c>
      <c r="M50" s="4" t="inlineStr">
        <is>
          <t>12th</t>
        </is>
      </c>
      <c r="N50" s="4" t="inlineStr">
        <is>
          <t>13th</t>
        </is>
      </c>
      <c r="O50" s="4" t="inlineStr">
        <is>
          <t>14th</t>
        </is>
      </c>
      <c r="P50" s="4" t="inlineStr">
        <is>
          <t>15th</t>
        </is>
      </c>
      <c r="Q50" s="5" t="inlineStr">
        <is>
          <t>16th</t>
        </is>
      </c>
      <c r="R50" s="5" t="inlineStr">
        <is>
          <t>17th</t>
        </is>
      </c>
      <c r="S50" s="5" t="inlineStr">
        <is>
          <t>18th</t>
        </is>
      </c>
      <c r="T50" s="5" t="inlineStr">
        <is>
          <t>19th</t>
        </is>
      </c>
      <c r="U50" s="5" t="inlineStr">
        <is>
          <t>20th</t>
        </is>
      </c>
      <c r="V50" s="5" t="inlineStr">
        <is>
          <t>21st</t>
        </is>
      </c>
      <c r="W50" s="5" t="inlineStr">
        <is>
          <t>22nd</t>
        </is>
      </c>
      <c r="X50" s="6" t="inlineStr">
        <is>
          <t>23rd</t>
        </is>
      </c>
      <c r="Y50" s="6" t="inlineStr">
        <is>
          <t>24th</t>
        </is>
      </c>
      <c r="Z50" s="6" t="inlineStr">
        <is>
          <t>25th</t>
        </is>
      </c>
      <c r="AA50" s="6" t="inlineStr">
        <is>
          <t>26th</t>
        </is>
      </c>
      <c r="AB50" s="6" t="inlineStr">
        <is>
          <t>27th</t>
        </is>
      </c>
      <c r="AC50" s="6" t="inlineStr">
        <is>
          <t>28th</t>
        </is>
      </c>
      <c r="AD50" s="6" t="inlineStr">
        <is>
          <t>29th</t>
        </is>
      </c>
      <c r="AE50" s="7" t="inlineStr">
        <is>
          <t>30th</t>
        </is>
      </c>
      <c r="AF50" s="9" t="n"/>
      <c r="AG50" s="1" t="n"/>
    </row>
    <row r="51" ht="18.75" customHeight="1">
      <c r="A51" s="8" t="inlineStr">
        <is>
          <t>B-HAM CITY COUNCIL-200790-70489166</t>
        </is>
      </c>
      <c r="B51" s="9" t="n"/>
      <c r="C51" s="12" t="n"/>
      <c r="D51" s="9" t="n"/>
      <c r="E51" s="12" t="n"/>
      <c r="F51" s="12" t="n"/>
      <c r="G51" s="12" t="n"/>
      <c r="I51" s="12" t="n"/>
      <c r="J51" s="12" t="n"/>
      <c r="K51" s="9" t="n"/>
      <c r="L51" t="n">
        <v>62841.32</v>
      </c>
      <c r="M51" s="12" t="n"/>
      <c r="N51" s="12" t="n"/>
      <c r="O51" s="12" t="n"/>
      <c r="P51" s="12" t="n"/>
      <c r="Q51" s="12" t="n"/>
      <c r="S51" s="31" t="n"/>
      <c r="T51" s="31" t="n"/>
      <c r="U51" s="12" t="n"/>
      <c r="V51" s="12" t="n"/>
      <c r="W51" s="12" t="n"/>
      <c r="Y51" s="11" t="n"/>
      <c r="Z51" s="9" t="n"/>
      <c r="AA51" s="12" t="n"/>
      <c r="AB51" s="9" t="n"/>
      <c r="AD51" s="9" t="n"/>
      <c r="AE51" s="12" t="n"/>
      <c r="AF51" s="9" t="n"/>
      <c r="AG51" s="13">
        <f>SUM(B51:AE51)</f>
        <v/>
      </c>
    </row>
    <row r="52" ht="15.75" customHeight="1">
      <c r="A52" s="8" t="inlineStr">
        <is>
          <t>Buckingham</t>
        </is>
      </c>
      <c r="B52" s="9" t="n"/>
      <c r="C52" s="12" t="n"/>
      <c r="D52" s="9" t="n"/>
      <c r="E52" s="9" t="n"/>
      <c r="F52" s="9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" t="n"/>
      <c r="P52" s="12" t="n"/>
      <c r="Q52" s="12" t="n"/>
      <c r="R52" s="12" t="n"/>
      <c r="S52" s="31" t="n"/>
      <c r="T52" s="31" t="n"/>
      <c r="U52" s="12" t="n"/>
      <c r="V52" s="9" t="n"/>
      <c r="W52" s="9" t="n"/>
      <c r="X52" s="26" t="n"/>
      <c r="Y52" s="26" t="n"/>
      <c r="Z52" s="9" t="n"/>
      <c r="AA52" s="9" t="n"/>
      <c r="AB52" t="n">
        <v>5134.44</v>
      </c>
      <c r="AC52" s="9" t="n"/>
      <c r="AD52" s="9" t="n"/>
      <c r="AE52" s="9" t="n"/>
      <c r="AF52" s="9" t="n"/>
      <c r="AG52" s="13">
        <f>SUM(B52:AE52)</f>
        <v/>
      </c>
    </row>
    <row r="53" ht="15.75" customHeight="1">
      <c r="A53" s="8" t="inlineStr">
        <is>
          <t>Sandwell respite est</t>
        </is>
      </c>
      <c r="B53" s="9" t="n"/>
      <c r="C53" s="9" t="n"/>
      <c r="D53" s="9" t="n"/>
      <c r="E53" s="9" t="n"/>
      <c r="F53" s="9" t="n"/>
      <c r="G53" s="9" t="n"/>
      <c r="H53" s="9" t="n"/>
      <c r="I53" s="9" t="n"/>
      <c r="J53" s="9" t="n"/>
      <c r="K53" s="9" t="n"/>
      <c r="L53" s="9" t="n"/>
      <c r="M53" t="n">
        <v>3984.8</v>
      </c>
      <c r="N53" s="9" t="n"/>
      <c r="O53" s="9" t="n"/>
      <c r="P53" s="9" t="n"/>
      <c r="Q53" s="9" t="n"/>
      <c r="R53" t="n">
        <v>10270.15</v>
      </c>
      <c r="S53" s="26" t="n"/>
      <c r="T53" s="26" t="n"/>
      <c r="U53" s="9" t="n"/>
      <c r="V53" s="9" t="n"/>
      <c r="W53" s="9" t="n"/>
      <c r="X53" s="26" t="n"/>
      <c r="Y53" s="26" t="n"/>
      <c r="Z53" s="9" t="n"/>
      <c r="AA53" s="93" t="n">
        <v>2720</v>
      </c>
      <c r="AC53" s="9" t="n"/>
      <c r="AD53" s="9" t="n"/>
      <c r="AE53" s="9" t="n"/>
      <c r="AF53" s="9" t="n"/>
      <c r="AG53" s="13">
        <f>SUM(B53:AE53)</f>
        <v/>
      </c>
    </row>
    <row r="54" ht="15.75" customHeight="1">
      <c r="A54" s="8" t="inlineStr">
        <is>
          <t xml:space="preserve">Wolverhampton respite est </t>
        </is>
      </c>
      <c r="B54" s="9" t="n"/>
      <c r="C54" s="9" t="n"/>
      <c r="D54" s="9" t="n"/>
      <c r="E54" s="9" t="n"/>
      <c r="G54" s="26" t="n">
        <v>7108.1</v>
      </c>
      <c r="H54" s="9" t="n"/>
      <c r="I54" s="9" t="n"/>
      <c r="J54" s="9" t="n"/>
      <c r="K54" s="9" t="n"/>
      <c r="L54" s="9" t="n"/>
      <c r="M54" s="26" t="n">
        <v>7108.1</v>
      </c>
      <c r="N54" s="9" t="n"/>
      <c r="O54" s="9" t="n"/>
      <c r="P54" s="9" t="n"/>
      <c r="Q54" t="n">
        <v>11822.12</v>
      </c>
      <c r="R54" s="9" t="n"/>
      <c r="S54" s="26" t="n"/>
      <c r="T54" s="26" t="n">
        <v>7108.1</v>
      </c>
      <c r="U54" s="9" t="n"/>
      <c r="V54" s="9" t="n"/>
      <c r="W54" s="9" t="n"/>
      <c r="X54" s="26" t="n"/>
      <c r="Y54" s="26" t="n"/>
      <c r="Z54" s="9" t="n"/>
      <c r="AA54" s="26" t="n">
        <v>7108.1</v>
      </c>
      <c r="AB54" s="26" t="n"/>
      <c r="AC54" s="26" t="n"/>
      <c r="AD54" s="26" t="n"/>
      <c r="AE54" s="26" t="n"/>
      <c r="AF54" s="9" t="n"/>
      <c r="AG54" s="13">
        <f>SUM(B54:AE54)</f>
        <v/>
      </c>
    </row>
    <row r="55" ht="15.75" customHeight="1">
      <c r="A55" s="8" t="inlineStr">
        <is>
          <t>Walsall Respite</t>
        </is>
      </c>
      <c r="B55" s="9" t="n"/>
      <c r="C55" s="9" t="n"/>
      <c r="D55" s="9" t="n"/>
      <c r="E55" s="9" t="n"/>
      <c r="F55" s="9" t="n"/>
      <c r="G55" s="31" t="n">
        <v>3040</v>
      </c>
      <c r="H55" s="9" t="n"/>
      <c r="I55" s="9" t="n"/>
      <c r="J55" t="n">
        <v>1024.17</v>
      </c>
      <c r="K55" s="9" t="n"/>
      <c r="L55" s="9" t="n"/>
      <c r="M55" s="9" t="n"/>
      <c r="N55" s="9" t="n"/>
      <c r="O55" s="9" t="n"/>
      <c r="P55" s="9" t="n"/>
      <c r="Q55" t="n">
        <v>372.5</v>
      </c>
      <c r="R55" s="9" t="n"/>
      <c r="S55" s="26" t="n"/>
      <c r="T55" s="26" t="n"/>
      <c r="U55" s="9" t="n"/>
      <c r="V55" s="9" t="n"/>
      <c r="W55" s="9" t="n"/>
      <c r="X55" s="26" t="n"/>
      <c r="Y55" s="26" t="n">
        <v>29525.2</v>
      </c>
      <c r="Z55" s="9" t="n"/>
      <c r="AA55" s="26" t="n"/>
      <c r="AB55" s="26" t="n"/>
      <c r="AC55" s="26" t="n"/>
      <c r="AD55" s="26" t="n"/>
      <c r="AE55" s="26" t="n"/>
      <c r="AF55" s="9" t="n"/>
      <c r="AG55" s="13">
        <f>SUM(B55:AE55)</f>
        <v/>
      </c>
    </row>
    <row r="56" ht="18.75" customHeight="1">
      <c r="A56" s="8" t="inlineStr">
        <is>
          <t>Ideal for All Ltd</t>
        </is>
      </c>
      <c r="B56" s="9" t="n"/>
      <c r="C56" s="9" t="n"/>
      <c r="D56" s="12" t="n"/>
      <c r="F56" s="12" t="n"/>
      <c r="G56" s="26" t="n"/>
      <c r="H56" s="9" t="n"/>
      <c r="I56" s="12" t="n"/>
      <c r="J56" s="12" t="n"/>
      <c r="K56" s="12" t="n"/>
      <c r="M56" s="12" t="n"/>
      <c r="N56" s="9" t="n"/>
      <c r="O56" s="9" t="n"/>
      <c r="P56" s="11" t="n"/>
      <c r="Q56" t="n">
        <v>5650.879999999999</v>
      </c>
      <c r="R56" s="9" t="n"/>
      <c r="S56" s="26" t="n"/>
      <c r="T56" s="31" t="n"/>
      <c r="U56" t="n">
        <v>3344</v>
      </c>
      <c r="V56" s="9" t="n"/>
      <c r="W56" s="9" t="n"/>
      <c r="X56" s="26" t="n"/>
      <c r="Y56" s="31" t="n"/>
      <c r="Z56" t="n">
        <v>5016</v>
      </c>
      <c r="AA56" s="31" t="n"/>
      <c r="AB56" s="26" t="n"/>
      <c r="AC56" s="26" t="n"/>
      <c r="AD56" s="26" t="n"/>
      <c r="AE56" s="26" t="n"/>
      <c r="AF56" s="9" t="n"/>
      <c r="AG56" s="13">
        <f>SUM(B56:AE56)</f>
        <v/>
      </c>
    </row>
    <row r="57" ht="15.75" customHeight="1">
      <c r="A57" s="8" t="inlineStr">
        <is>
          <t>KIRKLEES COUNCIL-204312-63046958</t>
        </is>
      </c>
      <c r="B57" s="9" t="n"/>
      <c r="C57" t="n">
        <v>5888.14</v>
      </c>
      <c r="D57" s="12" t="n"/>
      <c r="E57" s="9" t="n"/>
      <c r="F57" s="9" t="n"/>
      <c r="G57" s="26" t="n"/>
      <c r="H57" s="9" t="n"/>
      <c r="I57" s="12" t="n"/>
      <c r="J57" s="12" t="n"/>
      <c r="K57" s="12" t="n"/>
      <c r="L57" t="n">
        <v>5698.2</v>
      </c>
      <c r="M57" s="12" t="n"/>
      <c r="N57" s="9" t="n"/>
      <c r="O57" s="9" t="n"/>
      <c r="P57" s="9" t="n"/>
      <c r="Q57" s="9" t="n"/>
      <c r="R57" s="12" t="n"/>
      <c r="S57" s="26" t="n"/>
      <c r="T57" s="31" t="n"/>
      <c r="U57" s="12" t="n"/>
      <c r="V57" s="9" t="n"/>
      <c r="W57" s="9" t="n"/>
      <c r="X57" s="26" t="n"/>
      <c r="Y57" s="26" t="n"/>
      <c r="Z57" s="9" t="n"/>
      <c r="AA57" s="31" t="n"/>
      <c r="AB57" s="26" t="n"/>
      <c r="AC57" s="26" t="n"/>
      <c r="AD57" s="26" t="n"/>
      <c r="AE57" s="31" t="n"/>
      <c r="AF57" s="12" t="n"/>
      <c r="AG57" s="13">
        <f>SUM(B57:AE57)</f>
        <v/>
      </c>
    </row>
    <row r="58" ht="15.75" customHeight="1">
      <c r="A58" s="8" t="inlineStr">
        <is>
          <t>LBH PAYMENTS BACS-602210-72430192</t>
        </is>
      </c>
      <c r="B58" s="9" t="n"/>
      <c r="C58" s="9" t="n"/>
      <c r="D58" s="9" t="n"/>
      <c r="E58" s="12" t="n"/>
      <c r="F58" t="n">
        <v>5203.8</v>
      </c>
      <c r="G58" s="26" t="n"/>
      <c r="H58" s="9" t="n"/>
      <c r="I58" s="9" t="n"/>
      <c r="J58" s="9" t="n"/>
      <c r="K58" s="12" t="n"/>
      <c r="L58" s="12" t="n"/>
      <c r="M58" s="12" t="n"/>
      <c r="N58" s="9" t="n"/>
      <c r="O58" s="9" t="n"/>
      <c r="P58" s="9" t="n"/>
      <c r="Q58" s="9" t="n"/>
      <c r="R58" s="9" t="n"/>
      <c r="S58" s="26" t="n"/>
      <c r="T58" s="26" t="n"/>
      <c r="U58" s="9" t="n"/>
      <c r="V58" s="9" t="n"/>
      <c r="W58" s="9" t="n"/>
      <c r="X58" s="26" t="n"/>
      <c r="Y58" s="26" t="n"/>
      <c r="Z58" s="9" t="n"/>
      <c r="AA58" s="31" t="n"/>
      <c r="AB58" s="26" t="n"/>
      <c r="AC58" s="26" t="n"/>
      <c r="AD58" s="26" t="n"/>
      <c r="AE58" s="26" t="n"/>
      <c r="AF58" s="9" t="n"/>
      <c r="AG58" s="13">
        <f>SUM(B58:AE58)</f>
        <v/>
      </c>
    </row>
    <row r="59" ht="15.75" customHeight="1">
      <c r="A59" s="8" t="inlineStr">
        <is>
          <t>NHS BIRMINGHAM &amp; S-607080-10017097</t>
        </is>
      </c>
      <c r="B59" s="9" t="n"/>
      <c r="C59" s="9" t="n"/>
      <c r="D59" s="12" t="n"/>
      <c r="E59" s="12" t="n"/>
      <c r="F59" s="9" t="n"/>
      <c r="G59" s="26" t="n"/>
      <c r="H59" s="9" t="n"/>
      <c r="I59" s="9" t="n"/>
      <c r="J59" s="9" t="n"/>
      <c r="K59" s="12" t="n"/>
      <c r="L59" s="12" t="n"/>
      <c r="N59" t="n">
        <v>7121.63</v>
      </c>
      <c r="O59" s="9" t="n"/>
      <c r="P59" s="9" t="n"/>
      <c r="Q59" s="9" t="n"/>
      <c r="R59" s="9" t="n"/>
      <c r="S59" s="26" t="n">
        <v>6133.28</v>
      </c>
      <c r="T59" s="31" t="n"/>
      <c r="U59" s="9" t="n"/>
      <c r="V59" s="9" t="n"/>
      <c r="W59" s="9" t="n"/>
      <c r="X59" s="26" t="n"/>
      <c r="Y59" s="26" t="n"/>
      <c r="Z59" s="9" t="n"/>
      <c r="AA59" s="31" t="n"/>
      <c r="AB59" s="26" t="n"/>
      <c r="AC59" s="26" t="n"/>
      <c r="AD59" s="26" t="n"/>
      <c r="AE59" s="26" t="n"/>
      <c r="AF59" s="9" t="n"/>
      <c r="AG59" s="13">
        <f>SUM(B59:AE59)</f>
        <v/>
      </c>
    </row>
    <row r="60" ht="15.75" customHeight="1">
      <c r="A60" s="8" t="inlineStr">
        <is>
          <t>NHS BLACK COUNTRY-607080-10015272</t>
        </is>
      </c>
      <c r="B60" s="9" t="n"/>
      <c r="C60" s="9" t="n"/>
      <c r="D60" s="9" t="n"/>
      <c r="F60" t="n">
        <v>3575</v>
      </c>
      <c r="G60" s="26" t="n"/>
      <c r="H60" s="12" t="n"/>
      <c r="I60" s="12" t="n"/>
      <c r="J60" s="12" t="n"/>
      <c r="K60" s="12" t="n"/>
      <c r="L60" s="12" t="n"/>
      <c r="M60" s="12" t="n"/>
      <c r="N60" t="n">
        <v>16313.93</v>
      </c>
      <c r="O60" s="9" t="n"/>
      <c r="P60" s="12" t="n"/>
      <c r="Q60" s="12" t="n"/>
      <c r="R60" s="12" t="n"/>
      <c r="S60" s="31" t="n"/>
      <c r="T60" s="31" t="n">
        <v>1000</v>
      </c>
      <c r="U60" s="12" t="n"/>
      <c r="V60" s="9" t="n"/>
      <c r="W60" s="9" t="n"/>
      <c r="X60" s="26" t="n">
        <v>5000</v>
      </c>
      <c r="Y60" s="26" t="n"/>
      <c r="Z60" t="n">
        <v>1114.8</v>
      </c>
      <c r="AA60" s="31" t="n"/>
      <c r="AB60" s="26" t="n"/>
      <c r="AC60" s="31" t="n"/>
      <c r="AD60" s="26" t="n"/>
      <c r="AE60" s="26" t="n"/>
      <c r="AF60" s="9" t="n"/>
      <c r="AG60" s="13">
        <f>SUM(B60:AE60)</f>
        <v/>
      </c>
    </row>
    <row r="61" ht="15.75" customHeight="1">
      <c r="A61" s="14" t="inlineStr">
        <is>
          <t>SANDWELL MBC  BEN-601539-69624151</t>
        </is>
      </c>
      <c r="B61" s="9" t="n"/>
      <c r="C61" s="9" t="n"/>
      <c r="D61" s="9" t="n"/>
      <c r="E61" s="9" t="n"/>
      <c r="F61" s="9" t="n"/>
      <c r="G61" s="26" t="n"/>
      <c r="H61" s="9" t="n"/>
      <c r="I61" s="9" t="n"/>
      <c r="J61" s="9" t="n"/>
      <c r="K61" s="9" t="n"/>
      <c r="L61" s="9" t="n"/>
      <c r="M61" s="9" t="n"/>
      <c r="N61" s="9" t="n"/>
      <c r="O61" s="9" t="n"/>
      <c r="P61" s="12" t="n"/>
      <c r="Q61" s="31" t="n">
        <v>2660</v>
      </c>
      <c r="S61" s="26" t="n"/>
      <c r="T61" s="31" t="n"/>
      <c r="U61" s="9" t="n"/>
      <c r="V61" s="9" t="n"/>
      <c r="W61" s="9" t="n"/>
      <c r="X61" s="26" t="n"/>
      <c r="Y61" s="31" t="n"/>
      <c r="Z61" s="9" t="n"/>
      <c r="AA61" s="26" t="n"/>
      <c r="AB61" s="26" t="n"/>
      <c r="AC61" s="26" t="n"/>
      <c r="AD61" s="26" t="n"/>
      <c r="AE61" s="26" t="n"/>
      <c r="AF61" s="9" t="n"/>
      <c r="AG61" s="13">
        <f>SUM(B61:AE61)</f>
        <v/>
      </c>
    </row>
    <row r="62" ht="15.75" customHeight="1">
      <c r="A62" s="14" t="inlineStr">
        <is>
          <t>SANDWELL MBC-601539-69624135</t>
        </is>
      </c>
      <c r="B62" s="9" t="n"/>
      <c r="C62" s="9" t="n"/>
      <c r="E62" s="9" t="n"/>
      <c r="F62" t="n">
        <v>128596.16</v>
      </c>
      <c r="G62" s="31" t="n"/>
      <c r="H62" s="9" t="n"/>
      <c r="I62" s="9" t="n"/>
      <c r="J62" s="9" t="n"/>
      <c r="K62" s="9" t="n"/>
      <c r="L62" s="9" t="n"/>
      <c r="M62" s="9" t="n"/>
      <c r="N62" s="9" t="n"/>
      <c r="O62" s="9" t="n"/>
      <c r="P62" s="9" t="n"/>
      <c r="Q62" t="n">
        <v>124940.48</v>
      </c>
      <c r="R62" s="32" t="n"/>
      <c r="S62" s="26" t="n"/>
      <c r="T62" s="26" t="n"/>
      <c r="U62" s="9" t="n"/>
      <c r="V62" s="9" t="n"/>
      <c r="W62" s="9" t="n"/>
      <c r="X62" s="26" t="n"/>
      <c r="Y62" s="26" t="n"/>
      <c r="Z62" s="9" t="n"/>
      <c r="AA62" s="26" t="n"/>
      <c r="AB62" s="31" t="n">
        <v>124940.48</v>
      </c>
      <c r="AC62" s="26" t="n"/>
      <c r="AD62" s="26" t="n"/>
      <c r="AE62" s="26" t="n"/>
      <c r="AF62" s="9" t="n"/>
      <c r="AG62" s="13">
        <f>SUM(B62:AE62)</f>
        <v/>
      </c>
    </row>
    <row r="63" ht="15.75" customHeight="1">
      <c r="A63" s="15" t="inlineStr">
        <is>
          <t>SOLIHULL MBC EXP.-200771-00561525</t>
        </is>
      </c>
      <c r="B63" s="9" t="n"/>
      <c r="C63" s="9" t="n"/>
      <c r="D63" s="9" t="n"/>
      <c r="E63" s="9" t="n"/>
      <c r="F63" s="9" t="n"/>
      <c r="G63" s="26" t="n"/>
      <c r="H63" s="9" t="n"/>
      <c r="I63" s="9" t="n"/>
      <c r="J63" t="n">
        <v>32010.44</v>
      </c>
      <c r="K63" s="9" t="n"/>
      <c r="L63" s="9" t="n"/>
      <c r="M63" s="9" t="n"/>
      <c r="N63" s="9" t="n"/>
      <c r="O63" s="9" t="n"/>
      <c r="P63" s="9" t="n"/>
      <c r="Q63" s="9" t="n"/>
      <c r="R63" s="12" t="n"/>
      <c r="S63" s="26" t="n"/>
      <c r="T63" s="31" t="n"/>
      <c r="U63" s="9" t="n"/>
      <c r="V63" s="9" t="n"/>
      <c r="W63" s="9" t="n"/>
      <c r="X63" s="26" t="n"/>
      <c r="Y63" s="26" t="n"/>
      <c r="Z63" s="9" t="n"/>
      <c r="AA63" s="26" t="n"/>
      <c r="AB63" s="26" t="n"/>
      <c r="AC63" s="26" t="n"/>
      <c r="AD63" s="26" t="n"/>
      <c r="AE63" s="26" t="n"/>
      <c r="AF63" s="9" t="n"/>
      <c r="AG63" s="13">
        <f>SUM(B63:AE63)</f>
        <v/>
      </c>
    </row>
    <row r="64" ht="15.75" customHeight="1">
      <c r="A64" s="15" t="inlineStr">
        <is>
          <t>WALSALL MBC BARC-209073-10731692</t>
        </is>
      </c>
      <c r="B64" s="9" t="n"/>
      <c r="C64" s="9" t="n"/>
      <c r="D64" s="9" t="n"/>
      <c r="E64" s="26" t="n"/>
      <c r="F64" s="26" t="n"/>
      <c r="G64" s="31" t="n"/>
      <c r="H64" s="26" t="n"/>
      <c r="I64" s="26" t="n"/>
      <c r="J64" s="26" t="n"/>
      <c r="K64" s="9" t="n"/>
      <c r="L64" s="9" t="n"/>
      <c r="M64" s="9" t="n"/>
      <c r="N64" s="9" t="n"/>
      <c r="O64" s="9" t="n"/>
      <c r="P64" s="9" t="n"/>
      <c r="Q64" s="9" t="n"/>
      <c r="R64" s="9" t="n"/>
      <c r="S64" s="26" t="n"/>
      <c r="T64" s="26" t="n"/>
      <c r="U64" s="9" t="n"/>
      <c r="V64" s="9" t="n"/>
      <c r="W64" s="9" t="n"/>
      <c r="X64" s="26" t="n"/>
      <c r="Y64" s="26" t="n">
        <v>189922.96</v>
      </c>
      <c r="Z64" s="9" t="n"/>
      <c r="AA64" s="26" t="n"/>
      <c r="AB64" s="26" t="n"/>
      <c r="AC64" s="26" t="n"/>
      <c r="AD64" s="26" t="n"/>
      <c r="AE64" s="26" t="n"/>
      <c r="AF64" s="9" t="n"/>
      <c r="AG64" s="13">
        <f>SUM(B64:AE64)</f>
        <v/>
      </c>
    </row>
    <row r="65" ht="15.75" customHeight="1">
      <c r="A65" s="15" t="inlineStr">
        <is>
          <t>WOLVERHAMPTON CC-560069-44470320</t>
        </is>
      </c>
      <c r="B65" s="9" t="n"/>
      <c r="C65" s="9" t="n"/>
      <c r="D65" s="9" t="n"/>
      <c r="E65" s="26" t="n"/>
      <c r="F65" s="31" t="n"/>
      <c r="G65" s="26">
        <f>145837.14-G54</f>
        <v/>
      </c>
      <c r="H65" s="26" t="n"/>
      <c r="I65" s="26" t="n"/>
      <c r="J65" s="26" t="n"/>
      <c r="K65" s="9" t="n"/>
      <c r="L65" s="9" t="n"/>
      <c r="M65">
        <f>123796.9-M54</f>
        <v/>
      </c>
      <c r="N65" s="9" t="n"/>
      <c r="O65" s="9" t="n"/>
      <c r="P65" s="9" t="n"/>
      <c r="Q65" s="9" t="n"/>
      <c r="R65" s="9" t="n"/>
      <c r="S65" s="26" t="n"/>
      <c r="T65" s="26" t="n">
        <v>113904.56</v>
      </c>
      <c r="U65" s="9" t="n"/>
      <c r="V65" s="9" t="n"/>
      <c r="W65" s="9" t="n"/>
      <c r="X65" s="26" t="n"/>
      <c r="Y65" s="26" t="n"/>
      <c r="Z65" s="9" t="n"/>
      <c r="AA65" s="16">
        <f>120238.26-AA54</f>
        <v/>
      </c>
      <c r="AB65" s="26" t="n"/>
      <c r="AC65" s="26" t="n"/>
      <c r="AD65" s="26" t="n"/>
      <c r="AE65" s="26" t="n"/>
      <c r="AF65" s="9" t="n"/>
      <c r="AG65" s="13">
        <f>SUM(B65:AE65)</f>
        <v/>
      </c>
    </row>
    <row r="66" ht="15.75" customHeight="1">
      <c r="A66" s="15" t="inlineStr">
        <is>
          <t>Portsmouth</t>
        </is>
      </c>
      <c r="B66" s="9" t="n"/>
      <c r="C66" s="9" t="n"/>
      <c r="D66" t="n">
        <v>5247.86</v>
      </c>
      <c r="E66" s="26" t="n"/>
      <c r="F66" s="26" t="n"/>
      <c r="G66" s="26" t="n"/>
      <c r="H66" s="26" t="n"/>
      <c r="I66" s="26" t="n"/>
      <c r="J66" s="26" t="n"/>
      <c r="K66" s="9" t="n"/>
      <c r="L66" s="9" t="n"/>
      <c r="M66" s="9" t="n"/>
      <c r="N66" s="9" t="n"/>
      <c r="O66" s="9" t="n"/>
      <c r="P66" s="9" t="n"/>
      <c r="Q66" s="9" t="n"/>
      <c r="R66" s="9" t="n"/>
      <c r="S66" s="26" t="n"/>
      <c r="T66" s="26" t="n"/>
      <c r="U66" s="9" t="n"/>
      <c r="V66" s="9" t="n"/>
      <c r="W66" s="9" t="n"/>
      <c r="X66" s="26" t="n"/>
      <c r="Y66" s="26" t="n"/>
      <c r="Z66" s="9" t="n"/>
      <c r="AA66" s="26" t="n"/>
      <c r="AB66" s="26" t="n"/>
      <c r="AC66" s="26" t="n"/>
      <c r="AD66" s="26" t="n"/>
      <c r="AE66" s="26" t="n"/>
      <c r="AF66" s="9" t="n"/>
      <c r="AG66" s="13">
        <f>SUM(B66:AE66)</f>
        <v/>
      </c>
    </row>
    <row r="67" ht="15.75" customHeight="1">
      <c r="A67" s="15" t="inlineStr">
        <is>
          <t>HB SC</t>
        </is>
      </c>
      <c r="B67" s="16" t="n">
        <v>607.6900000000001</v>
      </c>
      <c r="C67" s="16" t="n">
        <v>5464.450000000002</v>
      </c>
      <c r="D67" s="16" t="n">
        <v>2371.28</v>
      </c>
      <c r="E67" s="16" t="n">
        <v>2236.4</v>
      </c>
      <c r="F67" s="16" t="n">
        <v>2386.520000000007</v>
      </c>
      <c r="G67" s="16" t="n">
        <v>3018.26999999999</v>
      </c>
      <c r="H67" s="16" t="n">
        <v>0</v>
      </c>
      <c r="I67" s="16" t="n">
        <v>200</v>
      </c>
      <c r="J67" s="16" t="n">
        <v>11041.76000000001</v>
      </c>
      <c r="K67" s="16" t="n">
        <v>2868.76</v>
      </c>
      <c r="L67" s="16" t="n">
        <v>2438.649999999994</v>
      </c>
      <c r="M67" s="16" t="n">
        <v>1018.839999999997</v>
      </c>
      <c r="N67" s="16" t="n">
        <v>9814.09</v>
      </c>
      <c r="O67" s="16" t="n">
        <v>0</v>
      </c>
      <c r="P67" s="16" t="n">
        <v>220</v>
      </c>
      <c r="Q67" s="16" t="n">
        <v>9298.420000000004</v>
      </c>
      <c r="R67" s="16" t="n">
        <v>2144.66</v>
      </c>
      <c r="S67" s="16" t="n">
        <v>1385.54</v>
      </c>
      <c r="T67" s="16" t="n">
        <v>10563.29999999999</v>
      </c>
      <c r="U67" s="16" t="n">
        <v>6683.25</v>
      </c>
      <c r="V67" s="16" t="n">
        <v>0</v>
      </c>
      <c r="W67" s="16" t="n">
        <v>480.56</v>
      </c>
      <c r="X67" s="16" t="n">
        <v>8244.609999999999</v>
      </c>
      <c r="Y67" s="16" t="n">
        <v>1715.679999999993</v>
      </c>
      <c r="Z67" s="16" t="n">
        <v>3070.83</v>
      </c>
      <c r="AA67" s="16" t="n">
        <v>1627.660000000033</v>
      </c>
      <c r="AB67" s="16" t="n">
        <v>5279.270000000036</v>
      </c>
      <c r="AC67" s="16" t="n">
        <v>0</v>
      </c>
      <c r="AD67" s="16" t="n">
        <v>200</v>
      </c>
      <c r="AE67" s="16" t="n">
        <v>7458.23</v>
      </c>
      <c r="AF67" s="16" t="n"/>
      <c r="AG67" s="13">
        <f>SUM(B67:AE67)</f>
        <v/>
      </c>
    </row>
    <row r="68" ht="16.5" customHeight="1" thickBot="1">
      <c r="A68" s="15" t="inlineStr">
        <is>
          <t>Total</t>
        </is>
      </c>
      <c r="B68">
        <f>SUM(B51:B67)</f>
        <v/>
      </c>
      <c r="C68">
        <f>SUM(C51:C67)</f>
        <v/>
      </c>
      <c r="D68">
        <f>SUM(D51:D67)</f>
        <v/>
      </c>
      <c r="E68">
        <f>SUM(E51:E67)</f>
        <v/>
      </c>
      <c r="F68">
        <f>SUM(F51:F67)</f>
        <v/>
      </c>
      <c r="G68">
        <f>SUM(G51:G67)</f>
        <v/>
      </c>
      <c r="H68">
        <f>SUM(H51:H67)</f>
        <v/>
      </c>
      <c r="I68">
        <f>SUM(I51:I67)</f>
        <v/>
      </c>
      <c r="J68">
        <f>SUM(J51:J67)</f>
        <v/>
      </c>
      <c r="K68">
        <f>SUM(K51:K67)</f>
        <v/>
      </c>
      <c r="L68">
        <f>SUM(L51:L67)</f>
        <v/>
      </c>
      <c r="M68">
        <f>SUM(M51:M67)</f>
        <v/>
      </c>
      <c r="N68">
        <f>SUM(N51:N67)</f>
        <v/>
      </c>
      <c r="O68">
        <f>SUM(O51:O67)</f>
        <v/>
      </c>
      <c r="P68">
        <f>SUM(P51:P67)</f>
        <v/>
      </c>
      <c r="Q68">
        <f>SUM(Q51:Q67)</f>
        <v/>
      </c>
      <c r="R68">
        <f>SUM(R51:R67)</f>
        <v/>
      </c>
      <c r="S68">
        <f>SUM(S51:S67)</f>
        <v/>
      </c>
      <c r="T68">
        <f>SUM(T51:T67)</f>
        <v/>
      </c>
      <c r="U68">
        <f>SUM(U51:U67)</f>
        <v/>
      </c>
      <c r="V68">
        <f>SUM(V51:V67)</f>
        <v/>
      </c>
      <c r="W68">
        <f>SUM(W51:W67)</f>
        <v/>
      </c>
      <c r="X68">
        <f>SUM(X51:X67)</f>
        <v/>
      </c>
      <c r="Y68">
        <f>SUM(Y51:Y67)</f>
        <v/>
      </c>
      <c r="Z68">
        <f>SUM(Z51:Z67)</f>
        <v/>
      </c>
      <c r="AA68">
        <f>SUM(AA51:AA67)</f>
        <v/>
      </c>
      <c r="AB68">
        <f>SUM(AB51:AB67)</f>
        <v/>
      </c>
      <c r="AC68">
        <f>SUM(AC51:AC67)</f>
        <v/>
      </c>
      <c r="AD68">
        <f>SUM(AD51:AD67)</f>
        <v/>
      </c>
      <c r="AE68">
        <f>SUM(AE51:AE67)</f>
        <v/>
      </c>
      <c r="AG68" s="252">
        <f>SUM(AG51:AG67)</f>
        <v/>
      </c>
    </row>
    <row r="69" ht="15.75" customHeight="1" thickTop="1">
      <c r="A69" s="15" t="inlineStr">
        <is>
          <t>Ruunning Total</t>
        </is>
      </c>
      <c r="B69">
        <f>B68</f>
        <v/>
      </c>
      <c r="C69">
        <f>B69+C68</f>
        <v/>
      </c>
      <c r="D69">
        <f>C69+D68</f>
        <v/>
      </c>
      <c r="E69">
        <f>D69+E68</f>
        <v/>
      </c>
      <c r="F69">
        <f>E69+F68</f>
        <v/>
      </c>
      <c r="G69">
        <f>F69+G68</f>
        <v/>
      </c>
      <c r="H69">
        <f>G69+H68</f>
        <v/>
      </c>
      <c r="I69">
        <f>H69+I68</f>
        <v/>
      </c>
      <c r="J69">
        <f>I69+J68</f>
        <v/>
      </c>
      <c r="K69">
        <f>J69+K68</f>
        <v/>
      </c>
      <c r="L69">
        <f>K69+L68</f>
        <v/>
      </c>
      <c r="M69">
        <f>L69+M68</f>
        <v/>
      </c>
      <c r="N69">
        <f>M69+N68</f>
        <v/>
      </c>
      <c r="O69">
        <f>N69+O68</f>
        <v/>
      </c>
      <c r="P69">
        <f>O69+P68</f>
        <v/>
      </c>
      <c r="Q69">
        <f>P69+Q68</f>
        <v/>
      </c>
      <c r="R69">
        <f>Q69+R68</f>
        <v/>
      </c>
      <c r="S69">
        <f>R69+S68</f>
        <v/>
      </c>
      <c r="T69">
        <f>S69+T68</f>
        <v/>
      </c>
      <c r="U69">
        <f>T69+U68</f>
        <v/>
      </c>
      <c r="V69">
        <f>U69+V68</f>
        <v/>
      </c>
      <c r="W69">
        <f>V69+W68</f>
        <v/>
      </c>
      <c r="X69">
        <f>W69+X68</f>
        <v/>
      </c>
      <c r="Y69">
        <f>X69+Y68</f>
        <v/>
      </c>
      <c r="Z69">
        <f>Y69+Z68</f>
        <v/>
      </c>
      <c r="AA69">
        <f>Z69+AA68</f>
        <v/>
      </c>
      <c r="AB69">
        <f>AA69+AB68</f>
        <v/>
      </c>
      <c r="AC69">
        <f>AB69+AC68</f>
        <v/>
      </c>
      <c r="AD69">
        <f>AC69+AD68</f>
        <v/>
      </c>
      <c r="AE69">
        <f>AD69+AE68</f>
        <v/>
      </c>
    </row>
    <row r="72">
      <c r="A72" s="1" t="n"/>
      <c r="B72" s="2" t="inlineStr">
        <is>
          <t>October</t>
        </is>
      </c>
      <c r="C72" s="2" t="n"/>
      <c r="D72" s="2" t="n"/>
      <c r="E72" s="2" t="n"/>
      <c r="F72" s="2" t="n"/>
      <c r="G72" s="2" t="n"/>
      <c r="H72" s="2" t="n"/>
      <c r="I72" s="2" t="n"/>
      <c r="J72" s="2" t="n"/>
      <c r="K72" s="2" t="n"/>
      <c r="L72" s="2" t="n"/>
      <c r="M72" s="2" t="n"/>
      <c r="N72" s="2" t="n"/>
      <c r="O72" s="2" t="n"/>
      <c r="P72" s="2" t="n"/>
      <c r="Q72" s="2" t="n"/>
      <c r="R72" s="2" t="n"/>
      <c r="S72" s="2" t="n"/>
      <c r="T72" s="2" t="n"/>
      <c r="U72" s="2" t="n"/>
      <c r="V72" s="2" t="n"/>
      <c r="W72" s="2" t="n"/>
      <c r="X72" s="2" t="n"/>
      <c r="Y72" s="2" t="n"/>
      <c r="Z72" s="2" t="n"/>
      <c r="AA72" s="2" t="n"/>
      <c r="AB72" s="2" t="n"/>
      <c r="AC72" s="2" t="n"/>
      <c r="AD72" s="2" t="n"/>
      <c r="AE72" s="1" t="n"/>
      <c r="AF72" s="1" t="n"/>
      <c r="AG72" s="1" t="n"/>
    </row>
    <row r="73">
      <c r="A73" s="1" t="n"/>
      <c r="B73" s="2" t="inlineStr">
        <is>
          <t>Tuesday</t>
        </is>
      </c>
      <c r="C73" s="2" t="inlineStr">
        <is>
          <t>Wednesday</t>
        </is>
      </c>
      <c r="D73" s="2" t="inlineStr">
        <is>
          <t>Thursday</t>
        </is>
      </c>
      <c r="E73" s="2" t="inlineStr">
        <is>
          <t>Friday</t>
        </is>
      </c>
      <c r="F73" s="2" t="inlineStr">
        <is>
          <t>Saturday</t>
        </is>
      </c>
      <c r="G73" s="2" t="inlineStr">
        <is>
          <t>Sunday</t>
        </is>
      </c>
      <c r="H73" s="2" t="inlineStr">
        <is>
          <t>Monday</t>
        </is>
      </c>
      <c r="I73" s="2" t="inlineStr">
        <is>
          <t>Tuesday</t>
        </is>
      </c>
      <c r="J73" s="2" t="inlineStr">
        <is>
          <t>Wednesday</t>
        </is>
      </c>
      <c r="K73" s="2" t="inlineStr">
        <is>
          <t>Thursday</t>
        </is>
      </c>
      <c r="L73" s="2" t="inlineStr">
        <is>
          <t>Friday</t>
        </is>
      </c>
      <c r="M73" s="2" t="inlineStr">
        <is>
          <t>Saturday</t>
        </is>
      </c>
      <c r="N73" s="2" t="inlineStr">
        <is>
          <t>Sunday</t>
        </is>
      </c>
      <c r="O73" s="2" t="inlineStr">
        <is>
          <t>Monday</t>
        </is>
      </c>
      <c r="P73" s="2" t="inlineStr">
        <is>
          <t>Tuesday</t>
        </is>
      </c>
      <c r="Q73" s="2" t="inlineStr">
        <is>
          <t>Wednesday</t>
        </is>
      </c>
      <c r="R73" s="2" t="inlineStr">
        <is>
          <t>Thursday</t>
        </is>
      </c>
      <c r="S73" s="2" t="inlineStr">
        <is>
          <t>Friday</t>
        </is>
      </c>
      <c r="T73" s="2" t="inlineStr">
        <is>
          <t>Saturday</t>
        </is>
      </c>
      <c r="U73" s="2" t="inlineStr">
        <is>
          <t>Sunday</t>
        </is>
      </c>
      <c r="V73" s="2" t="inlineStr">
        <is>
          <t>Monday</t>
        </is>
      </c>
      <c r="W73" s="2" t="inlineStr">
        <is>
          <t>Tuesday</t>
        </is>
      </c>
      <c r="X73" s="2" t="inlineStr">
        <is>
          <t>Wednesday</t>
        </is>
      </c>
      <c r="Y73" s="2" t="inlineStr">
        <is>
          <t>Thursday</t>
        </is>
      </c>
      <c r="Z73" s="2" t="inlineStr">
        <is>
          <t>Friday</t>
        </is>
      </c>
      <c r="AA73" s="2" t="inlineStr">
        <is>
          <t>Saturday</t>
        </is>
      </c>
      <c r="AB73" s="2" t="inlineStr">
        <is>
          <t>Sunday</t>
        </is>
      </c>
      <c r="AC73" s="2" t="inlineStr">
        <is>
          <t>Monday</t>
        </is>
      </c>
      <c r="AD73" s="2" t="inlineStr">
        <is>
          <t>Tuesday</t>
        </is>
      </c>
      <c r="AE73" s="2" t="inlineStr">
        <is>
          <t>Wednesday</t>
        </is>
      </c>
      <c r="AF73" s="2" t="inlineStr">
        <is>
          <t>Thursday</t>
        </is>
      </c>
      <c r="AG73" s="2" t="inlineStr">
        <is>
          <t>Total</t>
        </is>
      </c>
    </row>
    <row r="74">
      <c r="A74" s="1" t="n"/>
      <c r="B74" s="7" t="inlineStr">
        <is>
          <t>1st</t>
        </is>
      </c>
      <c r="C74" s="7" t="inlineStr">
        <is>
          <t>2nd</t>
        </is>
      </c>
      <c r="D74" s="7" t="inlineStr">
        <is>
          <t>3rd</t>
        </is>
      </c>
      <c r="E74" s="7" t="inlineStr">
        <is>
          <t>4th</t>
        </is>
      </c>
      <c r="F74" s="7" t="inlineStr">
        <is>
          <t>5th</t>
        </is>
      </c>
      <c r="G74" s="7" t="inlineStr">
        <is>
          <t>6th</t>
        </is>
      </c>
      <c r="H74" s="3" t="inlineStr">
        <is>
          <t>7th</t>
        </is>
      </c>
      <c r="I74" s="3" t="inlineStr">
        <is>
          <t>8th</t>
        </is>
      </c>
      <c r="J74" s="3" t="inlineStr">
        <is>
          <t>9th</t>
        </is>
      </c>
      <c r="K74" s="3" t="inlineStr">
        <is>
          <t>10th</t>
        </is>
      </c>
      <c r="L74" s="3" t="inlineStr">
        <is>
          <t>11th</t>
        </is>
      </c>
      <c r="M74" s="3" t="inlineStr">
        <is>
          <t>12th</t>
        </is>
      </c>
      <c r="N74" s="3" t="inlineStr">
        <is>
          <t>13th</t>
        </is>
      </c>
      <c r="O74" s="4" t="inlineStr">
        <is>
          <t>14th</t>
        </is>
      </c>
      <c r="P74" s="4" t="inlineStr">
        <is>
          <t>15th</t>
        </is>
      </c>
      <c r="Q74" s="4" t="inlineStr">
        <is>
          <t>16th</t>
        </is>
      </c>
      <c r="R74" s="4" t="inlineStr">
        <is>
          <t>17th</t>
        </is>
      </c>
      <c r="S74" s="4" t="inlineStr">
        <is>
          <t>18th</t>
        </is>
      </c>
      <c r="T74" s="4" t="inlineStr">
        <is>
          <t>19th</t>
        </is>
      </c>
      <c r="U74" s="4" t="inlineStr">
        <is>
          <t>20th</t>
        </is>
      </c>
      <c r="V74" s="5" t="inlineStr">
        <is>
          <t>21st</t>
        </is>
      </c>
      <c r="W74" s="5" t="inlineStr">
        <is>
          <t>22nd</t>
        </is>
      </c>
      <c r="X74" s="5" t="inlineStr">
        <is>
          <t>23rd</t>
        </is>
      </c>
      <c r="Y74" s="5" t="inlineStr">
        <is>
          <t>24th</t>
        </is>
      </c>
      <c r="Z74" s="5" t="inlineStr">
        <is>
          <t>25th</t>
        </is>
      </c>
      <c r="AA74" s="5" t="inlineStr">
        <is>
          <t>26th</t>
        </is>
      </c>
      <c r="AB74" s="5" t="inlineStr">
        <is>
          <t>27th</t>
        </is>
      </c>
      <c r="AC74" s="6" t="inlineStr">
        <is>
          <t>28th</t>
        </is>
      </c>
      <c r="AD74" s="6" t="inlineStr">
        <is>
          <t>29th</t>
        </is>
      </c>
      <c r="AE74" s="6" t="inlineStr">
        <is>
          <t>30th</t>
        </is>
      </c>
      <c r="AF74" s="6" t="inlineStr">
        <is>
          <t>31st</t>
        </is>
      </c>
      <c r="AG74" s="1" t="n"/>
    </row>
    <row r="75" ht="15.75" customHeight="1">
      <c r="A75" s="8" t="inlineStr">
        <is>
          <t>B-HAM CITY COUNCIL-200790-70489166</t>
        </is>
      </c>
      <c r="B75" s="12" t="n"/>
      <c r="C75" s="12" t="n"/>
      <c r="D75" s="12" t="n"/>
      <c r="E75" s="12" t="n"/>
      <c r="F75" s="12" t="n"/>
      <c r="G75" s="12" t="n"/>
      <c r="H75" s="12" t="n"/>
      <c r="I75" s="12" t="n"/>
      <c r="J75" s="12" t="n"/>
      <c r="K75" s="12" t="n"/>
      <c r="L75" s="12" t="n"/>
      <c r="M75" s="12" t="n"/>
      <c r="N75" s="12" t="n"/>
      <c r="O75" s="12" t="n"/>
      <c r="P75" s="12" t="n"/>
      <c r="Q75" s="12" t="n"/>
      <c r="R75" s="12" t="n"/>
      <c r="S75" s="12" t="n"/>
      <c r="T75" s="12" t="n"/>
      <c r="U75" s="12" t="n"/>
      <c r="V75" s="12" t="n"/>
      <c r="W75" s="12" t="n"/>
      <c r="X75" s="12" t="n"/>
      <c r="Y75" s="12" t="n"/>
      <c r="Z75" s="12" t="n"/>
      <c r="AA75" s="12" t="n"/>
      <c r="AB75" s="12" t="n"/>
      <c r="AC75" s="12" t="n"/>
      <c r="AD75" s="12" t="n"/>
      <c r="AE75" s="12" t="n"/>
      <c r="AF75" s="12" t="n"/>
      <c r="AG75" s="13">
        <f>SUM(B75:AF75)</f>
        <v/>
      </c>
    </row>
    <row r="76" ht="15.75" customHeight="1">
      <c r="A76" s="8" t="inlineStr">
        <is>
          <t>Buckingham</t>
        </is>
      </c>
      <c r="B76" s="12" t="n"/>
      <c r="C76" s="9" t="n"/>
      <c r="D76" s="9" t="n"/>
      <c r="E76" s="9" t="n"/>
      <c r="F76" s="9" t="n"/>
      <c r="G76" s="9" t="n"/>
      <c r="H76" s="9" t="n"/>
      <c r="I76" s="9" t="n"/>
      <c r="J76" s="9" t="n"/>
      <c r="K76" s="9" t="n"/>
      <c r="L76" s="9" t="n"/>
      <c r="M76" s="9" t="n"/>
      <c r="N76" s="9" t="n"/>
      <c r="O76" s="9" t="n"/>
      <c r="P76" s="9" t="n"/>
      <c r="Q76" s="12" t="n"/>
      <c r="R76" s="9" t="n"/>
      <c r="S76" s="9" t="n"/>
      <c r="T76" s="9" t="n"/>
      <c r="U76" s="9" t="n"/>
      <c r="V76" s="9" t="n"/>
      <c r="W76" s="9" t="n"/>
      <c r="X76" s="9" t="n"/>
      <c r="Y76" s="9" t="n"/>
      <c r="Z76" s="9" t="n"/>
      <c r="AA76" s="12" t="n"/>
      <c r="AB76" s="9" t="n"/>
      <c r="AC76" s="12" t="n"/>
      <c r="AD76" s="9" t="n"/>
      <c r="AE76" s="12" t="n"/>
      <c r="AF76" s="12" t="n"/>
      <c r="AG76" s="13">
        <f>SUM(B76:AF76)</f>
        <v/>
      </c>
    </row>
    <row r="77" ht="15.75" customHeight="1">
      <c r="A77" s="8" t="inlineStr">
        <is>
          <t>Sandwell respite est</t>
        </is>
      </c>
      <c r="B77" s="12" t="n"/>
      <c r="C77" s="9" t="n"/>
      <c r="D77" s="9" t="n"/>
      <c r="E77" s="9" t="n"/>
      <c r="F77" s="9" t="n"/>
      <c r="G77" s="9" t="n"/>
      <c r="H77" s="9" t="n"/>
      <c r="I77" s="9" t="n"/>
      <c r="J77" s="9" t="n"/>
      <c r="K77" s="9" t="n"/>
      <c r="L77" s="9" t="n"/>
      <c r="M77" s="9" t="n"/>
      <c r="N77" s="9" t="n"/>
      <c r="O77" s="9" t="n"/>
      <c r="P77" s="9" t="n"/>
      <c r="Q77" s="9" t="n"/>
      <c r="R77" s="9" t="n"/>
      <c r="S77" s="9" t="n"/>
      <c r="T77" s="9" t="n"/>
      <c r="U77" s="9" t="n"/>
      <c r="V77" s="9" t="n"/>
      <c r="W77" s="9" t="n"/>
      <c r="X77" s="9" t="n"/>
      <c r="Y77" s="9" t="n"/>
      <c r="Z77" s="9" t="n"/>
      <c r="AA77" s="9" t="n"/>
      <c r="AB77" s="9" t="n"/>
      <c r="AC77" s="9" t="n"/>
      <c r="AD77" s="12" t="n"/>
      <c r="AE77" s="12" t="n"/>
      <c r="AF77" s="9" t="n">
        <v>20000</v>
      </c>
      <c r="AG77" s="13">
        <f>SUM(B77:AF77)</f>
        <v/>
      </c>
    </row>
    <row r="78" ht="15.75" customHeight="1">
      <c r="A78" s="8" t="inlineStr">
        <is>
          <t xml:space="preserve">Wolverhampton respite est </t>
        </is>
      </c>
      <c r="B78" s="12" t="n"/>
      <c r="C78" s="9" t="n"/>
      <c r="D78" s="9" t="n"/>
      <c r="E78" s="9" t="n"/>
      <c r="F78" s="9" t="n"/>
      <c r="G78" s="9" t="n"/>
      <c r="H78" s="9" t="n"/>
      <c r="I78" s="9" t="n"/>
      <c r="J78" s="9" t="n"/>
      <c r="K78" s="9" t="n"/>
      <c r="L78" s="9" t="n"/>
      <c r="M78" s="9" t="n"/>
      <c r="N78" s="9" t="n"/>
      <c r="O78" s="9" t="n"/>
      <c r="P78" s="9" t="n"/>
      <c r="Q78" s="9" t="n"/>
      <c r="R78" s="9" t="n"/>
      <c r="S78" s="9" t="n"/>
      <c r="T78" s="9" t="n"/>
      <c r="U78" s="9" t="n"/>
      <c r="V78" s="9" t="n"/>
      <c r="W78" s="9" t="n"/>
      <c r="X78" s="9" t="n"/>
      <c r="Y78" s="9" t="n"/>
      <c r="Z78" s="9" t="n"/>
      <c r="AA78" s="9" t="n"/>
      <c r="AB78" s="9" t="n"/>
      <c r="AC78" s="9" t="n"/>
      <c r="AD78" s="12" t="n"/>
      <c r="AE78" s="12" t="n"/>
      <c r="AF78" s="9" t="n">
        <v>30000</v>
      </c>
      <c r="AG78" s="13">
        <f>SUM(B78:AF78)</f>
        <v/>
      </c>
    </row>
    <row r="79" ht="15.75" customHeight="1">
      <c r="A79" s="8" t="inlineStr">
        <is>
          <t>Walsall Respite</t>
        </is>
      </c>
      <c r="B79" s="12" t="n"/>
      <c r="C79" s="9" t="n"/>
      <c r="D79" s="9" t="n"/>
      <c r="E79" s="9" t="n"/>
      <c r="F79" s="12" t="n"/>
      <c r="G79" s="9" t="n"/>
      <c r="H79" s="9" t="n"/>
      <c r="I79" s="9" t="n"/>
      <c r="J79" s="9" t="n"/>
      <c r="K79" s="9" t="n"/>
      <c r="L79" s="9" t="n"/>
      <c r="M79" s="9" t="n"/>
      <c r="N79" s="9" t="n"/>
      <c r="O79" s="9" t="n"/>
      <c r="P79" s="9" t="n"/>
      <c r="Q79" s="9" t="n"/>
      <c r="R79" s="9" t="n"/>
      <c r="S79" s="9" t="n"/>
      <c r="T79" s="9" t="n"/>
      <c r="U79" s="9" t="n"/>
      <c r="V79" s="9" t="n"/>
      <c r="W79" s="9" t="n"/>
      <c r="X79" s="9" t="n"/>
      <c r="Y79" s="9" t="n"/>
      <c r="Z79" s="9" t="n"/>
      <c r="AA79" s="9" t="n"/>
      <c r="AB79" s="9" t="n"/>
      <c r="AC79" s="9" t="n"/>
      <c r="AD79" s="12" t="n"/>
      <c r="AE79" s="12" t="n"/>
      <c r="AF79" s="9" t="n">
        <v>15000</v>
      </c>
      <c r="AG79" s="13">
        <f>SUM(B79:AF79)</f>
        <v/>
      </c>
    </row>
    <row r="80" ht="18.75" customHeight="1">
      <c r="A80" s="8" t="inlineStr">
        <is>
          <t>Ideal for All Ltd</t>
        </is>
      </c>
      <c r="B80" s="12" t="n"/>
      <c r="C80" s="12" t="n"/>
      <c r="D80" s="12" t="n"/>
      <c r="E80" s="12" t="n"/>
      <c r="F80" s="9" t="n"/>
      <c r="G80" s="12" t="n"/>
      <c r="H80" s="12" t="n"/>
      <c r="I80" s="12" t="n"/>
      <c r="J80" s="11" t="n"/>
      <c r="K80" s="11" t="n"/>
      <c r="L80" s="9" t="n"/>
      <c r="M80" s="9" t="n"/>
      <c r="N80" s="9" t="n"/>
      <c r="O80" s="12" t="n"/>
      <c r="P80" s="9" t="n"/>
      <c r="Q80" s="9" t="n"/>
      <c r="R80" s="9" t="n"/>
      <c r="S80" s="9" t="n"/>
      <c r="T80" s="9" t="n"/>
      <c r="U80" s="9" t="n"/>
      <c r="V80" s="9" t="n"/>
      <c r="W80" s="9" t="n"/>
      <c r="X80" s="9" t="n"/>
      <c r="Y80" s="9" t="n"/>
      <c r="Z80" s="9" t="n"/>
      <c r="AA80" s="9" t="n"/>
      <c r="AB80" s="9" t="n"/>
      <c r="AC80" s="9" t="n"/>
      <c r="AD80" s="9" t="n"/>
      <c r="AE80" s="12" t="n"/>
      <c r="AF80" s="12" t="n"/>
      <c r="AG80" s="13">
        <f>SUM(B80:AF80)</f>
        <v/>
      </c>
    </row>
    <row r="81" ht="15.75" customHeight="1">
      <c r="A81" s="8" t="inlineStr">
        <is>
          <t>KIRKLEES COUNCIL-204312-63046958</t>
        </is>
      </c>
      <c r="B81" s="12" t="n"/>
      <c r="C81" s="12" t="n"/>
      <c r="D81" s="9" t="n"/>
      <c r="E81" s="12" t="n"/>
      <c r="F81" s="9" t="n"/>
      <c r="G81" s="9" t="n"/>
      <c r="H81" s="12" t="n"/>
      <c r="I81" s="9" t="n"/>
      <c r="J81" s="12" t="n"/>
      <c r="K81" s="9" t="n"/>
      <c r="L81" s="9" t="n"/>
      <c r="M81" s="9" t="n"/>
      <c r="N81" s="9" t="n"/>
      <c r="O81" s="12" t="n"/>
      <c r="P81" s="12" t="n"/>
      <c r="Q81" s="12" t="n"/>
      <c r="R81" s="9" t="n"/>
      <c r="S81" s="9" t="n"/>
      <c r="T81" s="9" t="n"/>
      <c r="U81" s="9" t="n"/>
      <c r="V81" s="9" t="n"/>
      <c r="W81" s="9" t="n"/>
      <c r="X81" s="9" t="n"/>
      <c r="Y81" s="9" t="n"/>
      <c r="Z81" s="9" t="n"/>
      <c r="AA81" s="9" t="n"/>
      <c r="AB81" s="9" t="n"/>
      <c r="AC81" s="9" t="n"/>
      <c r="AD81" s="12" t="n"/>
      <c r="AE81" s="12" t="n"/>
      <c r="AF81" s="12" t="n"/>
      <c r="AG81" s="13">
        <f>SUM(B81:AF81)</f>
        <v/>
      </c>
    </row>
    <row r="82" ht="15.75" customHeight="1">
      <c r="A82" s="8" t="inlineStr">
        <is>
          <t>LBH PAYMENTS BACS-602210-72430192</t>
        </is>
      </c>
      <c r="B82" s="12" t="n"/>
      <c r="C82" s="9" t="n"/>
      <c r="D82" s="9" t="n"/>
      <c r="E82" s="12" t="n"/>
      <c r="F82" s="9" t="n"/>
      <c r="G82" s="9" t="n"/>
      <c r="H82" s="9" t="n"/>
      <c r="I82" s="9" t="n"/>
      <c r="J82" s="9" t="n"/>
      <c r="K82" s="12" t="n"/>
      <c r="L82" s="9" t="n"/>
      <c r="M82" s="9" t="n"/>
      <c r="N82" s="9" t="n"/>
      <c r="O82" s="9" t="n"/>
      <c r="P82" s="9" t="n"/>
      <c r="Q82" s="9" t="n"/>
      <c r="R82" s="9" t="n"/>
      <c r="S82" s="9" t="n"/>
      <c r="T82" s="9" t="n"/>
      <c r="U82" s="9" t="n"/>
      <c r="V82" s="9" t="n"/>
      <c r="W82" s="9" t="n"/>
      <c r="X82" s="9" t="n"/>
      <c r="Y82" s="9" t="n"/>
      <c r="Z82" s="9" t="n"/>
      <c r="AA82" s="9" t="n"/>
      <c r="AB82" s="9" t="n"/>
      <c r="AC82" s="9" t="n"/>
      <c r="AD82" s="9" t="n"/>
      <c r="AE82" s="12" t="n"/>
      <c r="AF82" s="12" t="n"/>
      <c r="AG82" s="13">
        <f>SUM(B82:AF82)</f>
        <v/>
      </c>
    </row>
    <row r="83" ht="15.75" customHeight="1">
      <c r="A83" s="8" t="inlineStr">
        <is>
          <t>NHS BIRMINGHAM &amp; S-607080-10017097</t>
        </is>
      </c>
      <c r="B83" s="12" t="n"/>
      <c r="C83" s="12" t="n"/>
      <c r="D83" s="12" t="n"/>
      <c r="E83" s="12" t="n"/>
      <c r="F83" s="12" t="n"/>
      <c r="G83" s="12" t="n"/>
      <c r="H83" s="12" t="n"/>
      <c r="I83" s="9" t="n"/>
      <c r="J83" s="9" t="n"/>
      <c r="K83" s="9" t="n"/>
      <c r="L83" s="9" t="n"/>
      <c r="M83" s="9" t="n"/>
      <c r="N83" s="9" t="n"/>
      <c r="O83" s="9" t="n"/>
      <c r="P83" s="9" t="n"/>
      <c r="Q83" s="9" t="n"/>
      <c r="R83" s="9" t="n"/>
      <c r="S83" s="9" t="n"/>
      <c r="T83" s="9" t="n"/>
      <c r="U83" s="9" t="n"/>
      <c r="V83" s="9" t="n"/>
      <c r="W83" s="9" t="n"/>
      <c r="X83" s="9" t="n"/>
      <c r="Y83" s="9" t="n"/>
      <c r="Z83" s="9" t="n"/>
      <c r="AA83" s="9" t="n"/>
      <c r="AB83" s="9" t="n"/>
      <c r="AC83" s="9" t="n"/>
      <c r="AD83" s="9" t="n"/>
      <c r="AE83" s="12" t="n"/>
      <c r="AF83" s="12" t="n"/>
      <c r="AG83" s="13">
        <f>SUM(B83:AF83)</f>
        <v/>
      </c>
    </row>
    <row r="84" ht="15.75" customHeight="1">
      <c r="A84" s="8" t="inlineStr">
        <is>
          <t>NHS BLACK COUNTRY-607080-10015272</t>
        </is>
      </c>
      <c r="B84" s="12" t="n"/>
      <c r="C84" s="12" t="n"/>
      <c r="D84" s="12" t="n"/>
      <c r="E84" s="12" t="n"/>
      <c r="F84" s="12" t="n"/>
      <c r="G84" s="12" t="n"/>
      <c r="H84" s="9" t="n"/>
      <c r="I84" s="9" t="n"/>
      <c r="J84" s="9" t="n"/>
      <c r="K84" s="9" t="n"/>
      <c r="L84" s="12" t="n"/>
      <c r="M84" s="12" t="n"/>
      <c r="N84" s="9" t="n"/>
      <c r="O84" s="9" t="n"/>
      <c r="P84" s="9" t="n"/>
      <c r="Q84" s="9" t="n"/>
      <c r="R84" s="12" t="n"/>
      <c r="S84" s="9" t="n"/>
      <c r="T84" s="9" t="n"/>
      <c r="U84" s="9" t="n"/>
      <c r="V84" s="9" t="n"/>
      <c r="W84" s="9" t="n"/>
      <c r="X84" s="9" t="n"/>
      <c r="Y84" s="9" t="n"/>
      <c r="Z84" s="12" t="n"/>
      <c r="AA84" s="9" t="n"/>
      <c r="AB84" s="12" t="n"/>
      <c r="AC84" s="12" t="n"/>
      <c r="AD84" s="12" t="n"/>
      <c r="AE84" s="12" t="n"/>
      <c r="AF84" s="12" t="n"/>
      <c r="AG84" s="13">
        <f>SUM(B84:AF84)</f>
        <v/>
      </c>
    </row>
    <row r="85" ht="15.75" customHeight="1">
      <c r="A85" s="14" t="inlineStr">
        <is>
          <t>SANDWELL MBC  BEN-601539-69624151</t>
        </is>
      </c>
      <c r="B85" s="9" t="n"/>
      <c r="C85" s="9" t="n"/>
      <c r="D85" s="12" t="n"/>
      <c r="E85" s="9" t="n"/>
      <c r="F85" s="9" t="n"/>
      <c r="G85" s="12" t="n"/>
      <c r="H85" s="12" t="n"/>
      <c r="I85" s="9" t="n"/>
      <c r="J85" s="9" t="n"/>
      <c r="K85" s="9" t="n"/>
      <c r="L85" s="9" t="n"/>
      <c r="M85" s="12" t="n"/>
      <c r="N85" s="12" t="n"/>
      <c r="O85" s="9" t="n"/>
      <c r="P85" s="9" t="n"/>
      <c r="Q85" s="9" t="n"/>
      <c r="R85" s="9" t="n"/>
      <c r="S85" s="12" t="n"/>
      <c r="T85" s="9" t="n"/>
      <c r="U85" s="9" t="n"/>
      <c r="V85" s="9" t="n"/>
      <c r="W85" s="12" t="n"/>
      <c r="X85" s="9" t="n"/>
      <c r="Y85" s="9" t="n"/>
      <c r="Z85" s="9" t="n"/>
      <c r="AA85" s="12" t="n"/>
      <c r="AB85" s="12" t="n"/>
      <c r="AC85" s="12" t="n"/>
      <c r="AD85" s="12" t="n"/>
      <c r="AE85" s="12" t="n"/>
      <c r="AF85" s="12" t="n"/>
      <c r="AG85" s="13">
        <f>SUM(B85:AF85)</f>
        <v/>
      </c>
    </row>
    <row r="86" ht="15.75" customHeight="1">
      <c r="A86" s="14" t="inlineStr">
        <is>
          <t>SANDWELL MBC-601539-69624135</t>
        </is>
      </c>
      <c r="B86" s="9" t="n"/>
      <c r="C86" s="9" t="n"/>
      <c r="D86" s="9" t="n"/>
      <c r="E86" s="9" t="n"/>
      <c r="F86" s="12" t="n"/>
      <c r="G86" s="9" t="n"/>
      <c r="H86" s="9" t="n"/>
      <c r="I86" s="9" t="n"/>
      <c r="J86" s="9" t="n"/>
      <c r="K86" s="9" t="n"/>
      <c r="L86" s="9" t="n"/>
      <c r="M86" s="9" t="n"/>
      <c r="N86" s="9" t="n"/>
      <c r="O86" s="9" t="n"/>
      <c r="P86" s="9" t="n">
        <v>121094.4</v>
      </c>
      <c r="Q86" s="9" t="n"/>
      <c r="R86" s="12" t="n"/>
      <c r="S86" s="9" t="n"/>
      <c r="T86" s="9" t="n"/>
      <c r="U86" s="9" t="n"/>
      <c r="V86" s="9" t="n"/>
      <c r="W86" s="12" t="n"/>
      <c r="X86" s="9" t="n"/>
      <c r="Y86" s="9" t="n"/>
      <c r="Z86" s="9" t="n"/>
      <c r="AA86" s="9" t="n"/>
      <c r="AB86" s="12" t="n"/>
      <c r="AC86" s="12" t="n"/>
      <c r="AD86" s="9" t="n">
        <v>121094.4</v>
      </c>
      <c r="AE86" s="12" t="n"/>
      <c r="AF86" s="12" t="n"/>
      <c r="AG86" s="13">
        <f>SUM(B86:AF86)</f>
        <v/>
      </c>
    </row>
    <row r="87" ht="15.75" customHeight="1">
      <c r="A87" s="15" t="inlineStr">
        <is>
          <t>SOLIHULL MBC EXP.-200771-00561525</t>
        </is>
      </c>
      <c r="B87" s="12" t="n"/>
      <c r="C87" s="12" t="n"/>
      <c r="D87" s="12" t="n"/>
      <c r="E87" s="12" t="n"/>
      <c r="F87" s="12" t="n"/>
      <c r="G87" s="12" t="n"/>
      <c r="H87" s="12" t="n">
        <v>32000</v>
      </c>
      <c r="I87" s="12" t="n"/>
      <c r="J87" s="12" t="n"/>
      <c r="K87" s="12" t="n"/>
      <c r="L87" s="12" t="n"/>
      <c r="M87" s="12" t="n"/>
      <c r="N87" s="12" t="n"/>
      <c r="O87" s="12" t="n"/>
      <c r="P87" s="12" t="n"/>
      <c r="Q87" s="12" t="n"/>
      <c r="R87" s="12" t="n"/>
      <c r="S87" s="12" t="n"/>
      <c r="T87" s="12" t="n"/>
      <c r="U87" s="12" t="n"/>
      <c r="V87" s="12" t="n"/>
      <c r="W87" s="12" t="n"/>
      <c r="X87" s="12" t="n"/>
      <c r="Y87" s="12" t="n"/>
      <c r="Z87" s="12" t="n"/>
      <c r="AA87" s="12" t="n"/>
      <c r="AB87" s="12" t="n"/>
      <c r="AC87" s="12" t="n"/>
      <c r="AD87" s="12" t="n"/>
      <c r="AE87" s="12" t="n"/>
      <c r="AF87" s="12" t="n"/>
      <c r="AG87" s="13">
        <f>SUM(B87:AF87)</f>
        <v/>
      </c>
    </row>
    <row r="88" ht="15.75" customHeight="1">
      <c r="A88" s="15" t="inlineStr">
        <is>
          <t>WALSALL MBC BARC-209073-10731692</t>
        </is>
      </c>
      <c r="B88" s="9" t="n"/>
      <c r="C88" s="12" t="n"/>
      <c r="D88" s="12" t="n"/>
      <c r="E88" s="12" t="n"/>
      <c r="F88" s="12" t="n"/>
      <c r="G88" s="12" t="n"/>
      <c r="H88" s="12" t="n"/>
      <c r="I88" s="12" t="n"/>
      <c r="J88" s="12" t="n"/>
      <c r="K88" s="12" t="n"/>
      <c r="L88" s="12" t="n"/>
      <c r="M88" s="12" t="n"/>
      <c r="N88" s="12" t="n"/>
      <c r="O88" s="12" t="n"/>
      <c r="P88" s="12" t="n"/>
      <c r="Q88" s="12" t="n"/>
      <c r="R88" s="12" t="n"/>
      <c r="S88" s="12" t="n"/>
      <c r="T88" s="12" t="n"/>
      <c r="U88" s="12" t="n"/>
      <c r="V88" s="12" t="n"/>
      <c r="W88" s="9" t="n">
        <v>187000</v>
      </c>
      <c r="X88" s="12" t="n"/>
      <c r="Y88" s="12" t="n"/>
      <c r="Z88" s="12" t="n"/>
      <c r="AA88" s="12" t="n"/>
      <c r="AB88" s="12" t="n"/>
      <c r="AC88" s="12" t="n"/>
      <c r="AD88" s="12" t="n"/>
      <c r="AE88" s="12" t="n"/>
      <c r="AF88" s="12" t="n"/>
      <c r="AG88" s="13">
        <f>SUM(B88:AF88)</f>
        <v/>
      </c>
    </row>
    <row r="89" ht="15.75" customHeight="1">
      <c r="A89" s="15" t="inlineStr">
        <is>
          <t>WOLVERHAMPTON CC-560069-44470320</t>
        </is>
      </c>
      <c r="B89" s="12" t="n"/>
      <c r="C89" s="12" t="n"/>
      <c r="D89" s="9" t="n">
        <v>117000</v>
      </c>
      <c r="E89" s="12" t="n"/>
      <c r="F89" s="12" t="n"/>
      <c r="G89" s="12" t="n"/>
      <c r="H89" s="12" t="n"/>
      <c r="I89" s="12" t="n"/>
      <c r="J89" s="12" t="n"/>
      <c r="K89" s="9" t="n">
        <v>117000</v>
      </c>
      <c r="L89" s="12" t="n"/>
      <c r="M89" s="12" t="n"/>
      <c r="N89" s="12" t="n"/>
      <c r="O89" s="12" t="n"/>
      <c r="P89" s="12" t="n"/>
      <c r="Q89" s="12" t="n"/>
      <c r="R89" s="9" t="n">
        <v>117000</v>
      </c>
      <c r="S89" s="12" t="n"/>
      <c r="T89" s="12" t="n"/>
      <c r="U89" s="12" t="n"/>
      <c r="V89" s="12" t="n"/>
      <c r="W89" s="12" t="n"/>
      <c r="X89" s="12" t="n"/>
      <c r="Y89" s="9" t="n">
        <v>117000</v>
      </c>
      <c r="Z89" s="12" t="n"/>
      <c r="AA89" s="12" t="n"/>
      <c r="AB89" s="12" t="n"/>
      <c r="AC89" s="12" t="n"/>
      <c r="AD89" s="12" t="n"/>
      <c r="AE89" s="12" t="n"/>
      <c r="AF89" s="9" t="n">
        <v>117000</v>
      </c>
      <c r="AG89" s="13">
        <f>SUM(B89:AF89)</f>
        <v/>
      </c>
    </row>
    <row r="90" ht="15.75" customHeight="1">
      <c r="A90" s="15" t="inlineStr">
        <is>
          <t>Portsmouth</t>
        </is>
      </c>
      <c r="B90" s="9" t="n">
        <v>5247.86</v>
      </c>
      <c r="C90" s="12" t="n"/>
      <c r="D90" s="12" t="n"/>
      <c r="E90" s="12" t="n"/>
      <c r="F90" s="12" t="n"/>
      <c r="G90" s="12" t="n"/>
      <c r="H90" s="12" t="n"/>
      <c r="I90" s="12" t="n"/>
      <c r="J90" s="12" t="n"/>
      <c r="K90" s="12" t="n"/>
      <c r="L90" s="12" t="n"/>
      <c r="M90" s="12" t="n"/>
      <c r="N90" s="12" t="n"/>
      <c r="O90" s="12" t="n"/>
      <c r="P90" s="12" t="n"/>
      <c r="Q90" s="12" t="n"/>
      <c r="R90" s="12" t="n"/>
      <c r="S90" s="12" t="n"/>
      <c r="T90" s="12" t="n"/>
      <c r="U90" s="12" t="n"/>
      <c r="V90" s="12" t="n"/>
      <c r="W90" s="12" t="n"/>
      <c r="X90" s="12" t="n"/>
      <c r="Y90" s="12" t="n"/>
      <c r="Z90" s="12" t="n"/>
      <c r="AA90" s="12" t="n"/>
      <c r="AB90" s="12" t="n"/>
      <c r="AC90" s="12" t="n"/>
      <c r="AD90" s="9" t="n">
        <v>5247.86</v>
      </c>
      <c r="AE90" s="12" t="n"/>
      <c r="AF90" s="12" t="n"/>
      <c r="AG90" s="13">
        <f>SUM(B90:AF90)</f>
        <v/>
      </c>
    </row>
    <row r="91" ht="15.75" customHeight="1">
      <c r="A91" s="15" t="inlineStr">
        <is>
          <t>HB SC</t>
        </is>
      </c>
      <c r="B91" s="10" t="n">
        <v>3800</v>
      </c>
      <c r="C91" s="10" t="n">
        <v>3800</v>
      </c>
      <c r="D91" s="10" t="n">
        <v>3800</v>
      </c>
      <c r="E91" s="10" t="n">
        <v>3800</v>
      </c>
      <c r="F91" s="10" t="n">
        <v>3800</v>
      </c>
      <c r="G91" s="10" t="n">
        <v>3800</v>
      </c>
      <c r="H91" s="10" t="n">
        <v>3800</v>
      </c>
      <c r="I91" s="10" t="n">
        <v>3800</v>
      </c>
      <c r="J91" s="10" t="n">
        <v>3800</v>
      </c>
      <c r="K91" s="10" t="n">
        <v>3800</v>
      </c>
      <c r="L91" s="10" t="n">
        <v>3800</v>
      </c>
      <c r="M91" s="10" t="n">
        <v>3800</v>
      </c>
      <c r="N91" s="10" t="n">
        <v>3800</v>
      </c>
      <c r="O91" s="10" t="n">
        <v>3800</v>
      </c>
      <c r="P91" s="10" t="n">
        <v>3800</v>
      </c>
      <c r="Q91" s="10" t="n">
        <v>3800</v>
      </c>
      <c r="R91" s="10" t="n">
        <v>3800</v>
      </c>
      <c r="S91" s="10" t="n">
        <v>3800</v>
      </c>
      <c r="T91" s="10" t="n">
        <v>3800</v>
      </c>
      <c r="U91" s="10" t="n">
        <v>3800</v>
      </c>
      <c r="V91" s="10" t="n">
        <v>3800</v>
      </c>
      <c r="W91" s="10" t="n">
        <v>3800</v>
      </c>
      <c r="X91" s="10" t="n">
        <v>3800</v>
      </c>
      <c r="Y91" s="10" t="n">
        <v>3800</v>
      </c>
      <c r="Z91" s="10" t="n">
        <v>3800</v>
      </c>
      <c r="AA91" s="10" t="n">
        <v>3800</v>
      </c>
      <c r="AB91" s="10" t="n">
        <v>3800</v>
      </c>
      <c r="AC91" s="10" t="n">
        <v>3800</v>
      </c>
      <c r="AD91" s="10" t="n">
        <v>3800</v>
      </c>
      <c r="AE91" s="10" t="n">
        <v>3800</v>
      </c>
      <c r="AF91" s="10" t="n"/>
      <c r="AG91" s="13">
        <f>SUM(B91:AF91)</f>
        <v/>
      </c>
    </row>
    <row r="92" ht="16.5" customHeight="1" thickBot="1">
      <c r="A92" s="15" t="inlineStr">
        <is>
          <t>Total</t>
        </is>
      </c>
      <c r="B92">
        <f>SUM(B75:B91)</f>
        <v/>
      </c>
      <c r="C92">
        <f>SUM(C75:C91)</f>
        <v/>
      </c>
      <c r="D92">
        <f>SUM(D75:D91)</f>
        <v/>
      </c>
      <c r="E92">
        <f>SUM(E75:E91)</f>
        <v/>
      </c>
      <c r="F92">
        <f>SUM(F75:F91)</f>
        <v/>
      </c>
      <c r="G92">
        <f>SUM(G75:G91)</f>
        <v/>
      </c>
      <c r="H92">
        <f>SUM(H75:H91)</f>
        <v/>
      </c>
      <c r="I92">
        <f>SUM(I75:I91)</f>
        <v/>
      </c>
      <c r="J92">
        <f>SUM(J75:J91)</f>
        <v/>
      </c>
      <c r="K92">
        <f>SUM(K75:K91)</f>
        <v/>
      </c>
      <c r="L92">
        <f>SUM(L75:L91)</f>
        <v/>
      </c>
      <c r="M92">
        <f>SUM(M75:M91)</f>
        <v/>
      </c>
      <c r="N92">
        <f>SUM(N75:N91)</f>
        <v/>
      </c>
      <c r="O92">
        <f>SUM(O75:O91)</f>
        <v/>
      </c>
      <c r="P92">
        <f>SUM(P75:P91)</f>
        <v/>
      </c>
      <c r="Q92">
        <f>SUM(Q75:Q91)</f>
        <v/>
      </c>
      <c r="R92">
        <f>SUM(R75:R91)</f>
        <v/>
      </c>
      <c r="S92">
        <f>SUM(S75:S91)</f>
        <v/>
      </c>
      <c r="T92">
        <f>SUM(T75:T91)</f>
        <v/>
      </c>
      <c r="U92">
        <f>SUM(U75:U91)</f>
        <v/>
      </c>
      <c r="V92">
        <f>SUM(V75:V91)</f>
        <v/>
      </c>
      <c r="W92">
        <f>SUM(W75:W91)</f>
        <v/>
      </c>
      <c r="X92">
        <f>SUM(X75:X91)</f>
        <v/>
      </c>
      <c r="Y92">
        <f>SUM(Y75:Y91)</f>
        <v/>
      </c>
      <c r="Z92">
        <f>SUM(Z75:Z91)</f>
        <v/>
      </c>
      <c r="AA92">
        <f>SUM(AA75:AA91)</f>
        <v/>
      </c>
      <c r="AB92">
        <f>SUM(AB75:AB91)</f>
        <v/>
      </c>
      <c r="AC92">
        <f>SUM(AC75:AC91)</f>
        <v/>
      </c>
      <c r="AD92">
        <f>SUM(AD75:AD91)</f>
        <v/>
      </c>
      <c r="AE92">
        <f>SUM(AE75:AE91)</f>
        <v/>
      </c>
      <c r="AG92" s="252">
        <f>SUM(AG75:AG91)</f>
        <v/>
      </c>
    </row>
    <row r="93" ht="15.75" customHeight="1" thickTop="1">
      <c r="A93" s="15" t="inlineStr">
        <is>
          <t>Ruunning Total</t>
        </is>
      </c>
      <c r="B93">
        <f>B92</f>
        <v/>
      </c>
      <c r="C93">
        <f>B93+C92</f>
        <v/>
      </c>
      <c r="D93">
        <f>C93+D92</f>
        <v/>
      </c>
      <c r="E93">
        <f>D93+E92</f>
        <v/>
      </c>
      <c r="F93">
        <f>E93+F92</f>
        <v/>
      </c>
      <c r="G93">
        <f>F93+G92</f>
        <v/>
      </c>
      <c r="H93">
        <f>G93+H92</f>
        <v/>
      </c>
      <c r="I93">
        <f>H93+I92</f>
        <v/>
      </c>
      <c r="J93">
        <f>I93+J92</f>
        <v/>
      </c>
      <c r="K93">
        <f>J93+K92</f>
        <v/>
      </c>
      <c r="L93">
        <f>K93+L92</f>
        <v/>
      </c>
      <c r="M93">
        <f>L93+M92</f>
        <v/>
      </c>
      <c r="N93">
        <f>M93+N92</f>
        <v/>
      </c>
      <c r="O93">
        <f>N93+O92</f>
        <v/>
      </c>
      <c r="P93">
        <f>O93+P92</f>
        <v/>
      </c>
      <c r="Q93">
        <f>P93+Q92</f>
        <v/>
      </c>
      <c r="R93">
        <f>Q93+R92</f>
        <v/>
      </c>
      <c r="S93">
        <f>R93+S92</f>
        <v/>
      </c>
      <c r="T93">
        <f>S93+T92</f>
        <v/>
      </c>
      <c r="U93">
        <f>T93+U92</f>
        <v/>
      </c>
      <c r="V93">
        <f>U93+V92</f>
        <v/>
      </c>
      <c r="W93">
        <f>V93+W92</f>
        <v/>
      </c>
      <c r="X93">
        <f>W93+X92</f>
        <v/>
      </c>
      <c r="Y93">
        <f>X93+Y92</f>
        <v/>
      </c>
      <c r="Z93">
        <f>Y93+Z92</f>
        <v/>
      </c>
      <c r="AA93">
        <f>Z93+AA92</f>
        <v/>
      </c>
      <c r="AB93">
        <f>AA93+AB92</f>
        <v/>
      </c>
      <c r="AC93">
        <f>AB93+AC92</f>
        <v/>
      </c>
      <c r="AD93">
        <f>AC93+AD92</f>
        <v/>
      </c>
      <c r="AE93">
        <f>AD93+AE92</f>
        <v/>
      </c>
    </row>
    <row r="96">
      <c r="A96" s="1" t="n"/>
      <c r="B96" s="2" t="inlineStr">
        <is>
          <t>November</t>
        </is>
      </c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2" t="n"/>
      <c r="M96" s="2" t="n"/>
      <c r="N96" s="2" t="n"/>
      <c r="O96" s="2" t="n"/>
      <c r="P96" s="2" t="n"/>
      <c r="Q96" s="2" t="n"/>
      <c r="R96" s="2" t="n"/>
      <c r="S96" s="2" t="n"/>
      <c r="T96" s="2" t="n"/>
      <c r="U96" s="2" t="n"/>
      <c r="V96" s="2" t="n"/>
      <c r="W96" s="2" t="n"/>
      <c r="X96" s="2" t="n"/>
      <c r="Y96" s="2" t="n"/>
      <c r="Z96" s="2" t="n"/>
      <c r="AA96" s="2" t="n"/>
      <c r="AB96" s="2" t="n"/>
      <c r="AC96" s="2" t="n"/>
      <c r="AD96" s="2" t="n"/>
      <c r="AE96" s="1" t="n"/>
      <c r="AF96" s="1" t="n"/>
      <c r="AG96" s="1" t="n"/>
    </row>
    <row r="97" ht="15.75" customHeight="1">
      <c r="A97" s="1" t="n"/>
      <c r="B97" s="2" t="inlineStr">
        <is>
          <t>Friday</t>
        </is>
      </c>
      <c r="C97" s="2" t="inlineStr">
        <is>
          <t>Saturday</t>
        </is>
      </c>
      <c r="D97" s="2" t="inlineStr">
        <is>
          <t>Sunday</t>
        </is>
      </c>
      <c r="E97" s="2" t="inlineStr">
        <is>
          <t>Monday</t>
        </is>
      </c>
      <c r="F97" s="2" t="inlineStr">
        <is>
          <t>Tuesday</t>
        </is>
      </c>
      <c r="G97" s="2" t="inlineStr">
        <is>
          <t>Wednesday</t>
        </is>
      </c>
      <c r="H97" s="2" t="inlineStr">
        <is>
          <t>Thursday</t>
        </is>
      </c>
      <c r="I97" s="2" t="inlineStr">
        <is>
          <t>Friday</t>
        </is>
      </c>
      <c r="J97" s="2" t="inlineStr">
        <is>
          <t>Saturday</t>
        </is>
      </c>
      <c r="K97" s="2" t="inlineStr">
        <is>
          <t>Sunday</t>
        </is>
      </c>
      <c r="L97" s="2" t="inlineStr">
        <is>
          <t>Monday</t>
        </is>
      </c>
      <c r="M97" s="2" t="inlineStr">
        <is>
          <t>Tuesday</t>
        </is>
      </c>
      <c r="N97" s="2" t="inlineStr">
        <is>
          <t>Wednesday</t>
        </is>
      </c>
      <c r="O97" s="2" t="inlineStr">
        <is>
          <t>Thursday</t>
        </is>
      </c>
      <c r="P97" s="2" t="inlineStr">
        <is>
          <t>Friday</t>
        </is>
      </c>
      <c r="Q97" s="2" t="inlineStr">
        <is>
          <t>Saturday</t>
        </is>
      </c>
      <c r="R97" s="2" t="inlineStr">
        <is>
          <t>Sunday</t>
        </is>
      </c>
      <c r="S97" s="2" t="inlineStr">
        <is>
          <t>Monday</t>
        </is>
      </c>
      <c r="T97" s="2" t="inlineStr">
        <is>
          <t>Tuesday</t>
        </is>
      </c>
      <c r="U97" s="2" t="inlineStr">
        <is>
          <t>Wednesday</t>
        </is>
      </c>
      <c r="V97" s="2" t="inlineStr">
        <is>
          <t>Thursday</t>
        </is>
      </c>
      <c r="W97" s="2" t="inlineStr">
        <is>
          <t>Friday</t>
        </is>
      </c>
      <c r="X97" s="2" t="inlineStr">
        <is>
          <t>Saturday</t>
        </is>
      </c>
      <c r="Y97" s="2" t="inlineStr">
        <is>
          <t>Sunday</t>
        </is>
      </c>
      <c r="Z97" s="2" t="inlineStr">
        <is>
          <t>Monday</t>
        </is>
      </c>
      <c r="AA97" s="2" t="inlineStr">
        <is>
          <t>Tuesday</t>
        </is>
      </c>
      <c r="AB97" s="2" t="inlineStr">
        <is>
          <t>Wednesday</t>
        </is>
      </c>
      <c r="AC97" s="2" t="inlineStr">
        <is>
          <t>Thursday</t>
        </is>
      </c>
      <c r="AD97" s="2" t="inlineStr">
        <is>
          <t>Friday</t>
        </is>
      </c>
      <c r="AE97" s="2" t="inlineStr">
        <is>
          <t>Saturday</t>
        </is>
      </c>
      <c r="AF97" s="9" t="n"/>
      <c r="AG97" s="2" t="inlineStr">
        <is>
          <t>Total</t>
        </is>
      </c>
    </row>
    <row r="98" ht="15.75" customHeight="1">
      <c r="A98" s="1" t="n"/>
      <c r="B98" s="6" t="inlineStr">
        <is>
          <t>1st</t>
        </is>
      </c>
      <c r="C98" s="6" t="inlineStr">
        <is>
          <t>2nd</t>
        </is>
      </c>
      <c r="D98" s="6" t="inlineStr">
        <is>
          <t>3rd</t>
        </is>
      </c>
      <c r="E98" s="3" t="inlineStr">
        <is>
          <t>4th</t>
        </is>
      </c>
      <c r="F98" s="3" t="inlineStr">
        <is>
          <t>5th</t>
        </is>
      </c>
      <c r="G98" s="3" t="inlineStr">
        <is>
          <t>6th</t>
        </is>
      </c>
      <c r="H98" s="3" t="inlineStr">
        <is>
          <t>7th</t>
        </is>
      </c>
      <c r="I98" s="3" t="inlineStr">
        <is>
          <t>8th</t>
        </is>
      </c>
      <c r="J98" s="3" t="inlineStr">
        <is>
          <t>9th</t>
        </is>
      </c>
      <c r="K98" s="3" t="inlineStr">
        <is>
          <t>10th</t>
        </is>
      </c>
      <c r="L98" s="4" t="inlineStr">
        <is>
          <t>11th</t>
        </is>
      </c>
      <c r="M98" s="4" t="inlineStr">
        <is>
          <t>12th</t>
        </is>
      </c>
      <c r="N98" s="4" t="inlineStr">
        <is>
          <t>13th</t>
        </is>
      </c>
      <c r="O98" s="4" t="inlineStr">
        <is>
          <t>14th</t>
        </is>
      </c>
      <c r="P98" s="4" t="inlineStr">
        <is>
          <t>15th</t>
        </is>
      </c>
      <c r="Q98" s="4" t="inlineStr">
        <is>
          <t>16th</t>
        </is>
      </c>
      <c r="R98" s="4" t="inlineStr">
        <is>
          <t>17th</t>
        </is>
      </c>
      <c r="S98" s="5" t="inlineStr">
        <is>
          <t>18th</t>
        </is>
      </c>
      <c r="T98" s="5" t="inlineStr">
        <is>
          <t>19th</t>
        </is>
      </c>
      <c r="U98" s="5" t="inlineStr">
        <is>
          <t>20th</t>
        </is>
      </c>
      <c r="V98" s="5" t="inlineStr">
        <is>
          <t>21st</t>
        </is>
      </c>
      <c r="W98" s="5" t="inlineStr">
        <is>
          <t>22nd</t>
        </is>
      </c>
      <c r="X98" s="5" t="inlineStr">
        <is>
          <t>23rd</t>
        </is>
      </c>
      <c r="Y98" s="5" t="inlineStr">
        <is>
          <t>24th</t>
        </is>
      </c>
      <c r="Z98" s="6" t="inlineStr">
        <is>
          <t>25th</t>
        </is>
      </c>
      <c r="AA98" s="6" t="inlineStr">
        <is>
          <t>26th</t>
        </is>
      </c>
      <c r="AB98" s="6" t="inlineStr">
        <is>
          <t>27th</t>
        </is>
      </c>
      <c r="AC98" s="6" t="inlineStr">
        <is>
          <t>28th</t>
        </is>
      </c>
      <c r="AD98" s="6" t="inlineStr">
        <is>
          <t>29th</t>
        </is>
      </c>
      <c r="AE98" s="6" t="inlineStr">
        <is>
          <t>30th</t>
        </is>
      </c>
      <c r="AF98" s="9" t="n"/>
      <c r="AG98" s="1" t="n"/>
    </row>
    <row r="99" ht="15.75" customHeight="1">
      <c r="A99" s="8" t="inlineStr">
        <is>
          <t>B-HAM CITY COUNCIL-200790-70489166</t>
        </is>
      </c>
      <c r="B99" s="12" t="n"/>
      <c r="C99" s="12" t="n"/>
      <c r="D99" s="12" t="n"/>
      <c r="E99" s="12" t="n"/>
      <c r="F99" s="12" t="n"/>
      <c r="G99" s="12" t="n"/>
      <c r="H99" s="12" t="n"/>
      <c r="I99" s="12" t="n"/>
      <c r="J99" s="12" t="n"/>
      <c r="K99" s="12" t="n"/>
      <c r="L99" s="12" t="n"/>
      <c r="M99" s="12" t="n"/>
      <c r="N99" s="12" t="n"/>
      <c r="O99" s="12" t="n"/>
      <c r="P99" s="12" t="n"/>
      <c r="Q99" s="12" t="n"/>
      <c r="R99" s="12" t="n"/>
      <c r="S99" s="12" t="n"/>
      <c r="T99" s="12" t="n"/>
      <c r="U99" s="12" t="n"/>
      <c r="V99" s="12" t="n"/>
      <c r="W99" s="12">
        <f>5041.28</f>
        <v/>
      </c>
      <c r="X99" s="12" t="n"/>
      <c r="Y99" s="12" t="n"/>
      <c r="Z99" s="12" t="n"/>
      <c r="AA99" s="12" t="n"/>
      <c r="AB99" s="12" t="n"/>
      <c r="AC99" s="12" t="n"/>
      <c r="AD99" s="12" t="n">
        <v>75502.24000000001</v>
      </c>
      <c r="AE99" s="12" t="n"/>
      <c r="AG99" s="13">
        <f>SUM(B99:AE99)</f>
        <v/>
      </c>
    </row>
    <row r="100" ht="15.75" customHeight="1">
      <c r="A100" s="8" t="inlineStr">
        <is>
          <t>Buckingham</t>
        </is>
      </c>
      <c r="B100" s="12" t="n"/>
      <c r="C100" s="9" t="n"/>
      <c r="D100" s="9" t="n"/>
      <c r="E100" s="9" t="n"/>
      <c r="F100" s="9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9" t="n"/>
      <c r="P100" s="9" t="n"/>
      <c r="Q100" s="12" t="n"/>
      <c r="R100" s="9" t="n"/>
      <c r="S100" s="12" t="n">
        <v>4937.64</v>
      </c>
      <c r="T100" s="9" t="n"/>
      <c r="U100" s="9" t="n"/>
      <c r="V100" s="9" t="n"/>
      <c r="W100" s="9" t="n"/>
      <c r="X100" s="9" t="n"/>
      <c r="Y100" s="9" t="n"/>
      <c r="Z100" s="9" t="n"/>
      <c r="AA100" s="12" t="n">
        <v>5134.44</v>
      </c>
      <c r="AB100" s="9" t="n"/>
      <c r="AC100" s="9" t="n"/>
      <c r="AD100" s="9" t="n"/>
      <c r="AE100" s="12" t="n"/>
      <c r="AG100" s="13">
        <f>SUM(B100:AE100)</f>
        <v/>
      </c>
    </row>
    <row r="101" ht="15.75" customHeight="1">
      <c r="A101" s="8" t="inlineStr">
        <is>
          <t>Sandwell respite est</t>
        </is>
      </c>
      <c r="B101" s="12" t="n"/>
      <c r="C101" s="9" t="n"/>
      <c r="D101" s="9" t="n"/>
      <c r="E101" s="9" t="n"/>
      <c r="F101" s="9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9" t="n"/>
      <c r="P101" s="9" t="n"/>
      <c r="Q101" s="9" t="n"/>
      <c r="R101" s="9" t="n"/>
      <c r="S101" s="9" t="n"/>
      <c r="T101" s="9" t="n"/>
      <c r="U101" s="9" t="n"/>
      <c r="V101" s="9" t="n"/>
      <c r="W101" s="9" t="n"/>
      <c r="X101" s="9" t="n"/>
      <c r="Y101" s="9" t="n"/>
      <c r="Z101" s="9" t="n"/>
      <c r="AA101" s="9" t="n"/>
      <c r="AB101" s="9" t="n"/>
      <c r="AC101" s="9" t="n"/>
      <c r="AD101" s="12" t="n"/>
      <c r="AE101" s="9" t="n">
        <v>20000</v>
      </c>
      <c r="AG101" s="13">
        <f>SUM(B101:AE101)</f>
        <v/>
      </c>
    </row>
    <row r="102" ht="15.75" customHeight="1">
      <c r="A102" s="8" t="inlineStr">
        <is>
          <t xml:space="preserve">Wolverhampton respite est </t>
        </is>
      </c>
      <c r="B102" s="12" t="n"/>
      <c r="C102" s="9" t="n"/>
      <c r="D102" s="9" t="n"/>
      <c r="E102" s="9" t="n"/>
      <c r="F102" s="9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9" t="n"/>
      <c r="P102" s="9" t="n"/>
      <c r="Q102" s="9" t="n"/>
      <c r="R102" s="9" t="n"/>
      <c r="S102" s="9" t="n"/>
      <c r="T102" s="9" t="n"/>
      <c r="U102" s="9" t="n"/>
      <c r="V102" s="9" t="n"/>
      <c r="W102" s="9" t="n"/>
      <c r="X102" s="9" t="n"/>
      <c r="Y102" s="9" t="n"/>
      <c r="Z102" s="9" t="n"/>
      <c r="AA102" s="9" t="n"/>
      <c r="AB102" s="9" t="n"/>
      <c r="AC102" s="9" t="n"/>
      <c r="AD102" s="12" t="n"/>
      <c r="AE102" s="9" t="n">
        <v>30000</v>
      </c>
      <c r="AG102" s="13">
        <f>SUM(B102:AE102)</f>
        <v/>
      </c>
    </row>
    <row r="103" ht="15.75" customHeight="1">
      <c r="A103" s="8" t="inlineStr">
        <is>
          <t>Walsall Respite</t>
        </is>
      </c>
      <c r="B103" s="12" t="n"/>
      <c r="C103" s="9" t="n"/>
      <c r="D103" s="9" t="n"/>
      <c r="E103" s="9" t="n"/>
      <c r="F103" s="12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9" t="n"/>
      <c r="P103" s="9" t="n"/>
      <c r="Q103" s="9" t="n"/>
      <c r="R103" s="9" t="n"/>
      <c r="S103" s="9" t="n"/>
      <c r="T103" s="9" t="n"/>
      <c r="U103" s="9" t="n"/>
      <c r="V103" s="9" t="n"/>
      <c r="W103" s="9" t="n"/>
      <c r="X103" s="9" t="n"/>
      <c r="Y103" s="9" t="n"/>
      <c r="Z103" s="9" t="n"/>
      <c r="AA103" s="9" t="n"/>
      <c r="AB103" s="9" t="n"/>
      <c r="AC103" s="9" t="n"/>
      <c r="AD103" s="12" t="n"/>
      <c r="AE103" s="9" t="n">
        <v>15000</v>
      </c>
      <c r="AG103" s="13">
        <f>SUM(B103:AE103)</f>
        <v/>
      </c>
    </row>
    <row r="104" ht="18.75" customHeight="1">
      <c r="A104" s="8" t="inlineStr">
        <is>
          <t>Ideal for All Ltd</t>
        </is>
      </c>
      <c r="B104" s="12" t="n"/>
      <c r="C104" s="12" t="n"/>
      <c r="D104" s="12" t="n"/>
      <c r="E104" s="12" t="n">
        <v>3344</v>
      </c>
      <c r="F104" s="9" t="n"/>
      <c r="G104" s="12" t="n"/>
      <c r="H104" s="11" t="n">
        <v>3661.88</v>
      </c>
      <c r="I104" s="9" t="n"/>
      <c r="J104" s="9" t="n"/>
      <c r="K104" s="9" t="n"/>
      <c r="L104" s="12" t="n">
        <v>2536.8</v>
      </c>
      <c r="M104" s="12" t="n"/>
      <c r="N104" s="12" t="n"/>
      <c r="O104" s="12" t="n"/>
      <c r="P104" s="9" t="n"/>
      <c r="Q104" s="9" t="n"/>
      <c r="R104" s="9" t="n"/>
      <c r="S104" s="9" t="n"/>
      <c r="T104" s="9" t="n"/>
      <c r="U104" s="9" t="n"/>
      <c r="V104" s="9" t="n"/>
      <c r="W104" s="9" t="n"/>
      <c r="X104" s="9" t="n"/>
      <c r="Y104" s="9" t="n"/>
      <c r="Z104" s="9" t="n"/>
      <c r="AA104" s="9" t="n"/>
      <c r="AB104" s="9" t="n"/>
      <c r="AC104" s="9" t="n"/>
      <c r="AD104" s="9" t="n"/>
      <c r="AE104" s="12" t="n"/>
      <c r="AG104" s="13">
        <f>SUM(B104:AE104)</f>
        <v/>
      </c>
    </row>
    <row r="105" ht="15.75" customHeight="1">
      <c r="A105" s="8" t="inlineStr">
        <is>
          <t>KIRKLEES COUNCIL-204312-63046958</t>
        </is>
      </c>
      <c r="B105" s="12" t="n"/>
      <c r="C105" s="12" t="n"/>
      <c r="D105" s="9" t="n"/>
      <c r="E105" s="12" t="n"/>
      <c r="F105" s="9" t="n"/>
      <c r="G105" s="9" t="n"/>
      <c r="H105" s="12" t="n"/>
      <c r="I105" s="9" t="n"/>
      <c r="J105" s="12" t="n"/>
      <c r="K105" s="9" t="n"/>
      <c r="L105" s="9" t="n"/>
      <c r="M105" s="9" t="n"/>
      <c r="N105" s="9" t="n"/>
      <c r="O105" s="12" t="n"/>
      <c r="P105" s="12" t="n">
        <v>5554.89</v>
      </c>
      <c r="Q105" s="12" t="n"/>
      <c r="R105" s="9" t="n"/>
      <c r="S105" s="9" t="n"/>
      <c r="T105" s="9" t="n"/>
      <c r="U105" s="9" t="n"/>
      <c r="V105" s="9" t="n"/>
      <c r="W105" s="9" t="n"/>
      <c r="X105" s="9" t="n"/>
      <c r="Y105" s="9" t="n"/>
      <c r="Z105" s="9" t="n"/>
      <c r="AA105" s="9" t="n"/>
      <c r="AB105" s="9" t="n"/>
      <c r="AC105" s="9" t="n"/>
      <c r="AD105" s="12" t="n"/>
      <c r="AE105" s="12" t="n"/>
      <c r="AG105" s="13">
        <f>SUM(B105:AE105)</f>
        <v/>
      </c>
    </row>
    <row r="106" ht="15.75" customHeight="1">
      <c r="A106" s="8" t="inlineStr">
        <is>
          <t>LBH PAYMENTS BACS-602210-72430192</t>
        </is>
      </c>
      <c r="B106" s="12" t="n"/>
      <c r="C106" s="9" t="n"/>
      <c r="D106" s="9" t="n"/>
      <c r="E106" s="12" t="n"/>
      <c r="F106" s="9" t="n"/>
      <c r="G106" s="9" t="n"/>
      <c r="H106" s="9" t="n"/>
      <c r="I106" s="9" t="n"/>
      <c r="J106" s="9" t="n"/>
      <c r="K106" s="12" t="n"/>
      <c r="L106" s="9" t="n"/>
      <c r="M106" s="9" t="n"/>
      <c r="N106" s="9" t="n"/>
      <c r="O106" s="9" t="n">
        <v>5040</v>
      </c>
      <c r="P106" s="9" t="n"/>
      <c r="Q106" s="9" t="n"/>
      <c r="R106" s="9" t="n"/>
      <c r="S106" s="9" t="n"/>
      <c r="T106" s="9" t="n"/>
      <c r="U106" s="9" t="n"/>
      <c r="V106" s="9" t="n"/>
      <c r="W106" s="9" t="n"/>
      <c r="X106" s="9" t="n"/>
      <c r="Y106" s="9" t="n"/>
      <c r="Z106" s="9" t="n"/>
      <c r="AA106" s="9" t="n"/>
      <c r="AB106" s="9" t="n"/>
      <c r="AC106" s="9" t="n"/>
      <c r="AD106" s="9" t="n"/>
      <c r="AE106" s="12" t="n"/>
      <c r="AG106" s="13">
        <f>SUM(B106:AE106)</f>
        <v/>
      </c>
    </row>
    <row r="107" ht="15.75" customHeight="1">
      <c r="A107" s="8" t="inlineStr">
        <is>
          <t>NHS BIRMINGHAM &amp; S-607080-10017097</t>
        </is>
      </c>
      <c r="B107" s="12" t="n"/>
      <c r="C107" s="12" t="n"/>
      <c r="D107" s="12" t="n"/>
      <c r="E107" s="12" t="n">
        <v>7121.63</v>
      </c>
      <c r="F107" s="12" t="n"/>
      <c r="G107" s="12" t="n"/>
      <c r="H107" s="12" t="n"/>
      <c r="I107" s="9" t="inlineStr"/>
      <c r="J107" s="9" t="n"/>
      <c r="K107" s="9" t="n"/>
      <c r="L107" s="9" t="n"/>
      <c r="M107" s="9" t="n"/>
      <c r="N107" s="9" t="n"/>
      <c r="O107" s="9" t="n"/>
      <c r="P107" s="9" t="n"/>
      <c r="Q107" s="9" t="n"/>
      <c r="R107" s="9" t="n"/>
      <c r="S107" s="9" t="n"/>
      <c r="T107" s="9" t="n"/>
      <c r="U107" s="9" t="n"/>
      <c r="V107" s="9" t="n"/>
      <c r="W107" s="9" t="n"/>
      <c r="X107" s="9" t="n"/>
      <c r="Y107" s="9" t="n"/>
      <c r="Z107" s="9" t="n"/>
      <c r="AA107" s="9" t="n"/>
      <c r="AB107" s="9" t="n"/>
      <c r="AC107" s="9" t="n"/>
      <c r="AD107" s="9" t="n"/>
      <c r="AE107" s="12" t="n"/>
      <c r="AG107" s="13">
        <f>SUM(B107:AE107)</f>
        <v/>
      </c>
    </row>
    <row r="108" ht="15.75" customHeight="1">
      <c r="A108" s="8" t="inlineStr">
        <is>
          <t>NHS BLACK COUNTRY-607080-10015272</t>
        </is>
      </c>
      <c r="B108" s="12" t="n"/>
      <c r="C108" s="12" t="n"/>
      <c r="D108" s="12" t="n"/>
      <c r="E108" s="12" t="n"/>
      <c r="F108" s="12" t="n"/>
      <c r="G108" s="12" t="n"/>
      <c r="H108" s="9" t="inlineStr"/>
      <c r="I108" s="9" t="n"/>
      <c r="J108" s="9" t="n"/>
      <c r="K108" s="9" t="n"/>
      <c r="L108" s="12" t="n">
        <v>13185.64</v>
      </c>
      <c r="M108" s="12" t="n"/>
      <c r="N108" s="9" t="n"/>
      <c r="O108" s="9" t="n"/>
      <c r="P108" s="9" t="n"/>
      <c r="Q108" s="9" t="n"/>
      <c r="R108" s="12" t="n"/>
      <c r="S108" s="9" t="n"/>
      <c r="T108" s="9" t="n"/>
      <c r="U108" s="9" t="n"/>
      <c r="V108" s="9" t="n"/>
      <c r="W108" s="9" t="n"/>
      <c r="X108" s="9" t="n"/>
      <c r="Y108" s="9" t="n"/>
      <c r="Z108" s="12" t="n">
        <v>8073.21</v>
      </c>
      <c r="AA108" s="9" t="n"/>
      <c r="AB108" s="12" t="n"/>
      <c r="AC108" s="12" t="n"/>
      <c r="AD108" s="12" t="n"/>
      <c r="AE108" s="12" t="n"/>
      <c r="AG108" s="13">
        <f>SUM(B108:AE108)</f>
        <v/>
      </c>
    </row>
    <row r="109" ht="15.75" customHeight="1">
      <c r="A109" s="14" t="inlineStr">
        <is>
          <t>SANDWELL MBC  BEN-601539-69624151</t>
        </is>
      </c>
      <c r="B109" s="12" t="n"/>
      <c r="C109" s="9" t="inlineStr"/>
      <c r="D109" s="12" t="n"/>
      <c r="E109" s="9" t="inlineStr"/>
      <c r="F109" s="9" t="inlineStr"/>
      <c r="G109" s="12" t="inlineStr">
        <is>
          <t>.</t>
        </is>
      </c>
      <c r="H109" s="12" t="n"/>
      <c r="I109" s="9" t="n"/>
      <c r="J109" s="9" t="n"/>
      <c r="K109" s="9" t="n"/>
      <c r="L109" s="9" t="n"/>
      <c r="M109" s="12" t="n"/>
      <c r="N109" s="12" t="n"/>
      <c r="O109" s="9" t="n"/>
      <c r="P109" s="9" t="n"/>
      <c r="Q109" s="9" t="n"/>
      <c r="R109" s="9" t="n"/>
      <c r="S109" s="12" t="n"/>
      <c r="T109" s="9" t="n"/>
      <c r="U109" s="9" t="n"/>
      <c r="V109" s="9" t="n"/>
      <c r="W109" s="12" t="n">
        <v>3000</v>
      </c>
      <c r="X109" s="9" t="n"/>
      <c r="Y109" s="9" t="n"/>
      <c r="Z109" s="9" t="n"/>
      <c r="AA109" s="12" t="n"/>
      <c r="AB109" s="12" t="n"/>
      <c r="AC109" s="12" t="n"/>
      <c r="AD109" s="12" t="n"/>
      <c r="AE109" s="12" t="n"/>
      <c r="AG109" s="13">
        <f>SUM(B109:AE109)</f>
        <v/>
      </c>
    </row>
    <row r="110" ht="15.75" customHeight="1">
      <c r="A110" s="14" t="inlineStr">
        <is>
          <t>SANDWELL MBC-601539-69624135</t>
        </is>
      </c>
      <c r="B110" s="12" t="n"/>
      <c r="C110" s="12" t="n"/>
      <c r="D110" s="12" t="n"/>
      <c r="E110" s="12" t="n"/>
      <c r="F110" s="12" t="n"/>
      <c r="G110" s="12" t="n"/>
      <c r="H110" s="12" t="n"/>
      <c r="I110" s="12" t="n"/>
      <c r="J110" s="12" t="n"/>
      <c r="K110" s="12" t="n"/>
      <c r="L110" s="12" t="n"/>
      <c r="M110" s="9" t="n">
        <v>120000</v>
      </c>
      <c r="N110" s="12" t="n"/>
      <c r="O110" s="12" t="n"/>
      <c r="P110" s="12" t="n"/>
      <c r="Q110" s="12" t="n"/>
      <c r="R110" s="12" t="n"/>
      <c r="S110" s="12" t="n"/>
      <c r="T110" s="12" t="n"/>
      <c r="U110" s="12" t="n"/>
      <c r="V110" s="12" t="n"/>
      <c r="W110" s="12" t="n"/>
      <c r="X110" s="12" t="n"/>
      <c r="Y110" s="12" t="n"/>
      <c r="Z110" s="12" t="n"/>
      <c r="AA110" s="9" t="n">
        <v>120000</v>
      </c>
      <c r="AB110" s="12" t="n"/>
      <c r="AC110" s="12" t="n"/>
      <c r="AD110" s="12" t="n"/>
      <c r="AE110" s="12" t="n"/>
      <c r="AG110" s="13">
        <f>SUM(B110:AE110)</f>
        <v/>
      </c>
    </row>
    <row r="111" ht="15.75" customHeight="1">
      <c r="A111" s="15" t="inlineStr">
        <is>
          <t>SOLIHULL MBC EXP.-200771-00561525</t>
        </is>
      </c>
      <c r="B111" s="12" t="n"/>
      <c r="C111" s="12" t="n"/>
      <c r="D111" s="12" t="n"/>
      <c r="E111" s="12" t="n">
        <v>32000</v>
      </c>
      <c r="F111" s="12" t="n"/>
      <c r="G111" s="12" t="n"/>
      <c r="H111" s="12" t="n"/>
      <c r="I111" s="12" t="n"/>
      <c r="J111" s="12" t="n"/>
      <c r="K111" s="12" t="n"/>
      <c r="L111" s="12" t="n"/>
      <c r="M111" s="12" t="n"/>
      <c r="N111" s="12" t="n"/>
      <c r="O111" s="12" t="n"/>
      <c r="P111" s="12" t="n"/>
      <c r="Q111" s="12" t="n"/>
      <c r="R111" s="12" t="n"/>
      <c r="S111" s="12" t="n"/>
      <c r="T111" s="12" t="n"/>
      <c r="U111" s="12" t="n"/>
      <c r="V111" s="12" t="n"/>
      <c r="W111" s="12" t="n"/>
      <c r="X111" s="12" t="n"/>
      <c r="Y111" s="12" t="n"/>
      <c r="Z111" s="12" t="n"/>
      <c r="AA111" s="12" t="n"/>
      <c r="AB111" s="12" t="n"/>
      <c r="AC111" s="12" t="n"/>
      <c r="AD111" s="12" t="n"/>
      <c r="AE111" s="12" t="n"/>
      <c r="AG111" s="13">
        <f>SUM(B111:AE111)</f>
        <v/>
      </c>
    </row>
    <row r="112" ht="15.75" customHeight="1">
      <c r="A112" s="15" t="inlineStr">
        <is>
          <t>WALSALL MBC BARC-209073-10731692</t>
        </is>
      </c>
      <c r="B112" s="12" t="n"/>
      <c r="C112" s="12" t="n"/>
      <c r="D112" s="12" t="n"/>
      <c r="E112" s="12" t="n"/>
      <c r="F112" s="12" t="n"/>
      <c r="G112" s="12" t="n"/>
      <c r="H112" s="12" t="n"/>
      <c r="I112" s="12" t="n"/>
      <c r="J112" s="12" t="n"/>
      <c r="K112" s="12" t="n"/>
      <c r="L112" s="12" t="n"/>
      <c r="M112" s="12" t="n"/>
      <c r="N112" s="12" t="n"/>
      <c r="O112" s="12" t="n"/>
      <c r="P112" s="12" t="n"/>
      <c r="Q112" s="12" t="n"/>
      <c r="R112" s="12" t="n"/>
      <c r="S112" s="12" t="n"/>
      <c r="T112" s="9" t="n">
        <v>187000</v>
      </c>
      <c r="U112" s="12" t="n"/>
      <c r="V112" s="12" t="n"/>
      <c r="W112" s="12" t="n"/>
      <c r="X112" s="12" t="n"/>
      <c r="Y112" s="12" t="n"/>
      <c r="Z112" s="12" t="n"/>
      <c r="AA112" s="12" t="n"/>
      <c r="AB112" s="12" t="n"/>
      <c r="AC112" s="12" t="n"/>
      <c r="AD112" s="12" t="n"/>
      <c r="AE112" s="12" t="n"/>
      <c r="AG112" s="13">
        <f>SUM(B112:AE112)</f>
        <v/>
      </c>
    </row>
    <row r="113" ht="15.75" customHeight="1">
      <c r="A113" s="15" t="inlineStr">
        <is>
          <t>WOLVERHAMPTON CC-560069-44470320</t>
        </is>
      </c>
      <c r="B113" s="12" t="n"/>
      <c r="C113" s="12" t="n"/>
      <c r="D113" s="12" t="n"/>
      <c r="E113" s="12" t="n"/>
      <c r="F113" s="12" t="n"/>
      <c r="G113" s="12" t="n"/>
      <c r="H113" s="9" t="n">
        <v>112000</v>
      </c>
      <c r="I113" s="12" t="n"/>
      <c r="J113" s="12" t="n"/>
      <c r="K113" s="12" t="n"/>
      <c r="L113" s="12" t="n"/>
      <c r="M113" s="12" t="n"/>
      <c r="N113" s="12" t="n"/>
      <c r="O113" s="9" t="n">
        <v>112000</v>
      </c>
      <c r="P113" s="12" t="n"/>
      <c r="Q113" s="12" t="n"/>
      <c r="R113" s="12" t="n"/>
      <c r="S113" s="12" t="n"/>
      <c r="T113" s="12" t="n"/>
      <c r="U113" s="12" t="n"/>
      <c r="V113" s="9" t="n">
        <v>112000</v>
      </c>
      <c r="W113" s="12" t="n"/>
      <c r="X113" s="12" t="n"/>
      <c r="Y113" s="12" t="n"/>
      <c r="Z113" s="12" t="n"/>
      <c r="AA113" s="12" t="n"/>
      <c r="AB113" s="12" t="n"/>
      <c r="AC113" s="9" t="n">
        <v>112000</v>
      </c>
      <c r="AD113" s="12" t="n"/>
      <c r="AE113" s="12" t="n"/>
      <c r="AG113" s="13">
        <f>SUM(B113:AE113)</f>
        <v/>
      </c>
    </row>
    <row r="114" ht="15.75" customHeight="1">
      <c r="A114" s="15" t="inlineStr">
        <is>
          <t>Portsmouth</t>
        </is>
      </c>
      <c r="B114" s="12" t="n"/>
      <c r="C114" s="12" t="n"/>
      <c r="D114" s="12" t="n"/>
      <c r="E114" s="12" t="n"/>
      <c r="F114" s="12" t="n"/>
      <c r="G114" s="12" t="n"/>
      <c r="H114" s="12" t="n"/>
      <c r="I114" s="12" t="n"/>
      <c r="J114" s="12" t="n"/>
      <c r="K114" s="12" t="n"/>
      <c r="L114" s="12" t="n"/>
      <c r="M114" s="12" t="n"/>
      <c r="N114" s="12" t="n"/>
      <c r="O114" s="12" t="n"/>
      <c r="P114" s="12" t="n"/>
      <c r="Q114" s="12" t="n"/>
      <c r="R114" s="12" t="n"/>
      <c r="S114" s="12" t="n"/>
      <c r="T114" s="12" t="n"/>
      <c r="U114" s="12" t="n"/>
      <c r="V114" s="12" t="n"/>
      <c r="W114" s="12" t="n"/>
      <c r="X114" s="12" t="n"/>
      <c r="Y114" s="12" t="n"/>
      <c r="Z114" s="9" t="n">
        <v>5247.86</v>
      </c>
      <c r="AA114" s="12" t="n"/>
      <c r="AB114" s="12" t="n"/>
      <c r="AC114" s="12" t="n"/>
      <c r="AD114" s="12" t="n"/>
      <c r="AE114" s="12" t="n"/>
      <c r="AG114" s="13">
        <f>SUM(B114:AE114)</f>
        <v/>
      </c>
    </row>
    <row r="115" ht="15.75" customHeight="1">
      <c r="A115" s="15" t="inlineStr">
        <is>
          <t>HB SC</t>
        </is>
      </c>
      <c r="B115" s="10" t="n">
        <v>3800</v>
      </c>
      <c r="C115" s="10" t="n">
        <v>3800</v>
      </c>
      <c r="D115" s="10" t="n">
        <v>3800</v>
      </c>
      <c r="E115" s="10" t="n">
        <v>3800</v>
      </c>
      <c r="F115" s="10" t="n">
        <v>3800</v>
      </c>
      <c r="G115" s="10" t="n">
        <v>3800</v>
      </c>
      <c r="H115" s="10" t="n">
        <v>3800</v>
      </c>
      <c r="I115" s="10" t="n">
        <v>3800</v>
      </c>
      <c r="J115" s="10" t="n">
        <v>3800</v>
      </c>
      <c r="K115" s="10" t="n">
        <v>3800</v>
      </c>
      <c r="L115" s="10" t="n">
        <v>3800</v>
      </c>
      <c r="M115" s="10" t="n">
        <v>3800</v>
      </c>
      <c r="N115" s="10" t="n">
        <v>3800</v>
      </c>
      <c r="O115" s="10" t="n">
        <v>3800</v>
      </c>
      <c r="P115" s="10" t="n">
        <v>3800</v>
      </c>
      <c r="Q115" s="10" t="n">
        <v>3800</v>
      </c>
      <c r="R115" s="10" t="n">
        <v>3800</v>
      </c>
      <c r="S115" s="10" t="n">
        <v>3800</v>
      </c>
      <c r="T115" s="10" t="n">
        <v>3800</v>
      </c>
      <c r="U115" s="10" t="n">
        <v>3800</v>
      </c>
      <c r="V115" s="10" t="n">
        <v>3800</v>
      </c>
      <c r="W115" s="10" t="n">
        <v>3800</v>
      </c>
      <c r="X115" s="10" t="n">
        <v>3800</v>
      </c>
      <c r="Y115" s="10" t="n">
        <v>3800</v>
      </c>
      <c r="Z115" s="10" t="n">
        <v>3800</v>
      </c>
      <c r="AA115" s="10" t="n">
        <v>3800</v>
      </c>
      <c r="AB115" s="10" t="n">
        <v>3800</v>
      </c>
      <c r="AC115" s="10" t="n">
        <v>3800</v>
      </c>
      <c r="AD115" s="10" t="n">
        <v>3800</v>
      </c>
      <c r="AE115" s="10" t="n">
        <v>3800</v>
      </c>
      <c r="AF115" s="16" t="n"/>
      <c r="AG115" s="13">
        <f>SUM(B115:AE115)</f>
        <v/>
      </c>
    </row>
    <row r="116" ht="16.5" customHeight="1" thickBot="1">
      <c r="A116" s="15" t="inlineStr">
        <is>
          <t>Total</t>
        </is>
      </c>
      <c r="B116">
        <f>SUM(B99:B115)</f>
        <v/>
      </c>
      <c r="C116">
        <f>SUM(C99:C115)</f>
        <v/>
      </c>
      <c r="D116">
        <f>SUM(D99:D115)</f>
        <v/>
      </c>
      <c r="E116">
        <f>SUM(E99:E115)</f>
        <v/>
      </c>
      <c r="F116">
        <f>SUM(F99:F115)</f>
        <v/>
      </c>
      <c r="G116">
        <f>SUM(G99:G115)</f>
        <v/>
      </c>
      <c r="H116">
        <f>SUM(H99:H115)</f>
        <v/>
      </c>
      <c r="I116">
        <f>SUM(I99:I115)</f>
        <v/>
      </c>
      <c r="J116">
        <f>SUM(J99:J115)</f>
        <v/>
      </c>
      <c r="K116">
        <f>SUM(K99:K115)</f>
        <v/>
      </c>
      <c r="L116">
        <f>SUM(L99:L115)</f>
        <v/>
      </c>
      <c r="M116">
        <f>SUM(M99:M115)</f>
        <v/>
      </c>
      <c r="N116">
        <f>SUM(N99:N115)</f>
        <v/>
      </c>
      <c r="O116">
        <f>SUM(O99:O115)</f>
        <v/>
      </c>
      <c r="P116">
        <f>SUM(P99:P115)</f>
        <v/>
      </c>
      <c r="Q116">
        <f>SUM(Q99:Q115)</f>
        <v/>
      </c>
      <c r="R116">
        <f>SUM(R99:R115)</f>
        <v/>
      </c>
      <c r="S116">
        <f>SUM(S99:S115)</f>
        <v/>
      </c>
      <c r="T116">
        <f>SUM(T99:T115)</f>
        <v/>
      </c>
      <c r="U116">
        <f>SUM(U99:U115)</f>
        <v/>
      </c>
      <c r="V116">
        <f>SUM(V99:V115)</f>
        <v/>
      </c>
      <c r="W116">
        <f>SUM(W99:W115)</f>
        <v/>
      </c>
      <c r="X116">
        <f>SUM(X99:X115)</f>
        <v/>
      </c>
      <c r="Y116">
        <f>SUM(Y99:Y115)</f>
        <v/>
      </c>
      <c r="Z116">
        <f>SUM(Z99:Z115)</f>
        <v/>
      </c>
      <c r="AA116">
        <f>SUM(AA99:AA115)</f>
        <v/>
      </c>
      <c r="AB116">
        <f>SUM(AB99:AB115)</f>
        <v/>
      </c>
      <c r="AC116">
        <f>SUM(AC99:AC115)</f>
        <v/>
      </c>
      <c r="AD116">
        <f>SUM(AD99:AD115)</f>
        <v/>
      </c>
      <c r="AE116">
        <f>SUM(AE99:AE115)</f>
        <v/>
      </c>
      <c r="AG116" s="252">
        <f>SUM(AG99:AG115)</f>
        <v/>
      </c>
    </row>
    <row r="117" ht="15.75" customHeight="1" thickTop="1">
      <c r="A117" s="15" t="inlineStr">
        <is>
          <t>Ruunning Total</t>
        </is>
      </c>
      <c r="B117">
        <f>B116</f>
        <v/>
      </c>
      <c r="C117">
        <f>B117+C116</f>
        <v/>
      </c>
      <c r="D117">
        <f>C117+D116</f>
        <v/>
      </c>
      <c r="E117">
        <f>D117+E116</f>
        <v/>
      </c>
      <c r="F117">
        <f>E117+F116</f>
        <v/>
      </c>
      <c r="G117">
        <f>F117+G116</f>
        <v/>
      </c>
      <c r="H117">
        <f>G117+H116</f>
        <v/>
      </c>
      <c r="I117">
        <f>H117+I116</f>
        <v/>
      </c>
      <c r="J117">
        <f>I117+J116</f>
        <v/>
      </c>
      <c r="K117">
        <f>J117+K116</f>
        <v/>
      </c>
      <c r="L117">
        <f>K117+L116</f>
        <v/>
      </c>
      <c r="M117">
        <f>L117+M116</f>
        <v/>
      </c>
      <c r="N117">
        <f>M117+N116</f>
        <v/>
      </c>
      <c r="O117">
        <f>N117+O116</f>
        <v/>
      </c>
      <c r="P117">
        <f>O117+P116</f>
        <v/>
      </c>
      <c r="Q117">
        <f>P117+Q116</f>
        <v/>
      </c>
      <c r="R117">
        <f>Q117+R116</f>
        <v/>
      </c>
      <c r="S117">
        <f>R117+S116</f>
        <v/>
      </c>
      <c r="T117">
        <f>S117+T116</f>
        <v/>
      </c>
      <c r="U117">
        <f>T117+U116</f>
        <v/>
      </c>
      <c r="V117">
        <f>U117+V116</f>
        <v/>
      </c>
      <c r="W117">
        <f>V117+W116</f>
        <v/>
      </c>
      <c r="X117">
        <f>W117+X116</f>
        <v/>
      </c>
      <c r="Y117">
        <f>X117+Y116</f>
        <v/>
      </c>
      <c r="Z117">
        <f>Y117+Z116</f>
        <v/>
      </c>
      <c r="AA117">
        <f>Z117+AA116</f>
        <v/>
      </c>
      <c r="AB117">
        <f>AA117+AB116</f>
        <v/>
      </c>
      <c r="AC117">
        <f>AB117+AC116</f>
        <v/>
      </c>
      <c r="AD117">
        <f>AC117+AD116</f>
        <v/>
      </c>
      <c r="AE117">
        <f>AD117+AE116</f>
        <v/>
      </c>
    </row>
    <row r="120">
      <c r="A120" s="1" t="n"/>
      <c r="B120" s="2" t="inlineStr">
        <is>
          <t>December</t>
        </is>
      </c>
      <c r="C120" s="2" t="n"/>
      <c r="D120" s="2" t="n"/>
      <c r="E120" s="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2" t="n"/>
      <c r="AC120" s="2" t="n"/>
      <c r="AD120" s="2" t="n"/>
      <c r="AE120" s="1" t="n"/>
      <c r="AF120" s="1" t="n"/>
      <c r="AG120" s="1" t="n"/>
    </row>
    <row r="121">
      <c r="A121" s="1" t="n"/>
      <c r="B121" s="2" t="inlineStr">
        <is>
          <t>Sunday</t>
        </is>
      </c>
      <c r="C121" s="2" t="inlineStr">
        <is>
          <t>Monday</t>
        </is>
      </c>
      <c r="D121" s="2" t="inlineStr">
        <is>
          <t>Tuesday</t>
        </is>
      </c>
      <c r="E121" s="2" t="inlineStr">
        <is>
          <t>Wednesday</t>
        </is>
      </c>
      <c r="F121" s="2" t="inlineStr">
        <is>
          <t>Thursday</t>
        </is>
      </c>
      <c r="G121" s="2" t="inlineStr">
        <is>
          <t>Friday</t>
        </is>
      </c>
      <c r="H121" s="2" t="inlineStr">
        <is>
          <t>Saturday</t>
        </is>
      </c>
      <c r="I121" s="2" t="inlineStr">
        <is>
          <t>Sunday</t>
        </is>
      </c>
      <c r="J121" s="2" t="inlineStr">
        <is>
          <t>Monday</t>
        </is>
      </c>
      <c r="K121" s="2" t="inlineStr">
        <is>
          <t>Tuesday</t>
        </is>
      </c>
      <c r="L121" s="2" t="inlineStr">
        <is>
          <t>Wednesday</t>
        </is>
      </c>
      <c r="M121" s="2" t="inlineStr">
        <is>
          <t>Thursday</t>
        </is>
      </c>
      <c r="N121" s="2" t="inlineStr">
        <is>
          <t>Friday</t>
        </is>
      </c>
      <c r="O121" s="2" t="inlineStr">
        <is>
          <t>Saturday</t>
        </is>
      </c>
      <c r="P121" s="2" t="inlineStr">
        <is>
          <t>Sunday</t>
        </is>
      </c>
      <c r="Q121" s="2" t="inlineStr">
        <is>
          <t>Monday</t>
        </is>
      </c>
      <c r="R121" s="2" t="inlineStr">
        <is>
          <t>Tuesday</t>
        </is>
      </c>
      <c r="S121" s="2" t="inlineStr">
        <is>
          <t>Wednesday</t>
        </is>
      </c>
      <c r="T121" s="2" t="inlineStr">
        <is>
          <t>Thursday</t>
        </is>
      </c>
      <c r="U121" s="2" t="inlineStr">
        <is>
          <t>Friday</t>
        </is>
      </c>
      <c r="V121" s="2" t="inlineStr">
        <is>
          <t>Saturday</t>
        </is>
      </c>
      <c r="W121" s="2" t="inlineStr">
        <is>
          <t>Sunday</t>
        </is>
      </c>
      <c r="X121" s="2" t="inlineStr">
        <is>
          <t>Monday</t>
        </is>
      </c>
      <c r="Y121" s="2" t="inlineStr">
        <is>
          <t>Tuesday</t>
        </is>
      </c>
      <c r="Z121" s="2" t="inlineStr">
        <is>
          <t>Wednesday</t>
        </is>
      </c>
      <c r="AA121" s="2" t="inlineStr">
        <is>
          <t>Thursday</t>
        </is>
      </c>
      <c r="AB121" s="2" t="inlineStr">
        <is>
          <t>Friday</t>
        </is>
      </c>
      <c r="AC121" s="2" t="inlineStr">
        <is>
          <t>Saturday</t>
        </is>
      </c>
      <c r="AD121" s="2" t="inlineStr">
        <is>
          <t>Sunday</t>
        </is>
      </c>
      <c r="AE121" s="2" t="inlineStr">
        <is>
          <t>Monday</t>
        </is>
      </c>
      <c r="AF121" s="2" t="inlineStr">
        <is>
          <t>Tuesday</t>
        </is>
      </c>
      <c r="AG121" s="2" t="inlineStr">
        <is>
          <t>Total</t>
        </is>
      </c>
    </row>
    <row r="122">
      <c r="A122" s="1" t="n"/>
      <c r="B122" s="87" t="inlineStr">
        <is>
          <t>1st</t>
        </is>
      </c>
      <c r="C122" s="3" t="inlineStr">
        <is>
          <t>2nd</t>
        </is>
      </c>
      <c r="D122" s="3" t="inlineStr">
        <is>
          <t>3rd</t>
        </is>
      </c>
      <c r="E122" s="3" t="inlineStr">
        <is>
          <t>4th</t>
        </is>
      </c>
      <c r="F122" s="3" t="inlineStr">
        <is>
          <t>5th</t>
        </is>
      </c>
      <c r="G122" s="3" t="inlineStr">
        <is>
          <t>6th</t>
        </is>
      </c>
      <c r="H122" s="3" t="inlineStr">
        <is>
          <t>7th</t>
        </is>
      </c>
      <c r="I122" s="3" t="inlineStr">
        <is>
          <t>8th</t>
        </is>
      </c>
      <c r="J122" s="4" t="inlineStr">
        <is>
          <t>9th</t>
        </is>
      </c>
      <c r="K122" s="4" t="inlineStr">
        <is>
          <t>10th</t>
        </is>
      </c>
      <c r="L122" s="4" t="inlineStr">
        <is>
          <t>11th</t>
        </is>
      </c>
      <c r="M122" s="4" t="inlineStr">
        <is>
          <t>12th</t>
        </is>
      </c>
      <c r="N122" s="4" t="inlineStr">
        <is>
          <t>13th</t>
        </is>
      </c>
      <c r="O122" s="4" t="inlineStr">
        <is>
          <t>14th</t>
        </is>
      </c>
      <c r="P122" s="4" t="inlineStr">
        <is>
          <t>15th</t>
        </is>
      </c>
      <c r="Q122" s="5" t="inlineStr">
        <is>
          <t>16th</t>
        </is>
      </c>
      <c r="R122" s="5" t="inlineStr">
        <is>
          <t>17th</t>
        </is>
      </c>
      <c r="S122" s="5" t="inlineStr">
        <is>
          <t>18th</t>
        </is>
      </c>
      <c r="T122" s="5" t="inlineStr">
        <is>
          <t>19th</t>
        </is>
      </c>
      <c r="U122" s="5" t="inlineStr">
        <is>
          <t>20th</t>
        </is>
      </c>
      <c r="V122" s="5" t="inlineStr">
        <is>
          <t>21st</t>
        </is>
      </c>
      <c r="W122" s="5" t="inlineStr">
        <is>
          <t>22nd</t>
        </is>
      </c>
      <c r="X122" s="6" t="inlineStr">
        <is>
          <t>23rd</t>
        </is>
      </c>
      <c r="Y122" s="6" t="inlineStr">
        <is>
          <t>24th</t>
        </is>
      </c>
      <c r="Z122" s="6" t="inlineStr">
        <is>
          <t>25th</t>
        </is>
      </c>
      <c r="AA122" s="6" t="inlineStr">
        <is>
          <t>26th</t>
        </is>
      </c>
      <c r="AB122" s="6" t="inlineStr">
        <is>
          <t>27th</t>
        </is>
      </c>
      <c r="AC122" s="6" t="inlineStr">
        <is>
          <t>28th</t>
        </is>
      </c>
      <c r="AD122" s="6" t="inlineStr">
        <is>
          <t>29th</t>
        </is>
      </c>
      <c r="AE122" s="7" t="inlineStr">
        <is>
          <t>30th</t>
        </is>
      </c>
      <c r="AF122" s="7" t="inlineStr">
        <is>
          <t>31st</t>
        </is>
      </c>
      <c r="AG122" s="1" t="n"/>
    </row>
    <row r="123" ht="15.75" customHeight="1">
      <c r="A123" s="8" t="inlineStr">
        <is>
          <t>B-HAM CITY COUNCIL-200790-70489166</t>
        </is>
      </c>
      <c r="B123" s="12" t="n"/>
      <c r="C123" s="12" t="n"/>
      <c r="D123" s="12" t="n"/>
      <c r="E123" s="12" t="n"/>
      <c r="F123" s="12" t="n"/>
      <c r="G123" s="12" t="n"/>
      <c r="H123" s="12" t="n"/>
      <c r="I123" s="12" t="n"/>
      <c r="J123" s="12" t="n"/>
      <c r="K123" s="12" t="n"/>
      <c r="L123" s="12" t="n"/>
      <c r="M123" s="12" t="n"/>
      <c r="N123" s="12" t="n"/>
      <c r="O123" s="12" t="n"/>
      <c r="P123" s="12" t="n"/>
      <c r="Q123" s="12" t="n"/>
      <c r="R123" s="12" t="n"/>
      <c r="S123" s="12" t="n"/>
      <c r="T123" s="12" t="n"/>
      <c r="U123" s="12">
        <f>5041.28</f>
        <v/>
      </c>
      <c r="V123" s="12" t="n"/>
      <c r="W123" s="12" t="n"/>
      <c r="X123" s="33" t="n"/>
      <c r="Y123" s="33" t="n"/>
      <c r="Z123" s="33" t="n">
        <v>75502.24000000001</v>
      </c>
      <c r="AA123" s="33" t="n"/>
      <c r="AB123" s="33" t="n"/>
      <c r="AC123" s="33" t="n"/>
      <c r="AD123" s="33" t="n"/>
      <c r="AE123" s="33" t="n"/>
      <c r="AF123" s="12" t="n"/>
      <c r="AG123" s="13">
        <f>SUM(B123:AF123)</f>
        <v/>
      </c>
    </row>
    <row r="124" ht="15.75" customHeight="1">
      <c r="A124" s="8" t="inlineStr">
        <is>
          <t>Buckingham</t>
        </is>
      </c>
      <c r="B124" s="12" t="n"/>
      <c r="C124" s="9" t="n"/>
      <c r="D124" s="9" t="n"/>
      <c r="E124" s="9" t="n"/>
      <c r="F124" s="9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" t="n"/>
      <c r="P124" s="9" t="n"/>
      <c r="Q124" s="12" t="n">
        <v>4937.64</v>
      </c>
      <c r="R124" s="9" t="n"/>
      <c r="S124" s="9" t="n"/>
      <c r="T124" s="9" t="n"/>
      <c r="U124" s="9" t="n"/>
      <c r="V124" s="9" t="n"/>
      <c r="W124" s="9" t="n"/>
      <c r="X124" s="32" t="n"/>
      <c r="Y124" s="33" t="n">
        <v>5134.44</v>
      </c>
      <c r="Z124" s="32" t="n"/>
      <c r="AA124" s="33" t="n"/>
      <c r="AB124" s="32" t="n"/>
      <c r="AC124" s="32" t="n"/>
      <c r="AD124" s="32" t="n"/>
      <c r="AE124" s="33" t="n"/>
      <c r="AF124" s="12" t="n"/>
      <c r="AG124" s="13">
        <f>SUM(B124:AF124)</f>
        <v/>
      </c>
    </row>
    <row r="125" ht="15.75" customHeight="1">
      <c r="A125" s="8" t="inlineStr">
        <is>
          <t>Sandwell respite est</t>
        </is>
      </c>
      <c r="B125" s="12" t="n"/>
      <c r="C125" s="9" t="n"/>
      <c r="D125" s="9" t="n"/>
      <c r="E125" s="9" t="n"/>
      <c r="F125" s="9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9" t="n"/>
      <c r="P125" s="9" t="n"/>
      <c r="Q125" s="9" t="n"/>
      <c r="R125" s="9" t="n"/>
      <c r="S125" s="9" t="n"/>
      <c r="T125" s="9" t="n"/>
      <c r="U125" s="9" t="n"/>
      <c r="V125" s="9" t="n"/>
      <c r="W125" s="9" t="n"/>
      <c r="X125" s="32" t="n"/>
      <c r="Y125" s="32" t="n"/>
      <c r="Z125" s="32" t="n"/>
      <c r="AA125" s="32" t="n"/>
      <c r="AB125" s="32" t="n"/>
      <c r="AC125" s="32" t="n"/>
      <c r="AD125" s="33" t="n"/>
      <c r="AE125" s="33" t="n"/>
      <c r="AF125" s="9" t="n">
        <v>20000</v>
      </c>
      <c r="AG125" s="13">
        <f>SUM(B125:AF125)</f>
        <v/>
      </c>
    </row>
    <row r="126" ht="15.75" customHeight="1">
      <c r="A126" s="8" t="inlineStr">
        <is>
          <t xml:space="preserve">Wolverhampton respite est </t>
        </is>
      </c>
      <c r="B126" s="12" t="n"/>
      <c r="C126" s="9" t="n"/>
      <c r="D126" s="9" t="n"/>
      <c r="E126" s="9" t="n"/>
      <c r="F126" s="9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9" t="n"/>
      <c r="P126" s="9" t="n"/>
      <c r="Q126" s="9" t="n"/>
      <c r="R126" s="9" t="n"/>
      <c r="S126" s="9" t="n"/>
      <c r="T126" s="9" t="n"/>
      <c r="U126" s="9" t="n"/>
      <c r="V126" s="9" t="n"/>
      <c r="W126" s="9" t="n"/>
      <c r="X126" s="32" t="n"/>
      <c r="Y126" s="32" t="n"/>
      <c r="Z126" s="32" t="n"/>
      <c r="AA126" s="32" t="n"/>
      <c r="AB126" s="32" t="n"/>
      <c r="AC126" s="32" t="n"/>
      <c r="AD126" s="33" t="n"/>
      <c r="AE126" s="33" t="n"/>
      <c r="AF126" s="9" t="n">
        <v>30000</v>
      </c>
      <c r="AG126" s="13">
        <f>SUM(B126:AF126)</f>
        <v/>
      </c>
    </row>
    <row r="127" ht="15.75" customHeight="1">
      <c r="A127" s="8" t="inlineStr">
        <is>
          <t>Walsall Respite</t>
        </is>
      </c>
      <c r="B127" s="12" t="n"/>
      <c r="C127" s="9" t="n"/>
      <c r="D127" s="12" t="n"/>
      <c r="E127" s="9" t="n"/>
      <c r="F127" s="9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9" t="n"/>
      <c r="P127" s="9" t="n"/>
      <c r="Q127" s="9" t="n"/>
      <c r="R127" s="9" t="n"/>
      <c r="S127" s="9" t="n"/>
      <c r="T127" s="9" t="n"/>
      <c r="U127" s="9" t="n"/>
      <c r="V127" s="9" t="n"/>
      <c r="W127" s="9" t="n"/>
      <c r="X127" s="32" t="n"/>
      <c r="Y127" s="32" t="n"/>
      <c r="Z127" s="32" t="n"/>
      <c r="AA127" s="32" t="n"/>
      <c r="AB127" s="32" t="n"/>
      <c r="AC127" s="32" t="n"/>
      <c r="AD127" s="33" t="n"/>
      <c r="AE127" s="33" t="n"/>
      <c r="AF127" s="9" t="n">
        <v>15000</v>
      </c>
      <c r="AG127" s="13">
        <f>SUM(B127:AF127)</f>
        <v/>
      </c>
    </row>
    <row r="128" ht="18.75" customHeight="1">
      <c r="A128" s="8" t="inlineStr">
        <is>
          <t>Ideal for All Ltd</t>
        </is>
      </c>
      <c r="B128" s="12" t="n"/>
      <c r="C128" s="12" t="n">
        <v>3344</v>
      </c>
      <c r="D128" s="9" t="n"/>
      <c r="E128" s="12" t="n"/>
      <c r="F128" s="11" t="n">
        <v>3661.88</v>
      </c>
      <c r="G128" s="9" t="n"/>
      <c r="H128" s="9" t="n"/>
      <c r="I128" s="9" t="n"/>
      <c r="J128" s="12" t="n">
        <v>2536.8</v>
      </c>
      <c r="K128" s="12" t="n"/>
      <c r="L128" s="12" t="n"/>
      <c r="M128" s="12" t="n"/>
      <c r="N128" s="9" t="n"/>
      <c r="O128" s="9" t="n"/>
      <c r="P128" s="9" t="n"/>
      <c r="Q128" s="9" t="n"/>
      <c r="R128" s="9" t="n"/>
      <c r="S128" s="9" t="n"/>
      <c r="T128" s="9" t="n"/>
      <c r="U128" s="9" t="n"/>
      <c r="V128" s="9" t="n"/>
      <c r="W128" s="9" t="n"/>
      <c r="X128" s="32" t="n"/>
      <c r="Y128" s="32" t="n"/>
      <c r="Z128" s="32" t="n"/>
      <c r="AA128" s="32" t="n"/>
      <c r="AB128" s="32" t="n"/>
      <c r="AC128" s="32" t="n"/>
      <c r="AD128" s="32" t="n"/>
      <c r="AE128" s="33" t="n"/>
      <c r="AF128" s="12" t="n"/>
      <c r="AG128" s="13">
        <f>SUM(B128:AF128)</f>
        <v/>
      </c>
    </row>
    <row r="129" ht="15.75" customHeight="1">
      <c r="A129" s="8" t="inlineStr">
        <is>
          <t>KIRKLEES COUNCIL-204312-63046958</t>
        </is>
      </c>
      <c r="B129" s="12" t="n"/>
      <c r="C129" s="12" t="n"/>
      <c r="D129" s="9" t="n"/>
      <c r="E129" s="9" t="n"/>
      <c r="F129" s="12" t="n"/>
      <c r="G129" s="9" t="n"/>
      <c r="H129" s="12" t="n"/>
      <c r="I129" s="9" t="n"/>
      <c r="J129" s="9" t="n"/>
      <c r="K129" s="9" t="n"/>
      <c r="L129" s="9" t="n"/>
      <c r="M129" s="12" t="n"/>
      <c r="N129" s="12" t="n">
        <v>5554.89</v>
      </c>
      <c r="O129" s="12" t="n"/>
      <c r="P129" s="9" t="n"/>
      <c r="Q129" s="9" t="n"/>
      <c r="R129" s="9" t="n"/>
      <c r="S129" s="9" t="n"/>
      <c r="T129" s="9" t="n"/>
      <c r="U129" s="9" t="n"/>
      <c r="V129" s="9" t="n"/>
      <c r="W129" s="9" t="n"/>
      <c r="X129" s="32" t="n"/>
      <c r="Y129" s="32" t="n"/>
      <c r="Z129" s="32" t="n"/>
      <c r="AA129" s="32" t="n"/>
      <c r="AB129" s="32" t="n"/>
      <c r="AC129" s="32" t="n"/>
      <c r="AD129" s="33" t="n"/>
      <c r="AE129" s="33" t="n"/>
      <c r="AF129" s="12" t="n"/>
      <c r="AG129" s="13">
        <f>SUM(B129:AF129)</f>
        <v/>
      </c>
    </row>
    <row r="130" ht="15.75" customHeight="1">
      <c r="A130" s="8" t="inlineStr">
        <is>
          <t>LBH PAYMENTS BACS-602210-72430192</t>
        </is>
      </c>
      <c r="B130" s="12" t="n"/>
      <c r="C130" s="12" t="n"/>
      <c r="D130" s="9" t="n"/>
      <c r="E130" s="9" t="n"/>
      <c r="F130" s="9" t="n"/>
      <c r="G130" s="9" t="n"/>
      <c r="H130" s="9" t="n"/>
      <c r="I130" s="12" t="n"/>
      <c r="J130" s="9" t="n"/>
      <c r="K130" s="9" t="n"/>
      <c r="L130" s="9" t="n"/>
      <c r="M130" s="9" t="n">
        <v>5040</v>
      </c>
      <c r="N130" s="9" t="n"/>
      <c r="O130" s="9" t="n"/>
      <c r="P130" s="9" t="n"/>
      <c r="Q130" s="9" t="n"/>
      <c r="R130" s="9" t="n"/>
      <c r="S130" s="9" t="n"/>
      <c r="T130" s="9" t="n"/>
      <c r="U130" s="9" t="n"/>
      <c r="V130" s="9" t="n"/>
      <c r="W130" s="9" t="n"/>
      <c r="X130" s="32" t="n"/>
      <c r="Y130" s="32" t="n"/>
      <c r="Z130" s="32" t="n"/>
      <c r="AA130" s="32" t="n"/>
      <c r="AB130" s="32" t="n"/>
      <c r="AC130" s="32" t="n"/>
      <c r="AD130" s="32" t="n"/>
      <c r="AE130" s="33" t="n"/>
      <c r="AF130" s="12" t="n"/>
      <c r="AG130" s="13">
        <f>SUM(B130:AF130)</f>
        <v/>
      </c>
    </row>
    <row r="131" ht="15.75" customHeight="1">
      <c r="A131" s="8" t="inlineStr">
        <is>
          <t>NHS BIRMINGHAM &amp; S-607080-10017097</t>
        </is>
      </c>
      <c r="B131" s="12" t="n"/>
      <c r="C131" s="12" t="n">
        <v>7121.63</v>
      </c>
      <c r="D131" s="12" t="n"/>
      <c r="E131" s="12" t="n"/>
      <c r="F131" s="12" t="n"/>
      <c r="G131" s="9" t="inlineStr"/>
      <c r="H131" s="9" t="n"/>
      <c r="I131" s="9" t="n"/>
      <c r="J131" s="9" t="n"/>
      <c r="K131" s="9" t="n"/>
      <c r="L131" s="9" t="n"/>
      <c r="M131" s="9" t="n"/>
      <c r="N131" s="9" t="n"/>
      <c r="O131" s="9" t="n"/>
      <c r="P131" s="9" t="n"/>
      <c r="Q131" s="9" t="n"/>
      <c r="R131" s="9" t="n"/>
      <c r="S131" s="9" t="n"/>
      <c r="T131" s="9" t="n"/>
      <c r="U131" s="9" t="n"/>
      <c r="V131" s="9" t="n"/>
      <c r="W131" s="9" t="n"/>
      <c r="X131" s="32" t="n"/>
      <c r="Y131" s="32" t="n"/>
      <c r="Z131" s="32" t="n"/>
      <c r="AA131" s="32" t="n"/>
      <c r="AB131" s="32" t="n"/>
      <c r="AC131" s="32" t="n"/>
      <c r="AD131" s="32" t="n"/>
      <c r="AE131" s="33" t="n"/>
      <c r="AF131" s="12" t="n"/>
      <c r="AG131" s="13">
        <f>SUM(B131:AF131)</f>
        <v/>
      </c>
    </row>
    <row r="132" ht="15.75" customHeight="1">
      <c r="A132" s="8" t="inlineStr">
        <is>
          <t>NHS BLACK COUNTRY-607080-10015272</t>
        </is>
      </c>
      <c r="B132" s="12" t="n"/>
      <c r="C132" s="12" t="n"/>
      <c r="D132" s="12" t="n"/>
      <c r="E132" s="12" t="n"/>
      <c r="F132" s="9" t="inlineStr"/>
      <c r="G132" s="9" t="n"/>
      <c r="H132" s="9" t="n"/>
      <c r="I132" s="9" t="n"/>
      <c r="J132" s="12" t="n">
        <v>13185.64</v>
      </c>
      <c r="K132" s="12" t="n"/>
      <c r="L132" s="9" t="n"/>
      <c r="M132" s="9" t="n"/>
      <c r="N132" s="9" t="n"/>
      <c r="O132" s="9" t="n"/>
      <c r="P132" s="12" t="n"/>
      <c r="Q132" s="9" t="n"/>
      <c r="R132" s="9" t="n"/>
      <c r="S132" s="9" t="n"/>
      <c r="T132" s="9" t="n"/>
      <c r="U132" s="9" t="n"/>
      <c r="V132" s="9" t="n"/>
      <c r="W132" s="9" t="n"/>
      <c r="X132" s="33" t="n">
        <v>8073.21</v>
      </c>
      <c r="Y132" s="32" t="n"/>
      <c r="Z132" s="33" t="n"/>
      <c r="AA132" s="32" t="n"/>
      <c r="AB132" s="33" t="n"/>
      <c r="AC132" s="33" t="n"/>
      <c r="AD132" s="33" t="n"/>
      <c r="AE132" s="33" t="n"/>
      <c r="AF132" s="12" t="n"/>
      <c r="AG132" s="13">
        <f>SUM(B132:AF132)</f>
        <v/>
      </c>
    </row>
    <row r="133" ht="15.75" customHeight="1">
      <c r="A133" s="14" t="inlineStr">
        <is>
          <t>SANDWELL MBC  BEN-601539-69624151</t>
        </is>
      </c>
      <c r="B133" s="12" t="n"/>
      <c r="C133" s="9" t="inlineStr"/>
      <c r="D133" s="12" t="n"/>
      <c r="E133" s="9" t="inlineStr"/>
      <c r="F133" s="9" t="inlineStr"/>
      <c r="G133" s="12" t="inlineStr">
        <is>
          <t>.</t>
        </is>
      </c>
      <c r="H133" s="12" t="n"/>
      <c r="I133" s="9" t="n"/>
      <c r="J133" s="9" t="n"/>
      <c r="K133" s="9" t="n"/>
      <c r="L133" s="9" t="n"/>
      <c r="M133" s="12" t="n"/>
      <c r="N133" s="12" t="n"/>
      <c r="O133" s="9" t="n"/>
      <c r="P133" s="9" t="n"/>
      <c r="Q133" s="9" t="n"/>
      <c r="R133" s="9" t="n"/>
      <c r="S133" s="12" t="n"/>
      <c r="T133" s="9" t="n"/>
      <c r="U133" s="9" t="n"/>
      <c r="V133" s="9" t="n"/>
      <c r="W133" s="12" t="n"/>
      <c r="X133" s="33" t="n">
        <v>3000</v>
      </c>
      <c r="Y133" s="32" t="n"/>
      <c r="Z133" s="32" t="n"/>
      <c r="AA133" s="33" t="n"/>
      <c r="AB133" s="33" t="n"/>
      <c r="AC133" s="33" t="n"/>
      <c r="AD133" s="33" t="n"/>
      <c r="AE133" s="33" t="n"/>
      <c r="AF133" s="12" t="n"/>
      <c r="AG133" s="13">
        <f>SUM(B133:AF133)</f>
        <v/>
      </c>
    </row>
    <row r="134" ht="15.75" customHeight="1">
      <c r="A134" s="14" t="inlineStr">
        <is>
          <t>SANDWELL MBC-601539-69624135</t>
        </is>
      </c>
      <c r="B134" s="12" t="n"/>
      <c r="C134" s="12" t="n"/>
      <c r="D134" s="12" t="n"/>
      <c r="E134" s="12" t="n"/>
      <c r="F134" s="12" t="n"/>
      <c r="G134" s="12" t="n"/>
      <c r="H134" s="12" t="n"/>
      <c r="I134" s="12" t="n"/>
      <c r="J134" s="12" t="n"/>
      <c r="K134" s="9" t="n">
        <v>120000</v>
      </c>
      <c r="L134" s="12" t="n"/>
      <c r="M134" s="12" t="n"/>
      <c r="N134" s="12" t="n"/>
      <c r="O134" s="12" t="n"/>
      <c r="P134" s="12" t="n"/>
      <c r="Q134" s="12" t="n"/>
      <c r="R134" s="12" t="n"/>
      <c r="S134" s="12" t="n"/>
      <c r="T134" s="12" t="n"/>
      <c r="U134" s="9" t="n">
        <v>120000</v>
      </c>
      <c r="V134" s="12" t="n"/>
      <c r="W134" s="12" t="n"/>
      <c r="X134" s="33" t="n"/>
      <c r="Y134" s="33" t="n"/>
      <c r="Z134" s="33" t="n"/>
      <c r="AA134" s="33" t="n"/>
      <c r="AB134" s="33" t="n"/>
      <c r="AC134" s="33" t="n"/>
      <c r="AD134" s="33" t="n"/>
      <c r="AE134" s="33" t="n"/>
      <c r="AF134" s="12" t="n"/>
      <c r="AG134" s="13">
        <f>SUM(B134:AF134)</f>
        <v/>
      </c>
    </row>
    <row r="135" ht="15.75" customHeight="1">
      <c r="A135" s="15" t="inlineStr">
        <is>
          <t>SOLIHULL MBC EXP.-200771-00561525</t>
        </is>
      </c>
      <c r="B135" s="12" t="n"/>
      <c r="C135" s="12" t="n">
        <v>32000</v>
      </c>
      <c r="D135" s="12" t="n"/>
      <c r="E135" s="12" t="n"/>
      <c r="F135" s="12" t="n"/>
      <c r="G135" s="12" t="n"/>
      <c r="H135" s="12" t="n"/>
      <c r="I135" s="12" t="n"/>
      <c r="J135" s="12" t="n"/>
      <c r="K135" s="12" t="n"/>
      <c r="L135" s="12" t="n"/>
      <c r="M135" s="12" t="n"/>
      <c r="N135" s="12" t="n"/>
      <c r="O135" s="12" t="n"/>
      <c r="P135" s="12" t="n"/>
      <c r="Q135" s="12" t="n"/>
      <c r="R135" s="12" t="n"/>
      <c r="S135" s="12" t="n"/>
      <c r="T135" s="12" t="n"/>
      <c r="U135" s="12" t="n"/>
      <c r="V135" s="12" t="n"/>
      <c r="W135" s="12" t="n"/>
      <c r="X135" s="33" t="n"/>
      <c r="Y135" s="33" t="n"/>
      <c r="Z135" s="33" t="n"/>
      <c r="AA135" s="33" t="n"/>
      <c r="AB135" s="33" t="n"/>
      <c r="AC135" s="33" t="n"/>
      <c r="AD135" s="33" t="n"/>
      <c r="AE135" s="33" t="n">
        <v>32000</v>
      </c>
      <c r="AF135" s="12" t="n"/>
      <c r="AG135" s="13">
        <f>SUM(B135:AF135)</f>
        <v/>
      </c>
    </row>
    <row r="136" ht="15.75" customHeight="1">
      <c r="A136" s="15" t="inlineStr">
        <is>
          <t>WALSALL MBC BARC-209073-10731692</t>
        </is>
      </c>
      <c r="B136" s="12" t="n"/>
      <c r="C136" s="12" t="n"/>
      <c r="D136" s="12" t="n"/>
      <c r="E136" s="12" t="n"/>
      <c r="F136" s="12" t="n"/>
      <c r="G136" s="12" t="n"/>
      <c r="H136" s="12" t="n"/>
      <c r="I136" s="12" t="n"/>
      <c r="J136" s="12" t="n"/>
      <c r="K136" s="12" t="n"/>
      <c r="L136" s="12" t="n"/>
      <c r="M136" s="12" t="n"/>
      <c r="N136" s="12" t="n"/>
      <c r="O136" s="12" t="n"/>
      <c r="P136" s="12" t="n"/>
      <c r="Q136" s="12" t="n"/>
      <c r="R136" s="12" t="n"/>
      <c r="S136" s="9" t="n">
        <v>187000</v>
      </c>
      <c r="T136" s="12" t="n"/>
      <c r="U136" s="12" t="n"/>
      <c r="V136" s="12" t="n"/>
      <c r="W136" s="12" t="n"/>
      <c r="X136" s="33" t="n"/>
      <c r="Y136" s="33" t="n"/>
      <c r="Z136" s="33" t="n"/>
      <c r="AA136" s="33" t="n"/>
      <c r="AB136" s="33" t="n"/>
      <c r="AC136" s="33" t="n"/>
      <c r="AD136" s="33" t="n"/>
      <c r="AE136" s="33" t="n"/>
      <c r="AF136" s="12" t="n"/>
      <c r="AG136" s="13">
        <f>SUM(B136:AF136)</f>
        <v/>
      </c>
    </row>
    <row r="137" ht="15.75" customHeight="1">
      <c r="A137" s="15" t="inlineStr">
        <is>
          <t>WOLVERHAMPTON CC-560069-44470320</t>
        </is>
      </c>
      <c r="B137" s="12" t="n"/>
      <c r="C137" s="12" t="n"/>
      <c r="D137" s="12" t="n"/>
      <c r="E137" s="12" t="n"/>
      <c r="F137" s="9" t="n">
        <v>112000</v>
      </c>
      <c r="G137" s="12" t="n"/>
      <c r="H137" s="12" t="n"/>
      <c r="I137" s="12" t="n"/>
      <c r="J137" s="12" t="n"/>
      <c r="K137" s="12" t="n"/>
      <c r="L137" s="12" t="n"/>
      <c r="M137" s="9" t="n">
        <v>112000</v>
      </c>
      <c r="N137" s="12" t="n"/>
      <c r="O137" s="12" t="n"/>
      <c r="P137" s="12" t="n"/>
      <c r="Q137" s="12" t="n"/>
      <c r="R137" s="12" t="n"/>
      <c r="S137" s="12" t="n"/>
      <c r="T137" s="9" t="n">
        <v>112000</v>
      </c>
      <c r="U137" s="12" t="n"/>
      <c r="V137" s="12" t="n"/>
      <c r="W137" s="12" t="n"/>
      <c r="X137" s="33" t="n"/>
      <c r="Y137" s="33" t="n"/>
      <c r="Z137" s="33" t="n"/>
      <c r="AA137" s="32" t="n">
        <v>112000</v>
      </c>
      <c r="AB137" s="33" t="n"/>
      <c r="AC137" s="33" t="n"/>
      <c r="AD137" s="33" t="n"/>
      <c r="AE137" s="33" t="n"/>
      <c r="AF137" s="12" t="n"/>
      <c r="AG137" s="13">
        <f>SUM(B137:AF137)</f>
        <v/>
      </c>
    </row>
    <row r="138" ht="15.75" customHeight="1">
      <c r="A138" s="15" t="inlineStr">
        <is>
          <t>Portsmouth</t>
        </is>
      </c>
      <c r="B138" s="12" t="n"/>
      <c r="C138" s="12" t="n"/>
      <c r="D138" s="12" t="n"/>
      <c r="E138" s="12" t="n"/>
      <c r="F138" s="12" t="n"/>
      <c r="G138" s="12" t="n"/>
      <c r="H138" s="12" t="n"/>
      <c r="I138" s="12" t="n"/>
      <c r="J138" s="12" t="n"/>
      <c r="K138" s="12" t="n"/>
      <c r="L138" s="12" t="n"/>
      <c r="M138" s="12" t="n"/>
      <c r="N138" s="12" t="n"/>
      <c r="O138" s="12" t="n"/>
      <c r="P138" s="12" t="n"/>
      <c r="Q138" s="12" t="n"/>
      <c r="R138" s="12" t="n"/>
      <c r="S138" s="12" t="n"/>
      <c r="T138" s="12" t="n"/>
      <c r="U138" s="12" t="n"/>
      <c r="V138" s="12" t="n"/>
      <c r="W138" s="12" t="n"/>
      <c r="X138" s="33" t="n"/>
      <c r="Y138" s="33" t="n"/>
      <c r="Z138" s="32" t="n">
        <v>5247.86</v>
      </c>
      <c r="AA138" s="33" t="n"/>
      <c r="AB138" s="33" t="n"/>
      <c r="AC138" s="33" t="n"/>
      <c r="AD138" s="33" t="n"/>
      <c r="AE138" s="33" t="n"/>
      <c r="AF138" s="12" t="n"/>
      <c r="AG138" s="13">
        <f>SUM(B138:AF138)</f>
        <v/>
      </c>
    </row>
    <row r="139" ht="15.75" customHeight="1">
      <c r="A139" s="15" t="inlineStr">
        <is>
          <t>HB SC</t>
        </is>
      </c>
      <c r="B139" s="10" t="n">
        <v>3800</v>
      </c>
      <c r="C139" s="10" t="n">
        <v>3800</v>
      </c>
      <c r="D139" s="10" t="n">
        <v>3800</v>
      </c>
      <c r="E139" s="10" t="n">
        <v>3800</v>
      </c>
      <c r="F139" s="10" t="n">
        <v>3800</v>
      </c>
      <c r="G139" s="10" t="n">
        <v>3800</v>
      </c>
      <c r="H139" s="10" t="n">
        <v>3800</v>
      </c>
      <c r="I139" s="10" t="n">
        <v>3800</v>
      </c>
      <c r="J139" s="10" t="n">
        <v>3800</v>
      </c>
      <c r="K139" s="10" t="n">
        <v>3800</v>
      </c>
      <c r="L139" s="10" t="n">
        <v>3800</v>
      </c>
      <c r="M139" s="10" t="n">
        <v>3800</v>
      </c>
      <c r="N139" s="10" t="n">
        <v>3800</v>
      </c>
      <c r="O139" s="10" t="n">
        <v>3800</v>
      </c>
      <c r="P139" s="10" t="n">
        <v>3800</v>
      </c>
      <c r="Q139" s="10" t="n">
        <v>3800</v>
      </c>
      <c r="R139" s="10" t="n">
        <v>3800</v>
      </c>
      <c r="S139" s="10" t="n">
        <v>3800</v>
      </c>
      <c r="T139" s="10" t="n">
        <v>3800</v>
      </c>
      <c r="U139" s="10" t="n">
        <v>3800</v>
      </c>
      <c r="V139" s="10" t="n">
        <v>3800</v>
      </c>
      <c r="W139" s="10" t="n">
        <v>3800</v>
      </c>
      <c r="X139" s="16" t="n">
        <v>3800</v>
      </c>
      <c r="Y139" s="16" t="n">
        <v>3800</v>
      </c>
      <c r="Z139" s="16" t="n">
        <v>3800</v>
      </c>
      <c r="AA139" s="16" t="n">
        <v>3800</v>
      </c>
      <c r="AB139" s="16" t="n">
        <v>3800</v>
      </c>
      <c r="AC139" s="16" t="n">
        <v>3800</v>
      </c>
      <c r="AD139" s="16" t="n">
        <v>3800</v>
      </c>
      <c r="AE139" s="16" t="n">
        <v>3800</v>
      </c>
      <c r="AF139" s="10" t="n"/>
      <c r="AG139" s="13">
        <f>SUM(B139:AF139)</f>
        <v/>
      </c>
    </row>
    <row r="140" ht="16.5" customHeight="1" thickBot="1">
      <c r="A140" s="15" t="inlineStr">
        <is>
          <t>Total</t>
        </is>
      </c>
      <c r="B140">
        <f>SUM(B123:B139)</f>
        <v/>
      </c>
      <c r="C140">
        <f>SUM(C123:C139)</f>
        <v/>
      </c>
      <c r="D140">
        <f>SUM(D123:D139)</f>
        <v/>
      </c>
      <c r="E140">
        <f>SUM(E123:E139)</f>
        <v/>
      </c>
      <c r="F140">
        <f>SUM(F123:F139)</f>
        <v/>
      </c>
      <c r="G140">
        <f>SUM(G123:G139)</f>
        <v/>
      </c>
      <c r="H140">
        <f>SUM(H123:H139)</f>
        <v/>
      </c>
      <c r="I140">
        <f>SUM(I123:I139)</f>
        <v/>
      </c>
      <c r="J140">
        <f>SUM(J123:J139)</f>
        <v/>
      </c>
      <c r="K140">
        <f>SUM(K123:K139)</f>
        <v/>
      </c>
      <c r="L140">
        <f>SUM(L123:L139)</f>
        <v/>
      </c>
      <c r="M140">
        <f>SUM(M123:M139)</f>
        <v/>
      </c>
      <c r="N140">
        <f>SUM(N123:N139)</f>
        <v/>
      </c>
      <c r="O140">
        <f>SUM(O123:O139)</f>
        <v/>
      </c>
      <c r="P140">
        <f>SUM(P123:P139)</f>
        <v/>
      </c>
      <c r="Q140">
        <f>SUM(Q123:Q139)</f>
        <v/>
      </c>
      <c r="R140">
        <f>SUM(R123:R139)</f>
        <v/>
      </c>
      <c r="S140">
        <f>SUM(S123:S139)</f>
        <v/>
      </c>
      <c r="T140">
        <f>SUM(T123:T139)</f>
        <v/>
      </c>
      <c r="U140">
        <f>SUM(U123:U139)</f>
        <v/>
      </c>
      <c r="V140">
        <f>SUM(V123:V139)</f>
        <v/>
      </c>
      <c r="W140">
        <f>SUM(W123:W139)</f>
        <v/>
      </c>
      <c r="X140">
        <f>SUM(X123:X139)</f>
        <v/>
      </c>
      <c r="Y140">
        <f>SUM(Y123:Y139)</f>
        <v/>
      </c>
      <c r="Z140">
        <f>SUM(Z123:Z139)</f>
        <v/>
      </c>
      <c r="AA140">
        <f>SUM(AA123:AA139)</f>
        <v/>
      </c>
      <c r="AB140">
        <f>SUM(AB123:AB139)</f>
        <v/>
      </c>
      <c r="AC140">
        <f>SUM(AC123:AC139)</f>
        <v/>
      </c>
      <c r="AD140">
        <f>SUM(AD123:AD139)</f>
        <v/>
      </c>
      <c r="AE140">
        <f>SUM(AE123:AE139)</f>
        <v/>
      </c>
      <c r="AG140" s="252">
        <f>SUM(AG123:AG139)</f>
        <v/>
      </c>
    </row>
    <row r="141" ht="15.75" customHeight="1" thickTop="1">
      <c r="A141" s="15" t="inlineStr">
        <is>
          <t>Ruunning Total</t>
        </is>
      </c>
      <c r="B141">
        <f>B140</f>
        <v/>
      </c>
      <c r="C141">
        <f>B141+C140</f>
        <v/>
      </c>
      <c r="D141">
        <f>C141+D140</f>
        <v/>
      </c>
      <c r="E141">
        <f>D141+E140</f>
        <v/>
      </c>
      <c r="F141">
        <f>E141+F140</f>
        <v/>
      </c>
      <c r="G141">
        <f>F141+G140</f>
        <v/>
      </c>
      <c r="H141">
        <f>G141+H140</f>
        <v/>
      </c>
      <c r="I141">
        <f>H141+I140</f>
        <v/>
      </c>
      <c r="J141">
        <f>I141+J140</f>
        <v/>
      </c>
      <c r="K141">
        <f>J141+K140</f>
        <v/>
      </c>
      <c r="L141">
        <f>K141+L140</f>
        <v/>
      </c>
      <c r="M141">
        <f>L141+M140</f>
        <v/>
      </c>
      <c r="N141">
        <f>M141+N140</f>
        <v/>
      </c>
      <c r="O141">
        <f>N141+O140</f>
        <v/>
      </c>
      <c r="P141">
        <f>O141+P140</f>
        <v/>
      </c>
      <c r="Q141">
        <f>P141+Q140</f>
        <v/>
      </c>
      <c r="R141">
        <f>Q141+R140</f>
        <v/>
      </c>
      <c r="S141">
        <f>R141+S140</f>
        <v/>
      </c>
      <c r="T141">
        <f>S141+T140</f>
        <v/>
      </c>
      <c r="U141">
        <f>T141+U140</f>
        <v/>
      </c>
      <c r="V141">
        <f>U141+V140</f>
        <v/>
      </c>
      <c r="W141">
        <f>V141+W140</f>
        <v/>
      </c>
      <c r="X141">
        <f>W141+X140</f>
        <v/>
      </c>
      <c r="Y141">
        <f>X141+Y140</f>
        <v/>
      </c>
      <c r="Z141">
        <f>Y141+Z140</f>
        <v/>
      </c>
      <c r="AA141">
        <f>Z141+AA140</f>
        <v/>
      </c>
      <c r="AB141">
        <f>AA141+AB140</f>
        <v/>
      </c>
      <c r="AC141">
        <f>AB141+AC140</f>
        <v/>
      </c>
      <c r="AD141">
        <f>AC141+AD140</f>
        <v/>
      </c>
      <c r="AE141">
        <f>AD141+AE140</f>
        <v/>
      </c>
    </row>
    <row r="144">
      <c r="A144" s="1" t="n"/>
      <c r="B144" s="2" t="inlineStr">
        <is>
          <t>Jan</t>
        </is>
      </c>
      <c r="C144" s="2" t="n"/>
      <c r="D144" s="2" t="n"/>
      <c r="E144" s="2" t="n"/>
      <c r="F144" s="2" t="n"/>
      <c r="G144" s="2" t="n"/>
      <c r="H144" s="2" t="n"/>
      <c r="I144" s="2" t="n"/>
      <c r="J144" s="2" t="n"/>
      <c r="K144" s="2" t="n"/>
      <c r="L144" s="2" t="n"/>
      <c r="M144" s="2" t="n"/>
      <c r="N144" s="2" t="n"/>
      <c r="O144" s="2" t="n"/>
      <c r="P144" s="2" t="n"/>
      <c r="Q144" s="2" t="n"/>
      <c r="R144" s="2" t="n"/>
      <c r="S144" s="2" t="n"/>
      <c r="T144" s="2" t="n"/>
      <c r="U144" s="2" t="n"/>
      <c r="V144" s="2" t="n"/>
      <c r="W144" s="2" t="n"/>
      <c r="X144" s="2" t="n"/>
      <c r="Y144" s="2" t="n"/>
      <c r="Z144" s="2" t="n"/>
      <c r="AA144" s="2" t="n"/>
      <c r="AB144" s="2" t="n"/>
      <c r="AC144" s="2" t="n"/>
      <c r="AD144" s="2" t="n"/>
      <c r="AE144" s="1" t="n"/>
      <c r="AF144" s="1" t="n"/>
      <c r="AG144" s="1" t="n"/>
    </row>
    <row r="145">
      <c r="A145" s="1" t="n"/>
      <c r="B145" s="2" t="inlineStr">
        <is>
          <t>Wednesday</t>
        </is>
      </c>
      <c r="C145" s="2" t="inlineStr">
        <is>
          <t>Thursday</t>
        </is>
      </c>
      <c r="D145" s="2" t="inlineStr">
        <is>
          <t>Friday</t>
        </is>
      </c>
      <c r="E145" s="2" t="inlineStr">
        <is>
          <t>Saturday</t>
        </is>
      </c>
      <c r="F145" s="2" t="inlineStr">
        <is>
          <t>Sunday</t>
        </is>
      </c>
      <c r="G145" s="2" t="inlineStr">
        <is>
          <t>Monday</t>
        </is>
      </c>
      <c r="H145" s="2" t="inlineStr">
        <is>
          <t>Tuesday</t>
        </is>
      </c>
      <c r="I145" s="2" t="inlineStr">
        <is>
          <t>Wednesday</t>
        </is>
      </c>
      <c r="J145" s="2" t="inlineStr">
        <is>
          <t>Thursday</t>
        </is>
      </c>
      <c r="K145" s="2" t="inlineStr">
        <is>
          <t>Friday</t>
        </is>
      </c>
      <c r="L145" s="2" t="inlineStr">
        <is>
          <t>Saturday</t>
        </is>
      </c>
      <c r="M145" s="2" t="inlineStr">
        <is>
          <t>Sunday</t>
        </is>
      </c>
      <c r="N145" s="2" t="inlineStr">
        <is>
          <t>Monday</t>
        </is>
      </c>
      <c r="O145" s="2" t="inlineStr">
        <is>
          <t>Tuesday</t>
        </is>
      </c>
      <c r="P145" s="2" t="inlineStr">
        <is>
          <t>Wednesday</t>
        </is>
      </c>
      <c r="Q145" s="2" t="inlineStr">
        <is>
          <t>Thursday</t>
        </is>
      </c>
      <c r="R145" s="2" t="inlineStr">
        <is>
          <t>Friday</t>
        </is>
      </c>
      <c r="S145" s="2" t="inlineStr">
        <is>
          <t>Saturday</t>
        </is>
      </c>
      <c r="T145" s="2" t="inlineStr">
        <is>
          <t>Sunday</t>
        </is>
      </c>
      <c r="U145" s="2" t="inlineStr">
        <is>
          <t>Monday</t>
        </is>
      </c>
      <c r="V145" s="2" t="inlineStr">
        <is>
          <t>Tuesday</t>
        </is>
      </c>
      <c r="W145" s="2" t="inlineStr">
        <is>
          <t>Wednesday</t>
        </is>
      </c>
      <c r="X145" s="2" t="inlineStr">
        <is>
          <t>Thursday</t>
        </is>
      </c>
      <c r="Y145" s="2" t="inlineStr">
        <is>
          <t>Friday</t>
        </is>
      </c>
      <c r="Z145" s="2" t="inlineStr">
        <is>
          <t>Saturday</t>
        </is>
      </c>
      <c r="AA145" s="2" t="inlineStr">
        <is>
          <t>Sunday</t>
        </is>
      </c>
      <c r="AB145" s="2" t="inlineStr">
        <is>
          <t>Monday</t>
        </is>
      </c>
      <c r="AC145" s="2" t="inlineStr">
        <is>
          <t>Tuesday</t>
        </is>
      </c>
      <c r="AD145" s="2" t="inlineStr">
        <is>
          <t>Wednesday</t>
        </is>
      </c>
      <c r="AE145" s="2" t="inlineStr">
        <is>
          <t>Thursday</t>
        </is>
      </c>
      <c r="AF145" s="2" t="inlineStr">
        <is>
          <t>Friday</t>
        </is>
      </c>
      <c r="AG145" s="2" t="inlineStr">
        <is>
          <t>Total</t>
        </is>
      </c>
    </row>
    <row r="146">
      <c r="A146" s="1" t="n"/>
      <c r="B146" s="7" t="inlineStr">
        <is>
          <t>1st</t>
        </is>
      </c>
      <c r="C146" s="7" t="inlineStr">
        <is>
          <t>2nd</t>
        </is>
      </c>
      <c r="D146" s="7" t="inlineStr">
        <is>
          <t>3rd</t>
        </is>
      </c>
      <c r="E146" s="7" t="inlineStr">
        <is>
          <t>4th</t>
        </is>
      </c>
      <c r="F146" s="7" t="inlineStr">
        <is>
          <t>5th</t>
        </is>
      </c>
      <c r="G146" s="4" t="inlineStr">
        <is>
          <t>6th</t>
        </is>
      </c>
      <c r="H146" s="4" t="inlineStr">
        <is>
          <t>7th</t>
        </is>
      </c>
      <c r="I146" s="4" t="inlineStr">
        <is>
          <t>8th</t>
        </is>
      </c>
      <c r="J146" s="4" t="inlineStr">
        <is>
          <t>9th</t>
        </is>
      </c>
      <c r="K146" s="4" t="inlineStr">
        <is>
          <t>10th</t>
        </is>
      </c>
      <c r="L146" s="4" t="inlineStr">
        <is>
          <t>11th</t>
        </is>
      </c>
      <c r="M146" s="4" t="inlineStr">
        <is>
          <t>12th</t>
        </is>
      </c>
      <c r="N146" s="5" t="inlineStr">
        <is>
          <t>13th</t>
        </is>
      </c>
      <c r="O146" s="5" t="inlineStr">
        <is>
          <t>14th</t>
        </is>
      </c>
      <c r="P146" s="5" t="inlineStr">
        <is>
          <t>15th</t>
        </is>
      </c>
      <c r="Q146" s="5" t="inlineStr">
        <is>
          <t>16th</t>
        </is>
      </c>
      <c r="R146" s="5" t="inlineStr">
        <is>
          <t>17th</t>
        </is>
      </c>
      <c r="S146" s="5" t="inlineStr">
        <is>
          <t>18th</t>
        </is>
      </c>
      <c r="T146" s="5" t="inlineStr">
        <is>
          <t>19th</t>
        </is>
      </c>
      <c r="U146" s="6" t="inlineStr">
        <is>
          <t>20th</t>
        </is>
      </c>
      <c r="V146" s="6" t="inlineStr">
        <is>
          <t>21st</t>
        </is>
      </c>
      <c r="W146" s="6" t="inlineStr">
        <is>
          <t>22nd</t>
        </is>
      </c>
      <c r="X146" s="6" t="inlineStr">
        <is>
          <t>23rd</t>
        </is>
      </c>
      <c r="Y146" s="6" t="inlineStr">
        <is>
          <t>24th</t>
        </is>
      </c>
      <c r="Z146" s="6" t="inlineStr">
        <is>
          <t>25th</t>
        </is>
      </c>
      <c r="AA146" s="6" t="inlineStr">
        <is>
          <t>26th</t>
        </is>
      </c>
      <c r="AB146" s="7" t="inlineStr">
        <is>
          <t>27th</t>
        </is>
      </c>
      <c r="AC146" s="7" t="inlineStr">
        <is>
          <t>28th</t>
        </is>
      </c>
      <c r="AD146" s="7" t="inlineStr">
        <is>
          <t>29th</t>
        </is>
      </c>
      <c r="AE146" s="7" t="inlineStr">
        <is>
          <t>30th</t>
        </is>
      </c>
      <c r="AF146" s="7" t="inlineStr">
        <is>
          <t>31st</t>
        </is>
      </c>
      <c r="AG146" s="1" t="n"/>
    </row>
    <row r="147" ht="15.75" customHeight="1">
      <c r="A147" s="8" t="inlineStr">
        <is>
          <t>B-HAM CITY COUNCIL-200790-70489166</t>
        </is>
      </c>
      <c r="B147" s="79" t="n"/>
      <c r="C147" s="12" t="n"/>
      <c r="D147" s="12" t="n"/>
      <c r="E147" s="12" t="n"/>
      <c r="F147" s="12" t="n"/>
      <c r="G147" s="12" t="n"/>
      <c r="H147" s="12" t="n"/>
      <c r="I147" s="12" t="n"/>
      <c r="J147" s="12" t="n"/>
      <c r="K147" s="12" t="n"/>
      <c r="L147" s="12" t="n"/>
      <c r="M147" s="12" t="n"/>
      <c r="N147" s="12" t="n"/>
      <c r="O147" s="12" t="n"/>
      <c r="P147" s="12" t="n"/>
      <c r="Q147" s="12" t="n"/>
      <c r="R147" s="12" t="n"/>
      <c r="S147" s="12" t="n"/>
      <c r="T147" s="12" t="n"/>
      <c r="U147" s="12">
        <f>5041.28</f>
        <v/>
      </c>
      <c r="V147" s="12" t="n"/>
      <c r="W147" s="12" t="n"/>
      <c r="X147" s="12" t="n"/>
      <c r="Y147" s="12" t="n">
        <v>75502.24000000001</v>
      </c>
      <c r="Z147" s="12" t="n"/>
      <c r="AA147" s="12" t="n"/>
      <c r="AB147" s="12" t="n"/>
      <c r="AC147" s="12" t="n"/>
      <c r="AD147" s="12" t="n"/>
      <c r="AE147" s="12" t="n"/>
      <c r="AF147" s="12" t="n"/>
      <c r="AG147" s="13">
        <f>SUM(B147:AF147)</f>
        <v/>
      </c>
    </row>
    <row r="148" ht="15.75" customHeight="1">
      <c r="A148" s="8" t="inlineStr">
        <is>
          <t>Buckingham</t>
        </is>
      </c>
      <c r="B148" s="80" t="n"/>
      <c r="C148" s="9" t="n"/>
      <c r="D148" s="9" t="n"/>
      <c r="E148" s="9" t="n"/>
      <c r="F148" s="9" t="n"/>
      <c r="G148" s="9" t="n"/>
      <c r="H148" s="9" t="n"/>
      <c r="I148" s="9" t="n"/>
      <c r="J148" s="9" t="n"/>
      <c r="K148" s="9" t="n"/>
      <c r="L148" s="9" t="n"/>
      <c r="M148" s="9" t="n"/>
      <c r="N148" s="12" t="n">
        <v>4937.64</v>
      </c>
      <c r="O148" s="9" t="n"/>
      <c r="P148" s="9" t="n"/>
      <c r="Q148" s="9" t="n"/>
      <c r="R148" s="9" t="n"/>
      <c r="S148" s="9" t="n"/>
      <c r="T148" s="9" t="n"/>
      <c r="U148" s="9" t="n"/>
      <c r="V148" s="9" t="n"/>
      <c r="W148" s="9" t="n"/>
      <c r="X148" s="12" t="n">
        <v>5134.44</v>
      </c>
      <c r="Y148" s="9" t="n"/>
      <c r="Z148" s="12" t="n"/>
      <c r="AA148" s="12" t="n"/>
      <c r="AB148" s="12" t="n"/>
      <c r="AC148" s="12" t="n"/>
      <c r="AD148" s="12" t="n"/>
      <c r="AE148" s="12" t="n"/>
      <c r="AF148" s="12" t="n"/>
      <c r="AG148" s="13">
        <f>SUM(B148:AF148)</f>
        <v/>
      </c>
    </row>
    <row r="149" ht="15.75" customHeight="1">
      <c r="A149" s="8" t="inlineStr">
        <is>
          <t>Sandwell respite est</t>
        </is>
      </c>
      <c r="B149" s="80" t="n"/>
      <c r="C149" s="9" t="n"/>
      <c r="D149" s="9" t="n"/>
      <c r="E149" s="9" t="n"/>
      <c r="F149" s="9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9" t="n"/>
      <c r="P149" s="9" t="n"/>
      <c r="Q149" s="9" t="n"/>
      <c r="R149" s="9" t="n"/>
      <c r="S149" s="9" t="n"/>
      <c r="T149" s="9" t="n"/>
      <c r="U149" s="9" t="n"/>
      <c r="V149" s="9" t="n"/>
      <c r="W149" s="9" t="n"/>
      <c r="X149" s="9" t="n"/>
      <c r="Y149" s="9" t="n"/>
      <c r="Z149" s="9" t="n"/>
      <c r="AA149" s="12" t="n"/>
      <c r="AB149" s="12" t="n"/>
      <c r="AC149" s="12" t="n"/>
      <c r="AD149" s="12" t="n"/>
      <c r="AE149" s="12" t="n"/>
      <c r="AF149" s="9" t="n">
        <v>20000</v>
      </c>
      <c r="AG149" s="13">
        <f>SUM(B149:AF149)</f>
        <v/>
      </c>
    </row>
    <row r="150" ht="15.75" customHeight="1">
      <c r="A150" s="8" t="inlineStr">
        <is>
          <t xml:space="preserve">Wolverhampton respite est </t>
        </is>
      </c>
      <c r="B150" s="80" t="n"/>
      <c r="C150" s="9" t="n"/>
      <c r="D150" s="9" t="n"/>
      <c r="E150" s="9" t="n"/>
      <c r="F150" s="9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9" t="n"/>
      <c r="P150" s="9" t="n"/>
      <c r="Q150" s="9" t="n"/>
      <c r="R150" s="9" t="n"/>
      <c r="S150" s="9" t="n"/>
      <c r="T150" s="9" t="n"/>
      <c r="U150" s="9" t="n"/>
      <c r="V150" s="9" t="n"/>
      <c r="W150" s="9" t="n"/>
      <c r="X150" s="9" t="n"/>
      <c r="Y150" s="9" t="n"/>
      <c r="Z150" s="9" t="n"/>
      <c r="AA150" s="12" t="n"/>
      <c r="AB150" s="12" t="n"/>
      <c r="AC150" s="12" t="n"/>
      <c r="AD150" s="12" t="n"/>
      <c r="AE150" s="12" t="n"/>
      <c r="AF150" s="9" t="n">
        <v>30000</v>
      </c>
      <c r="AG150" s="13">
        <f>SUM(B150:AF150)</f>
        <v/>
      </c>
    </row>
    <row r="151" ht="15.75" customHeight="1">
      <c r="A151" s="8" t="inlineStr">
        <is>
          <t>Walsall Respite</t>
        </is>
      </c>
      <c r="B151" s="80" t="n"/>
      <c r="C151" s="12" t="n"/>
      <c r="D151" s="9" t="n"/>
      <c r="E151" s="9" t="n"/>
      <c r="F151" s="9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9" t="n"/>
      <c r="P151" s="9" t="n"/>
      <c r="Q151" s="9" t="n"/>
      <c r="R151" s="9" t="n"/>
      <c r="S151" s="9" t="n"/>
      <c r="T151" s="9" t="n"/>
      <c r="U151" s="9" t="n"/>
      <c r="V151" s="9" t="n"/>
      <c r="W151" s="9" t="n"/>
      <c r="X151" s="9" t="n"/>
      <c r="Y151" s="9" t="n"/>
      <c r="Z151" s="9" t="n"/>
      <c r="AA151" s="12" t="n"/>
      <c r="AB151" s="12" t="n"/>
      <c r="AC151" s="12" t="n"/>
      <c r="AD151" s="12" t="n"/>
      <c r="AE151" s="12" t="n"/>
      <c r="AF151" s="9" t="n">
        <v>15000</v>
      </c>
      <c r="AG151" s="13">
        <f>SUM(B151:AF151)</f>
        <v/>
      </c>
    </row>
    <row r="152" ht="18.75" customHeight="1">
      <c r="A152" s="8" t="inlineStr">
        <is>
          <t>Ideal for All Ltd</t>
        </is>
      </c>
      <c r="B152" s="79" t="n"/>
      <c r="C152" s="9" t="n"/>
      <c r="D152" s="11" t="n">
        <v>3661.88</v>
      </c>
      <c r="E152" s="12" t="n"/>
      <c r="F152" s="9" t="n"/>
      <c r="G152" s="12" t="n">
        <v>3344</v>
      </c>
      <c r="H152" s="9" t="n"/>
      <c r="I152" s="12" t="n">
        <v>2536.8</v>
      </c>
      <c r="J152" s="12" t="n"/>
      <c r="K152" s="12" t="n"/>
      <c r="L152" s="12" t="n"/>
      <c r="M152" s="9" t="n"/>
      <c r="N152" s="9" t="n"/>
      <c r="O152" s="9" t="n"/>
      <c r="P152" s="9" t="n"/>
      <c r="Q152" s="9" t="n"/>
      <c r="R152" s="9" t="n"/>
      <c r="S152" s="9" t="n"/>
      <c r="T152" s="9" t="n"/>
      <c r="U152" s="9" t="n"/>
      <c r="V152" s="9" t="n"/>
      <c r="W152" s="9" t="n"/>
      <c r="X152" s="9" t="n"/>
      <c r="Y152" s="9" t="n"/>
      <c r="Z152" s="9" t="n"/>
      <c r="AA152" s="12" t="n"/>
      <c r="AB152" s="12" t="n"/>
      <c r="AC152" s="12" t="n"/>
      <c r="AD152" s="12" t="n"/>
      <c r="AE152" s="12" t="n"/>
      <c r="AF152" s="12" t="n"/>
      <c r="AG152" s="13">
        <f>SUM(C152:AF152)</f>
        <v/>
      </c>
    </row>
    <row r="153" ht="15.75" customHeight="1">
      <c r="A153" s="8" t="inlineStr">
        <is>
          <t>KIRKLEES COUNCIL-204312-63046958</t>
        </is>
      </c>
      <c r="B153" s="79" t="n"/>
      <c r="C153" s="9" t="n"/>
      <c r="D153" s="9" t="n"/>
      <c r="E153" s="12" t="n"/>
      <c r="F153" s="9" t="n"/>
      <c r="G153" s="12" t="n"/>
      <c r="H153" s="9" t="n"/>
      <c r="I153" s="9" t="n"/>
      <c r="J153" s="9" t="n"/>
      <c r="K153" s="9" t="n"/>
      <c r="L153" s="12" t="n"/>
      <c r="M153" s="12" t="n"/>
      <c r="N153" s="12" t="n"/>
      <c r="O153" s="12" t="n">
        <v>5554.89</v>
      </c>
      <c r="P153" s="9" t="n"/>
      <c r="Q153" s="9" t="n"/>
      <c r="R153" s="9" t="n"/>
      <c r="S153" s="9" t="n"/>
      <c r="T153" s="9" t="n"/>
      <c r="U153" s="9" t="n"/>
      <c r="V153" s="9" t="n"/>
      <c r="W153" s="9" t="n"/>
      <c r="X153" s="9" t="n"/>
      <c r="Y153" s="9" t="n"/>
      <c r="Z153" s="9" t="n"/>
      <c r="AA153" s="12" t="n"/>
      <c r="AB153" s="12" t="n"/>
      <c r="AC153" s="12" t="n"/>
      <c r="AD153" s="12" t="n"/>
      <c r="AE153" s="12" t="n"/>
      <c r="AF153" s="12" t="n"/>
      <c r="AG153" s="13">
        <f>SUM(C153:AF153)</f>
        <v/>
      </c>
    </row>
    <row r="154" ht="15.75" customHeight="1">
      <c r="A154" s="8" t="inlineStr">
        <is>
          <t>LBH PAYMENTS BACS-602210-72430192</t>
        </is>
      </c>
      <c r="B154" s="79" t="n"/>
      <c r="C154" s="9" t="n"/>
      <c r="D154" s="9" t="n"/>
      <c r="E154" s="9" t="n"/>
      <c r="F154" s="9" t="n"/>
      <c r="G154" s="12" t="n"/>
      <c r="H154" s="12" t="n"/>
      <c r="I154" s="9" t="n"/>
      <c r="J154" s="9" t="n"/>
      <c r="K154" s="9" t="n"/>
      <c r="L154" s="12" t="n"/>
      <c r="M154" s="12" t="n"/>
      <c r="N154" s="9" t="n">
        <v>5040</v>
      </c>
      <c r="O154" s="9" t="n"/>
      <c r="P154" s="9" t="n"/>
      <c r="Q154" s="9" t="n"/>
      <c r="R154" s="9" t="n"/>
      <c r="S154" s="9" t="n"/>
      <c r="T154" s="9" t="n"/>
      <c r="U154" s="9" t="n"/>
      <c r="V154" s="9" t="n"/>
      <c r="W154" s="9" t="n"/>
      <c r="X154" s="9" t="n"/>
      <c r="Y154" s="9" t="n"/>
      <c r="Z154" s="9" t="n"/>
      <c r="AA154" s="12" t="n"/>
      <c r="AB154" s="12" t="n"/>
      <c r="AC154" s="12" t="n"/>
      <c r="AD154" s="12" t="n"/>
      <c r="AE154" s="12" t="n"/>
      <c r="AF154" s="12" t="n"/>
      <c r="AG154" s="13">
        <f>SUM(C154:AF154)</f>
        <v/>
      </c>
    </row>
    <row r="155" ht="15.75" customHeight="1">
      <c r="A155" s="8" t="inlineStr">
        <is>
          <t>NHS BIRMINGHAM &amp; S-607080-10017097</t>
        </is>
      </c>
      <c r="B155" s="79" t="n"/>
      <c r="C155" s="12" t="n"/>
      <c r="D155" s="12" t="n"/>
      <c r="E155" s="12" t="n"/>
      <c r="F155" s="9" t="inlineStr"/>
      <c r="G155" s="12" t="n">
        <v>7121.63</v>
      </c>
      <c r="H155" s="9" t="n"/>
      <c r="I155" s="9" t="n"/>
      <c r="J155" s="9" t="n"/>
      <c r="K155" s="9" t="n"/>
      <c r="L155" s="9" t="n"/>
      <c r="M155" s="9" t="n"/>
      <c r="N155" s="9" t="n"/>
      <c r="O155" s="9" t="n"/>
      <c r="P155" s="9" t="n"/>
      <c r="Q155" s="9" t="n"/>
      <c r="R155" s="9" t="n"/>
      <c r="S155" s="9" t="n"/>
      <c r="T155" s="9" t="n"/>
      <c r="U155" s="9" t="n"/>
      <c r="V155" s="9" t="n"/>
      <c r="W155" s="9" t="n"/>
      <c r="X155" s="9" t="n"/>
      <c r="Y155" s="9" t="n"/>
      <c r="Z155" s="9" t="n"/>
      <c r="AA155" s="12" t="n"/>
      <c r="AB155" s="12" t="n"/>
      <c r="AC155" s="12" t="n">
        <v>7121.63</v>
      </c>
      <c r="AD155" s="12" t="n"/>
      <c r="AE155" s="12" t="n"/>
      <c r="AF155" s="12" t="n"/>
      <c r="AG155" s="13">
        <f>SUM(C155:AF155)</f>
        <v/>
      </c>
    </row>
    <row r="156" ht="15.75" customHeight="1">
      <c r="A156" s="8" t="inlineStr">
        <is>
          <t>NHS BLACK COUNTRY-607080-10015272</t>
        </is>
      </c>
      <c r="B156" s="79" t="n"/>
      <c r="C156" s="12" t="n"/>
      <c r="D156" s="12" t="n"/>
      <c r="E156" s="9" t="inlineStr"/>
      <c r="F156" s="9" t="n"/>
      <c r="G156" s="9" t="n"/>
      <c r="H156" s="9" t="n"/>
      <c r="I156" s="12" t="n">
        <v>13185.64</v>
      </c>
      <c r="J156" s="12" t="n"/>
      <c r="K156" s="9" t="n"/>
      <c r="L156" s="9" t="n"/>
      <c r="M156" s="9" t="n"/>
      <c r="N156" s="9" t="n"/>
      <c r="O156" s="12" t="n"/>
      <c r="P156" s="9" t="n"/>
      <c r="Q156" s="9" t="n"/>
      <c r="R156" s="9" t="n"/>
      <c r="S156" s="9" t="n"/>
      <c r="T156" s="9" t="n"/>
      <c r="U156" s="9" t="n"/>
      <c r="V156" s="9" t="n"/>
      <c r="W156" s="12" t="n">
        <v>8073.21</v>
      </c>
      <c r="X156" s="9" t="n"/>
      <c r="Y156" s="12" t="n"/>
      <c r="Z156" s="9" t="n"/>
      <c r="AA156" s="12" t="n"/>
      <c r="AB156" s="12" t="n"/>
      <c r="AC156" s="12" t="n"/>
      <c r="AD156" s="12" t="n"/>
      <c r="AE156" s="12" t="n"/>
      <c r="AF156" s="12" t="n"/>
      <c r="AG156" s="13">
        <f>SUM(B156:AF156)</f>
        <v/>
      </c>
    </row>
    <row r="157" ht="15.75" customHeight="1">
      <c r="A157" s="14" t="inlineStr">
        <is>
          <t>SANDWELL MBC  BEN-601539-69624151</t>
        </is>
      </c>
      <c r="B157" s="80" t="inlineStr"/>
      <c r="C157" s="12" t="n"/>
      <c r="D157" s="9" t="inlineStr"/>
      <c r="E157" s="9" t="inlineStr"/>
      <c r="F157" s="12" t="inlineStr">
        <is>
          <t>.</t>
        </is>
      </c>
      <c r="G157" s="12" t="n"/>
      <c r="H157" s="9" t="n"/>
      <c r="I157" s="9" t="n"/>
      <c r="J157" s="9" t="n"/>
      <c r="K157" s="9" t="n"/>
      <c r="L157" s="12" t="n"/>
      <c r="M157" s="12" t="n"/>
      <c r="N157" s="9" t="n"/>
      <c r="O157" s="9" t="n"/>
      <c r="P157" s="9" t="n"/>
      <c r="Q157" s="9" t="n"/>
      <c r="R157" s="12" t="n"/>
      <c r="S157" s="9" t="n"/>
      <c r="T157" s="9" t="n"/>
      <c r="U157" s="9" t="n"/>
      <c r="V157" s="12" t="n"/>
      <c r="W157" s="12" t="n">
        <v>3000</v>
      </c>
      <c r="X157" s="9" t="n"/>
      <c r="Y157" s="9" t="n"/>
      <c r="Z157" s="12" t="n"/>
      <c r="AA157" s="12" t="n"/>
      <c r="AB157" s="12" t="n"/>
      <c r="AC157" s="12" t="n"/>
      <c r="AD157" s="12" t="n"/>
      <c r="AE157" s="12" t="n"/>
      <c r="AF157" s="12" t="n"/>
      <c r="AG157" s="13">
        <f>SUM(B157:AF157)</f>
        <v/>
      </c>
    </row>
    <row r="158" ht="15.75" customHeight="1">
      <c r="A158" s="14" t="inlineStr">
        <is>
          <t>SANDWELL MBC-601539-69624135</t>
        </is>
      </c>
      <c r="B158" s="79" t="n"/>
      <c r="C158" s="12" t="n"/>
      <c r="D158" s="12" t="n"/>
      <c r="E158" s="12" t="n"/>
      <c r="F158" s="12" t="n"/>
      <c r="G158" s="9" t="n">
        <v>120000</v>
      </c>
      <c r="H158" s="12" t="n"/>
      <c r="I158" s="12" t="n"/>
      <c r="J158" s="12" t="n"/>
      <c r="K158" s="12" t="n"/>
      <c r="L158" s="12" t="n"/>
      <c r="M158" s="12" t="n"/>
      <c r="N158" s="12" t="n"/>
      <c r="O158" s="12" t="n"/>
      <c r="P158" s="12" t="n"/>
      <c r="Q158" s="12" t="n"/>
      <c r="R158" s="12" t="n"/>
      <c r="S158" s="12" t="n"/>
      <c r="T158" s="12" t="n"/>
      <c r="U158" s="9" t="n">
        <v>120000</v>
      </c>
      <c r="V158" s="12" t="n"/>
      <c r="W158" s="12" t="n"/>
      <c r="X158" s="12" t="n"/>
      <c r="Y158" s="12" t="n"/>
      <c r="Z158" s="12" t="n"/>
      <c r="AA158" s="12" t="n"/>
      <c r="AB158" s="12" t="n"/>
      <c r="AC158" s="12" t="n"/>
      <c r="AD158" s="12" t="n"/>
      <c r="AE158" s="12" t="n"/>
      <c r="AF158" s="12" t="n"/>
      <c r="AG158" s="13">
        <f>SUM(B158:AF158)</f>
        <v/>
      </c>
    </row>
    <row r="159" ht="15.75" customHeight="1">
      <c r="A159" s="15" t="inlineStr">
        <is>
          <t>SOLIHULL MBC EXP.-200771-00561525</t>
        </is>
      </c>
      <c r="B159" s="79" t="n"/>
      <c r="C159" s="12" t="n"/>
      <c r="D159" s="12" t="n"/>
      <c r="E159" s="12" t="n"/>
      <c r="F159" s="12" t="n"/>
      <c r="G159" s="12" t="n"/>
      <c r="H159" s="12" t="n"/>
      <c r="I159" s="12" t="n"/>
      <c r="J159" s="12" t="n"/>
      <c r="K159" s="12" t="n"/>
      <c r="L159" s="12" t="n"/>
      <c r="M159" s="12" t="n"/>
      <c r="N159" s="12" t="n"/>
      <c r="O159" s="12" t="n"/>
      <c r="P159" s="12" t="n"/>
      <c r="Q159" s="12" t="n"/>
      <c r="R159" s="12" t="n"/>
      <c r="S159" s="12" t="n"/>
      <c r="T159" s="12" t="n"/>
      <c r="U159" s="12" t="n"/>
      <c r="V159" s="12" t="n"/>
      <c r="W159" s="12" t="n"/>
      <c r="X159" s="12" t="n"/>
      <c r="Y159" s="12" t="n"/>
      <c r="Z159" s="12" t="n"/>
      <c r="AA159" s="12" t="n"/>
      <c r="AB159" s="12" t="n"/>
      <c r="AC159" s="12" t="n">
        <v>32000</v>
      </c>
      <c r="AD159" s="12" t="n"/>
      <c r="AE159" s="12" t="n"/>
      <c r="AF159" s="12" t="n"/>
      <c r="AG159" s="13">
        <f>SUM(B159:AF159)</f>
        <v/>
      </c>
    </row>
    <row r="160" ht="15.75" customHeight="1">
      <c r="A160" s="15" t="inlineStr">
        <is>
          <t>WALSALL MBC BARC-209073-10731692</t>
        </is>
      </c>
      <c r="B160" s="79" t="n"/>
      <c r="C160" s="12" t="n"/>
      <c r="D160" s="12" t="n"/>
      <c r="E160" s="12" t="n"/>
      <c r="F160" s="12" t="n"/>
      <c r="G160" s="12" t="n"/>
      <c r="H160" s="12" t="n"/>
      <c r="I160" s="12" t="n"/>
      <c r="J160" s="12" t="n"/>
      <c r="K160" s="12" t="n"/>
      <c r="L160" s="12" t="n"/>
      <c r="M160" s="12" t="n"/>
      <c r="N160" s="12" t="n"/>
      <c r="O160" s="12" t="n"/>
      <c r="P160" s="12" t="n"/>
      <c r="Q160" s="9" t="n">
        <v>187000</v>
      </c>
      <c r="R160" s="12" t="n"/>
      <c r="S160" s="12" t="n"/>
      <c r="T160" s="12" t="n"/>
      <c r="U160" s="12" t="n"/>
      <c r="V160" s="12" t="n"/>
      <c r="W160" s="12" t="n"/>
      <c r="X160" s="12" t="n"/>
      <c r="Y160" s="12" t="n"/>
      <c r="Z160" s="12" t="n"/>
      <c r="AA160" s="12" t="n"/>
      <c r="AB160" s="12" t="n"/>
      <c r="AC160" s="12" t="n"/>
      <c r="AD160" s="12" t="n"/>
      <c r="AE160" s="12" t="n"/>
      <c r="AF160" s="12" t="n"/>
      <c r="AG160" s="13">
        <f>SUM(B160:AF160)</f>
        <v/>
      </c>
    </row>
    <row r="161" ht="15.75" customHeight="1">
      <c r="A161" s="15" t="inlineStr">
        <is>
          <t>WOLVERHAMPTON CC-560069-44470320</t>
        </is>
      </c>
      <c r="B161" s="79" t="n"/>
      <c r="C161" s="9" t="n">
        <v>112000</v>
      </c>
      <c r="D161" s="12" t="n"/>
      <c r="E161" s="12" t="n"/>
      <c r="F161" s="12" t="n"/>
      <c r="G161" s="12" t="n"/>
      <c r="H161" s="12" t="n"/>
      <c r="I161" s="12" t="n"/>
      <c r="J161" s="9" t="n">
        <v>112000</v>
      </c>
      <c r="K161" s="12" t="n"/>
      <c r="L161" s="12" t="n"/>
      <c r="M161" s="12" t="n"/>
      <c r="N161" s="12" t="n"/>
      <c r="O161" s="12" t="n"/>
      <c r="P161" s="12" t="n"/>
      <c r="Q161" s="9" t="n">
        <v>112000</v>
      </c>
      <c r="R161" s="12" t="n"/>
      <c r="S161" s="12" t="n"/>
      <c r="T161" s="12" t="n"/>
      <c r="U161" s="12" t="n"/>
      <c r="V161" s="12" t="n"/>
      <c r="W161" s="12" t="n"/>
      <c r="X161" s="9" t="n">
        <v>112000</v>
      </c>
      <c r="Y161" s="12" t="n"/>
      <c r="Z161" s="12" t="n"/>
      <c r="AA161" s="12" t="n"/>
      <c r="AB161" s="12" t="n"/>
      <c r="AC161" s="12" t="n"/>
      <c r="AD161" s="12" t="n"/>
      <c r="AE161" s="9" t="n">
        <v>112000</v>
      </c>
      <c r="AF161" s="12" t="n"/>
      <c r="AG161" s="13">
        <f>SUM(B161:AF161)</f>
        <v/>
      </c>
    </row>
    <row r="162" ht="15.75" customHeight="1">
      <c r="A162" s="15" t="inlineStr">
        <is>
          <t>Portsmouth</t>
        </is>
      </c>
      <c r="B162" s="79" t="n"/>
      <c r="C162" s="12" t="n"/>
      <c r="D162" s="12" t="n"/>
      <c r="E162" s="12" t="n"/>
      <c r="F162" s="12" t="n"/>
      <c r="G162" s="12" t="n"/>
      <c r="H162" s="12" t="n"/>
      <c r="I162" s="12" t="n"/>
      <c r="J162" s="12" t="n"/>
      <c r="K162" s="12" t="n"/>
      <c r="L162" s="12" t="n"/>
      <c r="M162" s="12" t="n"/>
      <c r="N162" s="12" t="n"/>
      <c r="O162" s="12" t="n"/>
      <c r="P162" s="12" t="n"/>
      <c r="Q162" s="12" t="n"/>
      <c r="R162" s="12" t="n"/>
      <c r="S162" s="12" t="n"/>
      <c r="T162" s="12" t="n"/>
      <c r="U162" s="12" t="n"/>
      <c r="V162" s="12" t="n"/>
      <c r="W162" s="9" t="n">
        <v>5247.86</v>
      </c>
      <c r="X162" s="12" t="n"/>
      <c r="Y162" s="12" t="n"/>
      <c r="Z162" s="12" t="n"/>
      <c r="AA162" s="12" t="n"/>
      <c r="AB162" s="12" t="n"/>
      <c r="AC162" s="12" t="n"/>
      <c r="AD162" s="12" t="n"/>
      <c r="AE162" s="12" t="n"/>
      <c r="AF162" s="12" t="n"/>
      <c r="AG162" s="13">
        <f>SUM(B162:AF162)</f>
        <v/>
      </c>
    </row>
    <row r="163" ht="15.75" customHeight="1">
      <c r="A163" s="15" t="inlineStr">
        <is>
          <t>HB SC</t>
        </is>
      </c>
      <c r="B163" s="10" t="n">
        <v>3800</v>
      </c>
      <c r="C163" s="10" t="n">
        <v>3800</v>
      </c>
      <c r="D163" s="10" t="n">
        <v>3800</v>
      </c>
      <c r="E163" s="10" t="n">
        <v>3800</v>
      </c>
      <c r="F163" s="10" t="n">
        <v>3800</v>
      </c>
      <c r="G163" s="10" t="n">
        <v>3800</v>
      </c>
      <c r="H163" s="10" t="n">
        <v>3800</v>
      </c>
      <c r="I163" s="10" t="n">
        <v>3800</v>
      </c>
      <c r="J163" s="10" t="n">
        <v>3800</v>
      </c>
      <c r="K163" s="10" t="n">
        <v>3800</v>
      </c>
      <c r="L163" s="10" t="n">
        <v>3800</v>
      </c>
      <c r="M163" s="10" t="n">
        <v>3800</v>
      </c>
      <c r="N163" s="10" t="n">
        <v>3800</v>
      </c>
      <c r="O163" s="10" t="n">
        <v>3800</v>
      </c>
      <c r="P163" s="10" t="n">
        <v>3800</v>
      </c>
      <c r="Q163" s="10" t="n">
        <v>3800</v>
      </c>
      <c r="R163" s="10" t="n">
        <v>3800</v>
      </c>
      <c r="S163" s="10" t="n">
        <v>3800</v>
      </c>
      <c r="T163" s="10" t="n">
        <v>3800</v>
      </c>
      <c r="U163" s="10" t="n">
        <v>3800</v>
      </c>
      <c r="V163" s="10" t="n">
        <v>3800</v>
      </c>
      <c r="W163" s="10" t="n">
        <v>3800</v>
      </c>
      <c r="X163" s="10" t="n">
        <v>3800</v>
      </c>
      <c r="Y163" s="10" t="n">
        <v>3800</v>
      </c>
      <c r="Z163" s="10" t="n">
        <v>3800</v>
      </c>
      <c r="AA163" s="10" t="n">
        <v>3800</v>
      </c>
      <c r="AB163" s="10" t="n">
        <v>3800</v>
      </c>
      <c r="AC163" s="10" t="n">
        <v>3800</v>
      </c>
      <c r="AD163" s="10" t="n">
        <v>3800</v>
      </c>
      <c r="AE163" s="10" t="n">
        <v>3800</v>
      </c>
      <c r="AF163" s="10" t="n"/>
      <c r="AG163" s="13">
        <f>SUM(B163:AF163)</f>
        <v/>
      </c>
    </row>
    <row r="164" ht="16.5" customHeight="1" thickBot="1">
      <c r="A164" s="15" t="inlineStr">
        <is>
          <t>Total</t>
        </is>
      </c>
      <c r="B164">
        <f>SUM(B147:B163)</f>
        <v/>
      </c>
      <c r="C164">
        <f>SUM(C147:C163)</f>
        <v/>
      </c>
      <c r="D164">
        <f>SUM(D147:D163)</f>
        <v/>
      </c>
      <c r="E164">
        <f>SUM(E147:E163)</f>
        <v/>
      </c>
      <c r="F164">
        <f>SUM(F147:F163)</f>
        <v/>
      </c>
      <c r="G164">
        <f>SUM(G147:G163)</f>
        <v/>
      </c>
      <c r="H164">
        <f>SUM(H147:H163)</f>
        <v/>
      </c>
      <c r="I164">
        <f>SUM(I147:I163)</f>
        <v/>
      </c>
      <c r="J164">
        <f>SUM(J147:J163)</f>
        <v/>
      </c>
      <c r="K164">
        <f>SUM(K147:K163)</f>
        <v/>
      </c>
      <c r="L164">
        <f>SUM(L147:L163)</f>
        <v/>
      </c>
      <c r="M164">
        <f>SUM(M147:M163)</f>
        <v/>
      </c>
      <c r="N164">
        <f>SUM(N147:N163)</f>
        <v/>
      </c>
      <c r="O164">
        <f>SUM(O147:O163)</f>
        <v/>
      </c>
      <c r="P164">
        <f>SUM(P147:P163)</f>
        <v/>
      </c>
      <c r="Q164">
        <f>SUM(Q147:Q163)</f>
        <v/>
      </c>
      <c r="R164">
        <f>SUM(R147:R163)</f>
        <v/>
      </c>
      <c r="S164">
        <f>SUM(S147:S163)</f>
        <v/>
      </c>
      <c r="T164">
        <f>SUM(T147:T163)</f>
        <v/>
      </c>
      <c r="U164">
        <f>SUM(U147:U163)</f>
        <v/>
      </c>
      <c r="V164">
        <f>SUM(V147:V163)</f>
        <v/>
      </c>
      <c r="W164">
        <f>SUM(W147:W163)</f>
        <v/>
      </c>
      <c r="X164">
        <f>SUM(X147:X163)</f>
        <v/>
      </c>
      <c r="Y164">
        <f>SUM(Y147:Y163)</f>
        <v/>
      </c>
      <c r="Z164">
        <f>SUM(Z147:Z163)</f>
        <v/>
      </c>
      <c r="AA164">
        <f>SUM(AA147:AA163)</f>
        <v/>
      </c>
      <c r="AB164">
        <f>SUM(AB147:AB163)</f>
        <v/>
      </c>
      <c r="AC164">
        <f>SUM(AC147:AC163)</f>
        <v/>
      </c>
      <c r="AD164">
        <f>SUM(AD147:AD163)</f>
        <v/>
      </c>
      <c r="AE164">
        <f>SUM(AE147:AE163)</f>
        <v/>
      </c>
      <c r="AG164" s="252">
        <f>SUM(AG147:AG163)</f>
        <v/>
      </c>
    </row>
    <row r="165" ht="15.75" customHeight="1" thickTop="1">
      <c r="A165" s="15" t="inlineStr">
        <is>
          <t>Ruunning Total</t>
        </is>
      </c>
      <c r="B165">
        <f>B164</f>
        <v/>
      </c>
      <c r="C165">
        <f>B165+C164</f>
        <v/>
      </c>
      <c r="D165">
        <f>C165+D164</f>
        <v/>
      </c>
      <c r="E165">
        <f>D165+E164</f>
        <v/>
      </c>
      <c r="F165">
        <f>E165+F164</f>
        <v/>
      </c>
      <c r="G165">
        <f>F165+G164</f>
        <v/>
      </c>
      <c r="H165">
        <f>G165+H164</f>
        <v/>
      </c>
      <c r="I165">
        <f>H165+I164</f>
        <v/>
      </c>
      <c r="J165">
        <f>I165+J164</f>
        <v/>
      </c>
      <c r="K165">
        <f>J165+K164</f>
        <v/>
      </c>
      <c r="L165">
        <f>K165+L164</f>
        <v/>
      </c>
      <c r="M165">
        <f>L165+M164</f>
        <v/>
      </c>
      <c r="N165">
        <f>M165+N164</f>
        <v/>
      </c>
      <c r="O165">
        <f>N165+O164</f>
        <v/>
      </c>
      <c r="P165">
        <f>O165+P164</f>
        <v/>
      </c>
      <c r="Q165">
        <f>P165+Q164</f>
        <v/>
      </c>
      <c r="R165">
        <f>Q165+R164</f>
        <v/>
      </c>
      <c r="S165">
        <f>R165+S164</f>
        <v/>
      </c>
      <c r="T165">
        <f>S165+T164</f>
        <v/>
      </c>
      <c r="U165">
        <f>T165+U164</f>
        <v/>
      </c>
      <c r="V165">
        <f>U165+V164</f>
        <v/>
      </c>
      <c r="W165">
        <f>V165+W164</f>
        <v/>
      </c>
      <c r="X165">
        <f>W165+X164</f>
        <v/>
      </c>
      <c r="Y165">
        <f>X165+Y164</f>
        <v/>
      </c>
      <c r="Z165">
        <f>Y165+Z164</f>
        <v/>
      </c>
      <c r="AA165">
        <f>Z165+AA164</f>
        <v/>
      </c>
      <c r="AB165">
        <f>AA165+AB164</f>
        <v/>
      </c>
      <c r="AC165">
        <f>AB165+AC164</f>
        <v/>
      </c>
      <c r="AD165">
        <f>AC165+AD164</f>
        <v/>
      </c>
      <c r="AE165">
        <f>AD165+AE164</f>
        <v/>
      </c>
    </row>
    <row r="168">
      <c r="A168" s="1" t="n"/>
      <c r="B168" s="2" t="inlineStr">
        <is>
          <t>Feb</t>
        </is>
      </c>
      <c r="C168" s="2" t="n"/>
      <c r="D168" s="2" t="n"/>
      <c r="E168" s="2" t="n"/>
      <c r="F168" s="2" t="n"/>
      <c r="G168" s="2" t="n"/>
      <c r="H168" s="2" t="n"/>
      <c r="I168" s="2" t="n"/>
      <c r="J168" s="2" t="n"/>
      <c r="K168" s="2" t="n"/>
      <c r="L168" s="2" t="n"/>
      <c r="M168" s="2" t="n"/>
      <c r="N168" s="2" t="n"/>
      <c r="O168" s="2" t="n"/>
      <c r="P168" s="2" t="n"/>
      <c r="Q168" s="2" t="n"/>
      <c r="R168" s="2" t="n"/>
      <c r="S168" s="2" t="n"/>
      <c r="T168" s="2" t="n"/>
      <c r="U168" s="2" t="n"/>
      <c r="V168" s="2" t="n"/>
      <c r="W168" s="2" t="n"/>
      <c r="X168" s="2" t="n"/>
      <c r="Y168" s="2" t="n"/>
      <c r="Z168" s="2" t="n"/>
      <c r="AA168" s="2" t="n"/>
      <c r="AB168" s="2" t="n"/>
      <c r="AC168" s="2" t="n"/>
      <c r="AD168" s="2" t="n"/>
      <c r="AE168" s="1" t="n"/>
      <c r="AF168" s="1" t="n"/>
      <c r="AG168" s="1" t="n"/>
    </row>
    <row r="169" ht="15.75" customHeight="1">
      <c r="A169" s="1" t="n"/>
      <c r="B169" s="2" t="inlineStr">
        <is>
          <t>Saturday</t>
        </is>
      </c>
      <c r="C169" s="2" t="inlineStr">
        <is>
          <t>Sunday</t>
        </is>
      </c>
      <c r="D169" s="2" t="inlineStr">
        <is>
          <t>Monday</t>
        </is>
      </c>
      <c r="E169" s="2" t="inlineStr">
        <is>
          <t>Tuesday</t>
        </is>
      </c>
      <c r="F169" s="2" t="inlineStr">
        <is>
          <t>Wednesday</t>
        </is>
      </c>
      <c r="G169" s="2" t="inlineStr">
        <is>
          <t>Thursday</t>
        </is>
      </c>
      <c r="H169" s="2" t="inlineStr">
        <is>
          <t>Friday</t>
        </is>
      </c>
      <c r="I169" s="2" t="inlineStr">
        <is>
          <t>Saturday</t>
        </is>
      </c>
      <c r="J169" s="2" t="inlineStr">
        <is>
          <t>Sunday</t>
        </is>
      </c>
      <c r="K169" s="2" t="inlineStr">
        <is>
          <t>Monday</t>
        </is>
      </c>
      <c r="L169" s="2" t="inlineStr">
        <is>
          <t>Tuesday</t>
        </is>
      </c>
      <c r="M169" s="2" t="inlineStr">
        <is>
          <t>Wednesday</t>
        </is>
      </c>
      <c r="N169" s="2" t="inlineStr">
        <is>
          <t>Thursday</t>
        </is>
      </c>
      <c r="O169" s="2" t="inlineStr">
        <is>
          <t>Friday</t>
        </is>
      </c>
      <c r="P169" s="2" t="inlineStr">
        <is>
          <t>Saturday</t>
        </is>
      </c>
      <c r="Q169" s="2" t="inlineStr">
        <is>
          <t>Sunday</t>
        </is>
      </c>
      <c r="R169" s="2" t="inlineStr">
        <is>
          <t>Monday</t>
        </is>
      </c>
      <c r="S169" s="2" t="inlineStr">
        <is>
          <t>Tuesday</t>
        </is>
      </c>
      <c r="T169" s="2" t="inlineStr">
        <is>
          <t>Wednesday</t>
        </is>
      </c>
      <c r="U169" s="2" t="inlineStr">
        <is>
          <t>Thursday</t>
        </is>
      </c>
      <c r="V169" s="2" t="inlineStr">
        <is>
          <t>Friday</t>
        </is>
      </c>
      <c r="W169" s="2" t="inlineStr">
        <is>
          <t>Saturday</t>
        </is>
      </c>
      <c r="X169" s="2" t="inlineStr">
        <is>
          <t>Sunday</t>
        </is>
      </c>
      <c r="Y169" s="2" t="inlineStr">
        <is>
          <t>Monday</t>
        </is>
      </c>
      <c r="Z169" s="2" t="inlineStr">
        <is>
          <t>Tuesday</t>
        </is>
      </c>
      <c r="AA169" s="2" t="inlineStr">
        <is>
          <t>Wednesday</t>
        </is>
      </c>
      <c r="AB169" s="2" t="inlineStr">
        <is>
          <t>Thursday</t>
        </is>
      </c>
      <c r="AC169" s="2" t="inlineStr">
        <is>
          <t>Friday</t>
        </is>
      </c>
      <c r="AD169" s="2" t="n"/>
      <c r="AE169" s="2" t="n"/>
      <c r="AF169" s="9" t="n"/>
      <c r="AG169" s="2" t="inlineStr">
        <is>
          <t>Total</t>
        </is>
      </c>
    </row>
    <row r="170" ht="15.75" customHeight="1">
      <c r="A170" s="1" t="n"/>
      <c r="B170" s="7" t="inlineStr">
        <is>
          <t>1st</t>
        </is>
      </c>
      <c r="C170" s="7" t="inlineStr">
        <is>
          <t>2nd</t>
        </is>
      </c>
      <c r="D170" s="3" t="inlineStr">
        <is>
          <t>3rd</t>
        </is>
      </c>
      <c r="E170" s="3" t="inlineStr">
        <is>
          <t>4th</t>
        </is>
      </c>
      <c r="F170" s="3" t="inlineStr">
        <is>
          <t>5th</t>
        </is>
      </c>
      <c r="G170" s="3" t="inlineStr">
        <is>
          <t>6th</t>
        </is>
      </c>
      <c r="H170" s="3" t="inlineStr">
        <is>
          <t>7th</t>
        </is>
      </c>
      <c r="I170" s="3" t="inlineStr">
        <is>
          <t>8th</t>
        </is>
      </c>
      <c r="J170" s="3" t="inlineStr">
        <is>
          <t>9th</t>
        </is>
      </c>
      <c r="K170" s="4" t="inlineStr">
        <is>
          <t>10th</t>
        </is>
      </c>
      <c r="L170" s="4" t="inlineStr">
        <is>
          <t>11th</t>
        </is>
      </c>
      <c r="M170" s="4" t="inlineStr">
        <is>
          <t>12th</t>
        </is>
      </c>
      <c r="N170" s="4" t="inlineStr">
        <is>
          <t>13th</t>
        </is>
      </c>
      <c r="O170" s="4" t="inlineStr">
        <is>
          <t>14th</t>
        </is>
      </c>
      <c r="P170" s="4" t="inlineStr">
        <is>
          <t>15th</t>
        </is>
      </c>
      <c r="Q170" s="4" t="inlineStr">
        <is>
          <t>16th</t>
        </is>
      </c>
      <c r="R170" s="5" t="inlineStr">
        <is>
          <t>17th</t>
        </is>
      </c>
      <c r="S170" s="5" t="inlineStr">
        <is>
          <t>18th</t>
        </is>
      </c>
      <c r="T170" s="5" t="inlineStr">
        <is>
          <t>19th</t>
        </is>
      </c>
      <c r="U170" s="5" t="inlineStr">
        <is>
          <t>20th</t>
        </is>
      </c>
      <c r="V170" s="5" t="inlineStr">
        <is>
          <t>21st</t>
        </is>
      </c>
      <c r="W170" s="5" t="inlineStr">
        <is>
          <t>22nd</t>
        </is>
      </c>
      <c r="X170" s="5" t="inlineStr">
        <is>
          <t>23rd</t>
        </is>
      </c>
      <c r="Y170" s="6" t="inlineStr">
        <is>
          <t>24th</t>
        </is>
      </c>
      <c r="Z170" s="6" t="inlineStr">
        <is>
          <t>25th</t>
        </is>
      </c>
      <c r="AA170" s="6" t="inlineStr">
        <is>
          <t>26th</t>
        </is>
      </c>
      <c r="AB170" s="6" t="inlineStr">
        <is>
          <t>27th</t>
        </is>
      </c>
      <c r="AC170" s="6" t="inlineStr">
        <is>
          <t>28th</t>
        </is>
      </c>
      <c r="AD170" s="6" t="n"/>
      <c r="AE170" s="7" t="n"/>
      <c r="AF170" s="9" t="n"/>
      <c r="AG170" s="1" t="n"/>
    </row>
    <row r="171" ht="15.75" customHeight="1">
      <c r="A171" s="8" t="inlineStr">
        <is>
          <t>B-HAM CITY COUNCIL-200790-70489166</t>
        </is>
      </c>
      <c r="B171" s="12" t="n"/>
      <c r="C171" s="12" t="n"/>
      <c r="D171" s="12" t="n"/>
      <c r="E171" s="12" t="n"/>
      <c r="F171" s="12" t="n"/>
      <c r="G171" s="12" t="n"/>
      <c r="H171" s="12" t="n"/>
      <c r="I171" s="12" t="n"/>
      <c r="J171" s="12" t="n"/>
      <c r="K171" s="12" t="n"/>
      <c r="L171" s="12" t="n"/>
      <c r="M171" s="12" t="n"/>
      <c r="N171" s="12" t="n"/>
      <c r="O171" s="12" t="n"/>
      <c r="P171" s="12" t="n"/>
      <c r="Q171" s="12" t="n"/>
      <c r="R171" s="12" t="n"/>
      <c r="S171" s="12" t="n"/>
      <c r="T171" s="12">
        <f>5041.28</f>
        <v/>
      </c>
      <c r="U171" s="12" t="n"/>
      <c r="V171" s="12" t="n"/>
      <c r="W171" s="12" t="n"/>
      <c r="X171" s="12" t="n"/>
      <c r="Y171" s="12" t="n">
        <v>75502.24000000001</v>
      </c>
      <c r="Z171" s="12" t="n"/>
      <c r="AA171" s="12" t="n"/>
      <c r="AB171" s="12" t="n"/>
      <c r="AC171" s="12" t="n"/>
      <c r="AD171" s="12" t="n"/>
      <c r="AE171" s="12" t="n"/>
      <c r="AG171" s="13">
        <f>SUM(B171:AF171)</f>
        <v/>
      </c>
    </row>
    <row r="172" ht="15.75" customHeight="1">
      <c r="A172" s="8" t="inlineStr">
        <is>
          <t>Buckingham</t>
        </is>
      </c>
      <c r="B172" s="9" t="n"/>
      <c r="C172" s="9" t="n"/>
      <c r="D172" s="9" t="n"/>
      <c r="E172" s="9" t="n"/>
      <c r="F172" s="9" t="n"/>
      <c r="G172" s="9" t="n"/>
      <c r="H172" s="9" t="n"/>
      <c r="I172" s="9" t="n"/>
      <c r="J172" s="9" t="n"/>
      <c r="K172" s="9" t="n"/>
      <c r="L172" s="9" t="n"/>
      <c r="M172" s="9" t="n"/>
      <c r="N172" s="12" t="n">
        <v>4937.64</v>
      </c>
      <c r="O172" s="9" t="n"/>
      <c r="P172" s="9" t="n"/>
      <c r="Q172" s="9" t="n"/>
      <c r="R172" s="9" t="n"/>
      <c r="S172" s="9" t="n"/>
      <c r="T172" s="9" t="n"/>
      <c r="U172" s="9" t="n"/>
      <c r="V172" s="9" t="n"/>
      <c r="W172" s="9" t="n"/>
      <c r="X172" s="12" t="n">
        <v>5134.44</v>
      </c>
      <c r="Y172" s="9" t="n"/>
      <c r="Z172" s="12" t="n"/>
      <c r="AA172" s="12" t="n"/>
      <c r="AB172" s="12" t="n"/>
      <c r="AC172" s="12" t="n"/>
      <c r="AD172" s="12" t="n"/>
      <c r="AE172" s="12" t="n"/>
      <c r="AG172" s="13">
        <f>SUM(B172:AF172)</f>
        <v/>
      </c>
    </row>
    <row r="173" ht="15.75" customHeight="1">
      <c r="A173" s="8" t="inlineStr">
        <is>
          <t>Sandwell respite est</t>
        </is>
      </c>
      <c r="B173" s="9" t="n"/>
      <c r="C173" s="9" t="n"/>
      <c r="D173" s="9" t="n"/>
      <c r="E173" s="9" t="n"/>
      <c r="F173" s="9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9" t="n"/>
      <c r="P173" s="9" t="n"/>
      <c r="Q173" s="9" t="n"/>
      <c r="R173" s="9" t="n"/>
      <c r="S173" s="9" t="n"/>
      <c r="T173" s="9" t="n"/>
      <c r="U173" s="9" t="n"/>
      <c r="V173" s="9" t="n"/>
      <c r="W173" s="9" t="n"/>
      <c r="X173" s="9" t="n"/>
      <c r="Y173" s="9" t="n"/>
      <c r="Z173" s="12" t="n"/>
      <c r="AA173" s="12" t="n"/>
      <c r="AB173" s="12" t="n"/>
      <c r="AC173" s="12" t="n"/>
      <c r="AD173" s="12" t="n"/>
      <c r="AE173" s="12" t="n"/>
      <c r="AF173" s="9" t="n">
        <v>20000</v>
      </c>
      <c r="AG173" s="13">
        <f>SUM(B173:AF173)</f>
        <v/>
      </c>
    </row>
    <row r="174" ht="15.75" customHeight="1">
      <c r="A174" s="8" t="inlineStr">
        <is>
          <t xml:space="preserve">Wolverhampton respite est </t>
        </is>
      </c>
      <c r="B174" s="9" t="n"/>
      <c r="C174" s="9" t="n"/>
      <c r="D174" s="9" t="n"/>
      <c r="E174" s="9" t="n"/>
      <c r="F174" s="9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9" t="n"/>
      <c r="P174" s="9" t="n"/>
      <c r="Q174" s="9" t="n"/>
      <c r="R174" s="9" t="n"/>
      <c r="S174" s="9" t="n"/>
      <c r="T174" s="9" t="n"/>
      <c r="U174" s="9" t="n"/>
      <c r="V174" s="9" t="n"/>
      <c r="W174" s="9" t="n"/>
      <c r="X174" s="9" t="n"/>
      <c r="Y174" s="9" t="n"/>
      <c r="Z174" s="12" t="n"/>
      <c r="AA174" s="12" t="n"/>
      <c r="AB174" s="12" t="n"/>
      <c r="AC174" s="12" t="n"/>
      <c r="AD174" s="12" t="n"/>
      <c r="AE174" s="12" t="n"/>
      <c r="AF174" s="9" t="n">
        <v>30000</v>
      </c>
      <c r="AG174" s="13">
        <f>SUM(B174:AF174)</f>
        <v/>
      </c>
    </row>
    <row r="175" ht="15.75" customHeight="1">
      <c r="A175" s="8" t="inlineStr">
        <is>
          <t>Walsall Respite</t>
        </is>
      </c>
      <c r="B175" s="9" t="n"/>
      <c r="C175" s="12" t="n"/>
      <c r="D175" s="9" t="n"/>
      <c r="E175" s="9" t="n"/>
      <c r="F175" s="9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9" t="n"/>
      <c r="P175" s="9" t="n"/>
      <c r="Q175" s="9" t="n"/>
      <c r="R175" s="9" t="n"/>
      <c r="S175" s="9" t="n"/>
      <c r="T175" s="9" t="n"/>
      <c r="U175" s="9" t="n"/>
      <c r="V175" s="9" t="n"/>
      <c r="W175" s="9" t="n"/>
      <c r="X175" s="9" t="n"/>
      <c r="Y175" s="9" t="n"/>
      <c r="Z175" s="12" t="n"/>
      <c r="AA175" s="12" t="n"/>
      <c r="AB175" s="12" t="n"/>
      <c r="AC175" s="12" t="n"/>
      <c r="AD175" s="12" t="n"/>
      <c r="AE175" s="12" t="n"/>
      <c r="AF175" s="9" t="n">
        <v>15000</v>
      </c>
      <c r="AG175" s="13">
        <f>SUM(B175:AF175)</f>
        <v/>
      </c>
    </row>
    <row r="176" ht="18.75" customHeight="1">
      <c r="A176" s="8" t="inlineStr">
        <is>
          <t>Ideal for All Ltd</t>
        </is>
      </c>
      <c r="B176" s="12" t="n"/>
      <c r="C176" s="9" t="n"/>
      <c r="D176" s="12" t="n"/>
      <c r="E176" s="11" t="n">
        <v>3661.88</v>
      </c>
      <c r="F176" s="9" t="n"/>
      <c r="G176" s="9" t="n"/>
      <c r="H176" s="12" t="n">
        <v>2536.8</v>
      </c>
      <c r="I176" s="12" t="n"/>
      <c r="J176" s="12" t="n"/>
      <c r="K176" s="12" t="n"/>
      <c r="L176" s="12" t="n"/>
      <c r="M176" s="9" t="n"/>
      <c r="N176" s="9" t="n"/>
      <c r="O176" s="9" t="n"/>
      <c r="P176" s="12" t="n">
        <v>3344</v>
      </c>
      <c r="Q176" s="9" t="n"/>
      <c r="R176" s="9" t="n"/>
      <c r="S176" s="9" t="n"/>
      <c r="T176" s="9" t="n"/>
      <c r="U176" s="9" t="n"/>
      <c r="V176" s="9" t="n"/>
      <c r="W176" s="9" t="n"/>
      <c r="X176" s="9" t="n"/>
      <c r="Y176" s="9" t="n"/>
      <c r="Z176" s="12" t="n"/>
      <c r="AA176" s="12" t="n"/>
      <c r="AB176" s="12" t="n"/>
      <c r="AC176" s="12" t="n"/>
      <c r="AD176" s="12" t="n"/>
      <c r="AE176" s="12" t="n"/>
      <c r="AG176" s="13">
        <f>SUM(B176:AF176)</f>
        <v/>
      </c>
    </row>
    <row r="177" ht="15.75" customHeight="1">
      <c r="A177" s="8" t="inlineStr">
        <is>
          <t>KIRKLEES COUNCIL-204312-63046958</t>
        </is>
      </c>
      <c r="B177" s="12" t="n"/>
      <c r="C177" s="9" t="n"/>
      <c r="D177" s="9" t="n"/>
      <c r="E177" s="12" t="n"/>
      <c r="F177" s="9" t="n"/>
      <c r="G177" s="12" t="n"/>
      <c r="H177" s="9" t="n"/>
      <c r="I177" s="9" t="n"/>
      <c r="J177" s="9" t="n"/>
      <c r="K177" s="9" t="n"/>
      <c r="L177" s="12" t="n"/>
      <c r="M177" s="12" t="n">
        <v>5554.89</v>
      </c>
      <c r="N177" s="12" t="n"/>
      <c r="O177" s="9" t="n"/>
      <c r="P177" s="12" t="n"/>
      <c r="Q177" s="9" t="n"/>
      <c r="R177" s="9" t="n"/>
      <c r="S177" s="9" t="n"/>
      <c r="T177" s="9" t="n"/>
      <c r="U177" s="9" t="n"/>
      <c r="V177" s="9" t="n"/>
      <c r="W177" s="9" t="n"/>
      <c r="X177" s="9" t="n"/>
      <c r="Y177" s="9" t="n"/>
      <c r="Z177" s="12" t="n"/>
      <c r="AA177" s="12" t="n"/>
      <c r="AB177" s="12" t="n"/>
      <c r="AC177" s="12" t="n"/>
      <c r="AD177" s="12" t="n"/>
      <c r="AE177" s="12" t="n"/>
      <c r="AG177" s="13">
        <f>SUM(B177:AF177)</f>
        <v/>
      </c>
    </row>
    <row r="178" ht="15.75" customHeight="1">
      <c r="A178" s="8" t="inlineStr">
        <is>
          <t>LBH PAYMENTS BACS-602210-72430192</t>
        </is>
      </c>
      <c r="B178" s="12" t="n"/>
      <c r="C178" s="9" t="n"/>
      <c r="D178" s="9" t="n"/>
      <c r="E178" s="9" t="n"/>
      <c r="F178" s="9" t="n"/>
      <c r="G178" s="9" t="n"/>
      <c r="H178" s="12" t="n"/>
      <c r="I178" s="9" t="n"/>
      <c r="J178" s="9" t="n"/>
      <c r="K178" s="9" t="n"/>
      <c r="L178" s="9" t="n">
        <v>5040</v>
      </c>
      <c r="M178" s="9" t="n"/>
      <c r="N178" s="9" t="n"/>
      <c r="O178" s="9" t="n"/>
      <c r="P178" s="12" t="n"/>
      <c r="Q178" s="9" t="n"/>
      <c r="R178" s="9" t="n"/>
      <c r="S178" s="9" t="n"/>
      <c r="T178" s="9" t="n"/>
      <c r="U178" s="9" t="n"/>
      <c r="V178" s="9" t="n"/>
      <c r="W178" s="9" t="n"/>
      <c r="X178" s="9" t="n"/>
      <c r="Y178" s="9" t="n"/>
      <c r="Z178" s="12" t="n"/>
      <c r="AA178" s="12" t="n"/>
      <c r="AB178" s="12" t="n"/>
      <c r="AC178" s="12" t="n"/>
      <c r="AD178" s="12" t="n"/>
      <c r="AE178" s="12" t="n"/>
      <c r="AG178" s="13">
        <f>SUM(B178:AF178)</f>
        <v/>
      </c>
    </row>
    <row r="179" ht="15.75" customHeight="1">
      <c r="A179" s="8" t="inlineStr">
        <is>
          <t>NHS BIRMINGHAM &amp; S-607080-10017097</t>
        </is>
      </c>
      <c r="B179" s="12" t="n"/>
      <c r="C179" s="12" t="n"/>
      <c r="D179" s="12" t="n"/>
      <c r="E179" s="12" t="n"/>
      <c r="F179" s="9" t="inlineStr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9" t="n"/>
      <c r="P179" s="12" t="n">
        <v>7121.63</v>
      </c>
      <c r="Q179" s="9" t="n"/>
      <c r="R179" s="9" t="n"/>
      <c r="S179" s="9" t="n"/>
      <c r="T179" s="9" t="n"/>
      <c r="U179" s="9" t="n"/>
      <c r="V179" s="9" t="n"/>
      <c r="W179" s="9" t="n"/>
      <c r="X179" s="9" t="n"/>
      <c r="Y179" s="9" t="n"/>
      <c r="Z179" s="12" t="n"/>
      <c r="AA179" s="12" t="n"/>
      <c r="AB179" s="12" t="n"/>
      <c r="AC179" s="12" t="n"/>
      <c r="AD179" s="12" t="n"/>
      <c r="AE179" s="12" t="n"/>
      <c r="AG179" s="13">
        <f>SUM(B179:AF179)</f>
        <v/>
      </c>
    </row>
    <row r="180" ht="15.75" customHeight="1">
      <c r="A180" s="8" t="inlineStr">
        <is>
          <t>NHS BLACK COUNTRY-607080-10015272</t>
        </is>
      </c>
      <c r="B180" s="12" t="n"/>
      <c r="C180" s="12" t="n"/>
      <c r="D180" s="12" t="n"/>
      <c r="E180" s="9" t="inlineStr"/>
      <c r="F180" s="9" t="n"/>
      <c r="G180" s="9" t="n"/>
      <c r="H180" s="9" t="n"/>
      <c r="I180" s="12" t="n"/>
      <c r="J180" s="12" t="n"/>
      <c r="K180" s="12" t="n">
        <v>13185.64</v>
      </c>
      <c r="L180" s="9" t="n"/>
      <c r="M180" s="9" t="n"/>
      <c r="N180" s="9" t="n"/>
      <c r="O180" s="12" t="n"/>
      <c r="P180" s="9" t="n"/>
      <c r="Q180" s="9" t="n"/>
      <c r="R180" s="9" t="n"/>
      <c r="S180" s="9" t="n"/>
      <c r="T180" s="9" t="n"/>
      <c r="U180" s="9" t="n"/>
      <c r="V180" s="9" t="n"/>
      <c r="W180" s="12" t="n"/>
      <c r="X180" s="9" t="n"/>
      <c r="Y180" s="12" t="n"/>
      <c r="Z180" s="12" t="n">
        <v>8073.21</v>
      </c>
      <c r="AA180" s="12" t="n"/>
      <c r="AB180" s="12" t="n"/>
      <c r="AC180" s="12" t="n"/>
      <c r="AD180" s="12" t="n"/>
      <c r="AE180" s="12" t="n"/>
      <c r="AG180" s="13">
        <f>SUM(B180:AF180)</f>
        <v/>
      </c>
    </row>
    <row r="181" ht="15.75" customHeight="1">
      <c r="A181" s="14" t="inlineStr">
        <is>
          <t>SANDWELL MBC  BEN-601539-69624151</t>
        </is>
      </c>
      <c r="B181" s="9" t="inlineStr"/>
      <c r="C181" s="12" t="n"/>
      <c r="D181" s="9" t="inlineStr"/>
      <c r="E181" s="9" t="inlineStr"/>
      <c r="F181" s="12" t="inlineStr">
        <is>
          <t>.</t>
        </is>
      </c>
      <c r="G181" s="12" t="n"/>
      <c r="H181" s="9" t="n"/>
      <c r="I181" s="9" t="n"/>
      <c r="J181" s="9" t="n"/>
      <c r="K181" s="9" t="n"/>
      <c r="L181" s="12" t="n"/>
      <c r="M181" s="12" t="n"/>
      <c r="N181" s="9" t="n"/>
      <c r="O181" s="9" t="n"/>
      <c r="P181" s="9" t="n"/>
      <c r="Q181" s="9" t="n"/>
      <c r="R181" s="12" t="n"/>
      <c r="S181" s="9" t="n"/>
      <c r="T181" s="9" t="n"/>
      <c r="U181" s="9" t="n"/>
      <c r="V181" s="12" t="n"/>
      <c r="W181" s="12" t="n"/>
      <c r="X181" s="9" t="n"/>
      <c r="Y181" s="9" t="n"/>
      <c r="Z181" s="12" t="n">
        <v>3000</v>
      </c>
      <c r="AA181" s="12" t="n"/>
      <c r="AB181" s="12" t="n"/>
      <c r="AC181" s="12" t="n"/>
      <c r="AD181" s="12" t="n"/>
      <c r="AE181" s="12" t="n"/>
      <c r="AG181" s="13">
        <f>SUM(B181:AF181)</f>
        <v/>
      </c>
    </row>
    <row r="182" ht="15.75" customHeight="1">
      <c r="A182" s="14" t="inlineStr">
        <is>
          <t>SANDWELL MBC-601539-69624135</t>
        </is>
      </c>
      <c r="B182" s="12" t="n"/>
      <c r="C182" s="12" t="n"/>
      <c r="D182" s="12" t="n"/>
      <c r="E182" s="12" t="n">
        <v>120000</v>
      </c>
      <c r="F182" s="12" t="n"/>
      <c r="G182" s="12" t="n"/>
      <c r="H182" s="12" t="n"/>
      <c r="I182" s="12" t="n"/>
      <c r="J182" s="12" t="n"/>
      <c r="K182" s="12" t="n"/>
      <c r="L182" s="12" t="n"/>
      <c r="M182" s="12" t="n"/>
      <c r="N182" s="12" t="n"/>
      <c r="O182" s="12" t="n"/>
      <c r="P182" s="12" t="n"/>
      <c r="Q182" s="12" t="n"/>
      <c r="R182" s="12" t="n"/>
      <c r="S182" s="12" t="n">
        <v>120000</v>
      </c>
      <c r="T182" s="12" t="n"/>
      <c r="U182" s="12" t="n"/>
      <c r="V182" s="12" t="n"/>
      <c r="W182" s="12" t="n"/>
      <c r="X182" s="12" t="n"/>
      <c r="Y182" s="12" t="n"/>
      <c r="Z182" s="12" t="n"/>
      <c r="AA182" s="12" t="n"/>
      <c r="AB182" s="12" t="n"/>
      <c r="AC182" s="12" t="n"/>
      <c r="AD182" s="12" t="n"/>
      <c r="AE182" s="12" t="n"/>
      <c r="AG182" s="13">
        <f>SUM(B182:AF182)</f>
        <v/>
      </c>
    </row>
    <row r="183" ht="15.75" customHeight="1">
      <c r="A183" s="15" t="inlineStr">
        <is>
          <t>SOLIHULL MBC EXP.-200771-00561525</t>
        </is>
      </c>
      <c r="B183" s="12" t="n"/>
      <c r="C183" s="12" t="n"/>
      <c r="D183" s="12" t="n"/>
      <c r="E183" s="12" t="n"/>
      <c r="F183" s="12" t="n"/>
      <c r="G183" s="12" t="n"/>
      <c r="H183" s="12" t="n"/>
      <c r="I183" s="12" t="n"/>
      <c r="J183" s="12" t="n"/>
      <c r="K183" s="12" t="n"/>
      <c r="L183" s="12" t="n"/>
      <c r="M183" s="12" t="n"/>
      <c r="N183" s="12" t="n"/>
      <c r="O183" s="12" t="n"/>
      <c r="P183" s="12" t="n"/>
      <c r="Q183" s="12" t="n"/>
      <c r="R183" s="12" t="n"/>
      <c r="S183" s="12" t="n"/>
      <c r="T183" s="12" t="n"/>
      <c r="U183" s="12" t="n"/>
      <c r="V183" s="12" t="n"/>
      <c r="W183" s="12" t="n"/>
      <c r="X183" s="12" t="n"/>
      <c r="Y183" s="12" t="n"/>
      <c r="Z183" s="12" t="n"/>
      <c r="AA183" s="12" t="n">
        <v>32000</v>
      </c>
      <c r="AB183" s="12" t="n"/>
      <c r="AC183" s="12" t="n"/>
      <c r="AD183" s="12" t="n"/>
      <c r="AE183" s="12" t="n"/>
      <c r="AG183" s="13">
        <f>SUM(B183:AF183)</f>
        <v/>
      </c>
    </row>
    <row r="184" ht="15.75" customHeight="1">
      <c r="A184" s="15" t="inlineStr">
        <is>
          <t>WALSALL MBC BARC-209073-10731692</t>
        </is>
      </c>
      <c r="B184" s="12" t="n"/>
      <c r="C184" s="12" t="n"/>
      <c r="D184" s="12" t="n"/>
      <c r="E184" s="12" t="n"/>
      <c r="F184" s="12" t="n"/>
      <c r="G184" s="12" t="n"/>
      <c r="H184" s="12" t="n"/>
      <c r="I184" s="12" t="n"/>
      <c r="J184" s="12" t="n"/>
      <c r="K184" s="12" t="n"/>
      <c r="L184" s="9" t="n">
        <v>187000</v>
      </c>
      <c r="M184" s="12" t="n"/>
      <c r="N184" s="12" t="n"/>
      <c r="O184" s="12" t="n"/>
      <c r="P184" s="12" t="n"/>
      <c r="Q184" s="12" t="n"/>
      <c r="R184" s="12" t="n"/>
      <c r="S184" s="12" t="n"/>
      <c r="T184" s="12" t="n"/>
      <c r="U184" s="12" t="n"/>
      <c r="V184" s="12" t="n"/>
      <c r="W184" s="12" t="n"/>
      <c r="X184" s="12" t="n"/>
      <c r="Y184" s="12" t="n"/>
      <c r="Z184" s="12" t="n"/>
      <c r="AA184" s="12" t="n"/>
      <c r="AB184" s="12" t="n"/>
      <c r="AC184" s="12" t="n"/>
      <c r="AD184" s="12" t="n"/>
      <c r="AE184" s="12" t="n"/>
      <c r="AG184" s="13">
        <f>SUM(B184:AF184)</f>
        <v/>
      </c>
    </row>
    <row r="185" ht="15.75" customHeight="1">
      <c r="A185" s="15" t="inlineStr">
        <is>
          <t>WOLVERHAMPTON CC-560069-44470320</t>
        </is>
      </c>
      <c r="B185" s="12" t="n"/>
      <c r="C185" s="12" t="n"/>
      <c r="D185" s="12" t="n"/>
      <c r="E185" s="12" t="n"/>
      <c r="F185" s="12" t="n"/>
      <c r="G185" s="9" t="n">
        <v>112000</v>
      </c>
      <c r="H185" s="12" t="n"/>
      <c r="I185" s="12" t="n"/>
      <c r="J185" s="12" t="n"/>
      <c r="K185" s="12" t="n"/>
      <c r="L185" s="12" t="n"/>
      <c r="M185" s="12" t="n"/>
      <c r="N185" s="9" t="n">
        <v>112000</v>
      </c>
      <c r="O185" s="12" t="n"/>
      <c r="P185" s="12" t="n"/>
      <c r="Q185" s="12" t="n"/>
      <c r="R185" s="12" t="n"/>
      <c r="S185" s="12" t="n"/>
      <c r="T185" s="12" t="n"/>
      <c r="U185" s="9" t="n">
        <v>112000</v>
      </c>
      <c r="V185" s="12" t="n"/>
      <c r="W185" s="12" t="n"/>
      <c r="X185" s="12" t="n"/>
      <c r="Y185" s="12" t="n"/>
      <c r="Z185" s="12" t="n"/>
      <c r="AA185" s="12" t="n"/>
      <c r="AB185" s="9" t="n">
        <v>112000</v>
      </c>
      <c r="AC185" s="12" t="n"/>
      <c r="AD185" s="12" t="n"/>
      <c r="AE185" s="12" t="n"/>
      <c r="AG185" s="13">
        <f>SUM(B185:AF185)</f>
        <v/>
      </c>
    </row>
    <row r="186" ht="15.75" customHeight="1">
      <c r="A186" s="15" t="inlineStr">
        <is>
          <t>Portsmouth</t>
        </is>
      </c>
      <c r="B186" s="12" t="n"/>
      <c r="C186" s="12" t="n"/>
      <c r="D186" s="12" t="n"/>
      <c r="E186" s="12" t="n"/>
      <c r="F186" s="12" t="n"/>
      <c r="G186" s="12" t="n"/>
      <c r="H186" s="12" t="n"/>
      <c r="I186" s="12" t="n"/>
      <c r="J186" s="12" t="n"/>
      <c r="K186" s="12" t="n"/>
      <c r="L186" s="12" t="n"/>
      <c r="M186" s="12" t="n"/>
      <c r="N186" s="12" t="n"/>
      <c r="O186" s="12" t="n"/>
      <c r="P186" s="12" t="n"/>
      <c r="Q186" s="12" t="n"/>
      <c r="R186" s="12" t="n"/>
      <c r="S186" s="12" t="n"/>
      <c r="T186" s="9" t="n">
        <v>5247.86</v>
      </c>
      <c r="U186" s="12" t="n"/>
      <c r="V186" s="12" t="n"/>
      <c r="W186" s="12" t="n"/>
      <c r="X186" s="12" t="n"/>
      <c r="Y186" s="12" t="n"/>
      <c r="Z186" s="12" t="n"/>
      <c r="AA186" s="12" t="n"/>
      <c r="AB186" s="12" t="n"/>
      <c r="AC186" s="12" t="n"/>
      <c r="AD186" s="12" t="n"/>
      <c r="AE186" s="12" t="n"/>
      <c r="AG186" s="13">
        <f>SUM(B186:AF186)</f>
        <v/>
      </c>
    </row>
    <row r="187" ht="15.75" customHeight="1">
      <c r="A187" s="15" t="inlineStr">
        <is>
          <t>HB SC</t>
        </is>
      </c>
      <c r="B187" s="10" t="n">
        <v>3800</v>
      </c>
      <c r="C187" s="10" t="n">
        <v>3800</v>
      </c>
      <c r="D187" s="10" t="n">
        <v>3800</v>
      </c>
      <c r="E187" s="10" t="n">
        <v>3800</v>
      </c>
      <c r="F187" s="10" t="n">
        <v>3800</v>
      </c>
      <c r="G187" s="10" t="n">
        <v>3800</v>
      </c>
      <c r="H187" s="10" t="n">
        <v>3800</v>
      </c>
      <c r="I187" s="10" t="n">
        <v>3800</v>
      </c>
      <c r="J187" s="10" t="n">
        <v>3800</v>
      </c>
      <c r="K187" s="10" t="n">
        <v>3800</v>
      </c>
      <c r="L187" s="10" t="n">
        <v>3800</v>
      </c>
      <c r="M187" s="10" t="n">
        <v>3800</v>
      </c>
      <c r="N187" s="10" t="n">
        <v>3800</v>
      </c>
      <c r="O187" s="10" t="n">
        <v>3800</v>
      </c>
      <c r="P187" s="10" t="n">
        <v>3800</v>
      </c>
      <c r="Q187" s="10" t="n">
        <v>3800</v>
      </c>
      <c r="R187" s="10" t="n">
        <v>3800</v>
      </c>
      <c r="S187" s="10" t="n">
        <v>3800</v>
      </c>
      <c r="T187" s="10" t="n">
        <v>3800</v>
      </c>
      <c r="U187" s="10" t="n">
        <v>3800</v>
      </c>
      <c r="V187" s="10" t="n">
        <v>3800</v>
      </c>
      <c r="W187" s="10" t="n">
        <v>3800</v>
      </c>
      <c r="X187" s="10" t="n">
        <v>3800</v>
      </c>
      <c r="Y187" s="10" t="n">
        <v>3800</v>
      </c>
      <c r="Z187" s="10" t="n">
        <v>3800</v>
      </c>
      <c r="AA187" s="10" t="n">
        <v>3800</v>
      </c>
      <c r="AB187" s="10" t="n">
        <v>3800</v>
      </c>
      <c r="AC187" s="10" t="n">
        <v>3800</v>
      </c>
      <c r="AD187" s="10" t="n">
        <v>3800</v>
      </c>
      <c r="AE187" s="10" t="n">
        <v>3800</v>
      </c>
      <c r="AF187" s="16" t="n"/>
      <c r="AG187" s="13">
        <f>SUM(B187:AF187)</f>
        <v/>
      </c>
    </row>
    <row r="188" ht="16.5" customHeight="1" thickBot="1">
      <c r="A188" s="15" t="inlineStr">
        <is>
          <t>Total</t>
        </is>
      </c>
      <c r="B188">
        <f>SUM(B171:B187)</f>
        <v/>
      </c>
      <c r="C188">
        <f>SUM(C171:C187)</f>
        <v/>
      </c>
      <c r="D188">
        <f>SUM(D171:D187)</f>
        <v/>
      </c>
      <c r="E188">
        <f>SUM(E171:E187)</f>
        <v/>
      </c>
      <c r="F188">
        <f>SUM(F171:F187)</f>
        <v/>
      </c>
      <c r="G188">
        <f>SUM(G171:G187)</f>
        <v/>
      </c>
      <c r="H188">
        <f>SUM(H171:H187)</f>
        <v/>
      </c>
      <c r="I188">
        <f>SUM(I171:I187)</f>
        <v/>
      </c>
      <c r="J188">
        <f>SUM(J171:J187)</f>
        <v/>
      </c>
      <c r="K188">
        <f>SUM(K171:K187)</f>
        <v/>
      </c>
      <c r="L188">
        <f>SUM(L171:L187)</f>
        <v/>
      </c>
      <c r="M188">
        <f>SUM(M171:M187)</f>
        <v/>
      </c>
      <c r="N188">
        <f>SUM(N171:N187)</f>
        <v/>
      </c>
      <c r="O188">
        <f>SUM(O171:O187)</f>
        <v/>
      </c>
      <c r="P188">
        <f>SUM(P171:P187)</f>
        <v/>
      </c>
      <c r="Q188">
        <f>SUM(Q171:Q187)</f>
        <v/>
      </c>
      <c r="R188">
        <f>SUM(R171:R187)</f>
        <v/>
      </c>
      <c r="S188">
        <f>SUM(S171:S187)</f>
        <v/>
      </c>
      <c r="T188">
        <f>SUM(T171:T187)</f>
        <v/>
      </c>
      <c r="U188">
        <f>SUM(U171:U187)</f>
        <v/>
      </c>
      <c r="V188">
        <f>SUM(V171:V187)</f>
        <v/>
      </c>
      <c r="W188">
        <f>SUM(W171:W187)</f>
        <v/>
      </c>
      <c r="X188">
        <f>SUM(X171:X187)</f>
        <v/>
      </c>
      <c r="Y188">
        <f>SUM(Y171:Y187)</f>
        <v/>
      </c>
      <c r="Z188">
        <f>SUM(Z171:Z187)</f>
        <v/>
      </c>
      <c r="AA188">
        <f>SUM(AA171:AA187)</f>
        <v/>
      </c>
      <c r="AB188">
        <f>SUM(AB171:AB187)</f>
        <v/>
      </c>
      <c r="AC188">
        <f>SUM(AC171:AC187)</f>
        <v/>
      </c>
      <c r="AD188">
        <f>SUM(AD171:AD187)</f>
        <v/>
      </c>
      <c r="AE188">
        <f>SUM(AE171:AE187)</f>
        <v/>
      </c>
      <c r="AG188" s="252">
        <f>SUM(AG171:AG187)</f>
        <v/>
      </c>
    </row>
    <row r="189" ht="15.75" customHeight="1" thickTop="1">
      <c r="A189" s="15" t="inlineStr">
        <is>
          <t>Ruunning Total</t>
        </is>
      </c>
      <c r="B189">
        <f>B188</f>
        <v/>
      </c>
      <c r="C189">
        <f>B189+C188</f>
        <v/>
      </c>
      <c r="D189">
        <f>C189+D188</f>
        <v/>
      </c>
      <c r="E189">
        <f>D189+E188</f>
        <v/>
      </c>
      <c r="F189">
        <f>E189+F188</f>
        <v/>
      </c>
      <c r="G189">
        <f>F189+G188</f>
        <v/>
      </c>
      <c r="H189">
        <f>G189+H188</f>
        <v/>
      </c>
      <c r="I189">
        <f>H189+I188</f>
        <v/>
      </c>
      <c r="J189">
        <f>I189+J188</f>
        <v/>
      </c>
      <c r="K189">
        <f>J189+K188</f>
        <v/>
      </c>
      <c r="L189">
        <f>K189+L188</f>
        <v/>
      </c>
      <c r="M189">
        <f>L189+M188</f>
        <v/>
      </c>
      <c r="N189">
        <f>M189+N188</f>
        <v/>
      </c>
      <c r="O189">
        <f>N189+O188</f>
        <v/>
      </c>
      <c r="P189">
        <f>O189+P188</f>
        <v/>
      </c>
      <c r="Q189">
        <f>P189+Q188</f>
        <v/>
      </c>
      <c r="R189">
        <f>Q189+R188</f>
        <v/>
      </c>
      <c r="S189">
        <f>R189+S188</f>
        <v/>
      </c>
      <c r="T189">
        <f>S189+T188</f>
        <v/>
      </c>
      <c r="U189">
        <f>T189+U188</f>
        <v/>
      </c>
      <c r="V189">
        <f>U189+V188</f>
        <v/>
      </c>
      <c r="W189">
        <f>V189+W188</f>
        <v/>
      </c>
      <c r="X189">
        <f>W189+X188</f>
        <v/>
      </c>
      <c r="Y189">
        <f>X189+Y188</f>
        <v/>
      </c>
      <c r="Z189">
        <f>Y189+Z188</f>
        <v/>
      </c>
      <c r="AA189">
        <f>Z189+AA188</f>
        <v/>
      </c>
      <c r="AB189">
        <f>AA189+AB188</f>
        <v/>
      </c>
      <c r="AC189">
        <f>AB189+AC188</f>
        <v/>
      </c>
      <c r="AD189">
        <f>AC189+AD188</f>
        <v/>
      </c>
      <c r="AE189">
        <f>AD189+AE188</f>
        <v/>
      </c>
    </row>
    <row r="192">
      <c r="A192" s="1" t="n"/>
      <c r="B192" s="2" t="inlineStr">
        <is>
          <t>March</t>
        </is>
      </c>
      <c r="C192" s="2" t="n"/>
      <c r="D192" s="2" t="n"/>
      <c r="E192" s="2" t="n"/>
      <c r="F192" s="2" t="n"/>
      <c r="G192" s="2" t="n"/>
      <c r="H192" s="2" t="n"/>
      <c r="I192" s="2" t="n"/>
      <c r="J192" s="2" t="n"/>
      <c r="K192" s="2" t="n"/>
      <c r="L192" s="2" t="n"/>
      <c r="M192" s="2" t="n"/>
      <c r="N192" s="2" t="n"/>
      <c r="O192" s="2" t="n"/>
      <c r="P192" s="2" t="n"/>
      <c r="Q192" s="2" t="n"/>
      <c r="R192" s="2" t="n"/>
      <c r="S192" s="2" t="n"/>
      <c r="T192" s="2" t="n"/>
      <c r="U192" s="2" t="n"/>
      <c r="V192" s="2" t="n"/>
      <c r="W192" s="2" t="n"/>
      <c r="X192" s="2" t="n"/>
      <c r="Y192" s="2" t="n"/>
      <c r="Z192" s="2" t="n"/>
      <c r="AA192" s="2" t="n"/>
      <c r="AB192" s="2" t="n"/>
      <c r="AC192" s="2" t="n"/>
      <c r="AD192" s="2" t="n"/>
      <c r="AE192" s="1" t="n"/>
      <c r="AF192" s="1" t="n"/>
      <c r="AG192" s="1" t="n"/>
    </row>
    <row r="193">
      <c r="A193" s="1" t="n"/>
      <c r="B193" s="2" t="inlineStr">
        <is>
          <t>Saturday</t>
        </is>
      </c>
      <c r="C193" s="2" t="inlineStr">
        <is>
          <t>Sunday</t>
        </is>
      </c>
      <c r="D193" s="2" t="inlineStr">
        <is>
          <t>Monday</t>
        </is>
      </c>
      <c r="E193" s="2" t="inlineStr">
        <is>
          <t>Tuesday</t>
        </is>
      </c>
      <c r="F193" s="2" t="inlineStr">
        <is>
          <t>Wednesday</t>
        </is>
      </c>
      <c r="G193" s="2" t="inlineStr">
        <is>
          <t>Thursday</t>
        </is>
      </c>
      <c r="H193" s="2" t="inlineStr">
        <is>
          <t>Friday</t>
        </is>
      </c>
      <c r="I193" s="2" t="inlineStr">
        <is>
          <t>Saturday</t>
        </is>
      </c>
      <c r="J193" s="2" t="inlineStr">
        <is>
          <t>Sunday</t>
        </is>
      </c>
      <c r="K193" s="2" t="inlineStr">
        <is>
          <t>Monday</t>
        </is>
      </c>
      <c r="L193" s="2" t="inlineStr">
        <is>
          <t>Tuesday</t>
        </is>
      </c>
      <c r="M193" s="2" t="inlineStr">
        <is>
          <t>Wednesday</t>
        </is>
      </c>
      <c r="N193" s="2" t="inlineStr">
        <is>
          <t>Thursday</t>
        </is>
      </c>
      <c r="O193" s="2" t="inlineStr">
        <is>
          <t>Friday</t>
        </is>
      </c>
      <c r="P193" s="2" t="inlineStr">
        <is>
          <t>Saturday</t>
        </is>
      </c>
      <c r="Q193" s="2" t="inlineStr">
        <is>
          <t>Sunday</t>
        </is>
      </c>
      <c r="R193" s="2" t="inlineStr">
        <is>
          <t>Monday</t>
        </is>
      </c>
      <c r="S193" s="2" t="inlineStr">
        <is>
          <t>Tuesday</t>
        </is>
      </c>
      <c r="T193" s="2" t="inlineStr">
        <is>
          <t>Wednesday</t>
        </is>
      </c>
      <c r="U193" s="2" t="inlineStr">
        <is>
          <t>Thursday</t>
        </is>
      </c>
      <c r="V193" s="2" t="inlineStr">
        <is>
          <t>Friday</t>
        </is>
      </c>
      <c r="W193" s="2" t="inlineStr">
        <is>
          <t>Saturday</t>
        </is>
      </c>
      <c r="X193" s="2" t="inlineStr">
        <is>
          <t>Sunday</t>
        </is>
      </c>
      <c r="Y193" s="2" t="inlineStr">
        <is>
          <t>Monday</t>
        </is>
      </c>
      <c r="Z193" s="2" t="inlineStr">
        <is>
          <t>Tuesday</t>
        </is>
      </c>
      <c r="AA193" s="2" t="inlineStr">
        <is>
          <t>Wednesday</t>
        </is>
      </c>
      <c r="AB193" s="2" t="inlineStr">
        <is>
          <t>Thursday</t>
        </is>
      </c>
      <c r="AC193" s="2" t="inlineStr">
        <is>
          <t>Friday</t>
        </is>
      </c>
      <c r="AD193" s="2" t="inlineStr">
        <is>
          <t>Saturday</t>
        </is>
      </c>
      <c r="AE193" s="2" t="inlineStr">
        <is>
          <t>Sunday</t>
        </is>
      </c>
      <c r="AF193" s="2" t="inlineStr">
        <is>
          <t>Monday</t>
        </is>
      </c>
      <c r="AG193" s="2" t="inlineStr">
        <is>
          <t>Total</t>
        </is>
      </c>
    </row>
    <row r="194">
      <c r="A194" s="1" t="n"/>
      <c r="B194" s="87" t="inlineStr">
        <is>
          <t>1st</t>
        </is>
      </c>
      <c r="C194" s="87" t="inlineStr">
        <is>
          <t>2nd</t>
        </is>
      </c>
      <c r="D194" s="3" t="inlineStr">
        <is>
          <t>3rd</t>
        </is>
      </c>
      <c r="E194" s="3" t="inlineStr">
        <is>
          <t>4th</t>
        </is>
      </c>
      <c r="F194" s="3" t="inlineStr">
        <is>
          <t>5th</t>
        </is>
      </c>
      <c r="G194" s="3" t="inlineStr">
        <is>
          <t>6th</t>
        </is>
      </c>
      <c r="H194" s="3" t="inlineStr">
        <is>
          <t>7th</t>
        </is>
      </c>
      <c r="I194" s="3" t="inlineStr">
        <is>
          <t>8th</t>
        </is>
      </c>
      <c r="J194" s="3" t="inlineStr">
        <is>
          <t>9th</t>
        </is>
      </c>
      <c r="K194" s="4" t="inlineStr">
        <is>
          <t>10th</t>
        </is>
      </c>
      <c r="L194" s="4" t="inlineStr">
        <is>
          <t>11th</t>
        </is>
      </c>
      <c r="M194" s="4" t="inlineStr">
        <is>
          <t>12th</t>
        </is>
      </c>
      <c r="N194" s="4" t="inlineStr">
        <is>
          <t>13th</t>
        </is>
      </c>
      <c r="O194" s="4" t="inlineStr">
        <is>
          <t>14th</t>
        </is>
      </c>
      <c r="P194" s="4" t="inlineStr">
        <is>
          <t>15th</t>
        </is>
      </c>
      <c r="Q194" s="4" t="inlineStr">
        <is>
          <t>16th</t>
        </is>
      </c>
      <c r="R194" s="5" t="inlineStr">
        <is>
          <t>17th</t>
        </is>
      </c>
      <c r="S194" s="5" t="inlineStr">
        <is>
          <t>18th</t>
        </is>
      </c>
      <c r="T194" s="5" t="inlineStr">
        <is>
          <t>19th</t>
        </is>
      </c>
      <c r="U194" s="5" t="inlineStr">
        <is>
          <t>20th</t>
        </is>
      </c>
      <c r="V194" s="5" t="inlineStr">
        <is>
          <t>21st</t>
        </is>
      </c>
      <c r="W194" s="5" t="inlineStr">
        <is>
          <t>22nd</t>
        </is>
      </c>
      <c r="X194" s="5" t="inlineStr">
        <is>
          <t>23rd</t>
        </is>
      </c>
      <c r="Y194" s="6" t="inlineStr">
        <is>
          <t>24th</t>
        </is>
      </c>
      <c r="Z194" s="6" t="inlineStr">
        <is>
          <t>25th</t>
        </is>
      </c>
      <c r="AA194" s="6" t="inlineStr">
        <is>
          <t>26th</t>
        </is>
      </c>
      <c r="AB194" s="6" t="inlineStr">
        <is>
          <t>27th</t>
        </is>
      </c>
      <c r="AC194" s="6" t="inlineStr">
        <is>
          <t>28th</t>
        </is>
      </c>
      <c r="AD194" s="6" t="inlineStr">
        <is>
          <t>29th</t>
        </is>
      </c>
      <c r="AE194" s="6" t="inlineStr">
        <is>
          <t>30th</t>
        </is>
      </c>
      <c r="AF194" s="7" t="inlineStr">
        <is>
          <t>31st</t>
        </is>
      </c>
      <c r="AG194" s="1" t="n"/>
    </row>
    <row r="195" ht="15.75" customHeight="1">
      <c r="A195" s="8" t="inlineStr">
        <is>
          <t>B-HAM CITY COUNCIL-200790-70489166</t>
        </is>
      </c>
      <c r="B195" s="12" t="n"/>
      <c r="C195" s="12" t="n"/>
      <c r="D195" s="12" t="n"/>
      <c r="E195" s="12" t="n"/>
      <c r="F195" s="12" t="n"/>
      <c r="G195" s="12" t="n"/>
      <c r="H195" s="12" t="n"/>
      <c r="I195" s="12" t="n"/>
      <c r="J195" s="12" t="n"/>
      <c r="K195" s="12" t="n"/>
      <c r="L195" s="12" t="n"/>
      <c r="M195" s="12" t="n"/>
      <c r="N195" s="12" t="n"/>
      <c r="O195" s="12" t="n"/>
      <c r="P195" s="12" t="n"/>
      <c r="Q195" s="12" t="n"/>
      <c r="R195" s="12" t="n"/>
      <c r="S195" s="12">
        <f>5041.28</f>
        <v/>
      </c>
      <c r="T195" s="12" t="n"/>
      <c r="U195" s="12" t="n"/>
      <c r="V195" s="12" t="n"/>
      <c r="W195" s="12" t="n"/>
      <c r="X195" s="12" t="n"/>
      <c r="Y195" s="12" t="n"/>
      <c r="Z195" s="12" t="n">
        <v>75502.24000000001</v>
      </c>
      <c r="AA195" s="12" t="n"/>
      <c r="AB195" s="12" t="n"/>
      <c r="AC195" s="12" t="n"/>
      <c r="AD195" s="12" t="n"/>
      <c r="AE195" s="12" t="n"/>
      <c r="AF195" s="12" t="n"/>
      <c r="AG195" s="13">
        <f>SUM(B195:AF195)</f>
        <v/>
      </c>
    </row>
    <row r="196" ht="15.75" customHeight="1">
      <c r="A196" s="8" t="inlineStr">
        <is>
          <t>Buckingham</t>
        </is>
      </c>
      <c r="B196" s="12" t="n"/>
      <c r="C196" s="12" t="n"/>
      <c r="D196" s="9" t="n"/>
      <c r="E196" s="9" t="n"/>
      <c r="F196" s="9" t="n"/>
      <c r="G196" s="9" t="n"/>
      <c r="H196" s="9" t="n"/>
      <c r="I196" s="9" t="n"/>
      <c r="J196" s="9" t="n"/>
      <c r="K196" s="9" t="n"/>
      <c r="L196" s="9" t="n"/>
      <c r="M196" s="12" t="n">
        <v>4937.64</v>
      </c>
      <c r="N196" s="9" t="n"/>
      <c r="O196" s="9" t="n"/>
      <c r="P196" s="9" t="n"/>
      <c r="Q196" s="9" t="n"/>
      <c r="R196" s="9" t="n"/>
      <c r="S196" s="9" t="n"/>
      <c r="T196" s="9" t="n"/>
      <c r="U196" s="9" t="n"/>
      <c r="V196" s="9" t="n"/>
      <c r="W196" s="12" t="n"/>
      <c r="X196" s="9" t="n"/>
      <c r="Y196" s="12" t="n">
        <v>5134.44</v>
      </c>
      <c r="Z196" s="12" t="n"/>
      <c r="AA196" s="12" t="n"/>
      <c r="AB196" s="12" t="n"/>
      <c r="AC196" s="12" t="n"/>
      <c r="AD196" s="12" t="n"/>
      <c r="AE196" s="12" t="n"/>
      <c r="AF196" s="12" t="n"/>
      <c r="AG196" s="13">
        <f>SUM(B196:AF196)</f>
        <v/>
      </c>
    </row>
    <row r="197" ht="15.75" customHeight="1">
      <c r="A197" s="8" t="inlineStr">
        <is>
          <t>Sandwell respite est</t>
        </is>
      </c>
      <c r="B197" s="12" t="n"/>
      <c r="C197" s="12" t="n"/>
      <c r="D197" s="9" t="n"/>
      <c r="E197" s="9" t="n"/>
      <c r="F197" s="9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9" t="n"/>
      <c r="P197" s="9" t="n"/>
      <c r="Q197" s="9" t="n"/>
      <c r="R197" s="9" t="n"/>
      <c r="S197" s="9" t="n"/>
      <c r="T197" s="9" t="n"/>
      <c r="U197" s="9" t="n"/>
      <c r="V197" s="9" t="n"/>
      <c r="W197" s="9" t="n"/>
      <c r="X197" s="9" t="n"/>
      <c r="Y197" s="12" t="n"/>
      <c r="Z197" s="12" t="n"/>
      <c r="AA197" s="12" t="n"/>
      <c r="AB197" s="12" t="n"/>
      <c r="AC197" s="12" t="n"/>
      <c r="AD197" s="12" t="n"/>
      <c r="AE197" s="12" t="n"/>
      <c r="AF197" s="9" t="n">
        <v>20000</v>
      </c>
      <c r="AG197" s="13">
        <f>SUM(B197:AF197)</f>
        <v/>
      </c>
    </row>
    <row r="198" ht="15.75" customHeight="1">
      <c r="A198" s="8" t="inlineStr">
        <is>
          <t xml:space="preserve">Wolverhampton respite est </t>
        </is>
      </c>
      <c r="B198" s="12" t="n"/>
      <c r="C198" s="12" t="n"/>
      <c r="D198" s="9" t="n"/>
      <c r="E198" s="9" t="n"/>
      <c r="F198" s="9" t="n"/>
      <c r="G198" s="9" t="n"/>
      <c r="H198" s="9" t="n"/>
      <c r="I198" s="9" t="n"/>
      <c r="J198" s="9" t="n"/>
      <c r="K198" s="9" t="n"/>
      <c r="L198" s="9" t="n"/>
      <c r="M198" s="9" t="n"/>
      <c r="N198" s="9" t="n"/>
      <c r="O198" s="9" t="n"/>
      <c r="P198" s="9" t="n"/>
      <c r="Q198" s="9" t="n"/>
      <c r="R198" s="9" t="n"/>
      <c r="S198" s="9" t="n"/>
      <c r="T198" s="9" t="n"/>
      <c r="U198" s="9" t="n"/>
      <c r="V198" s="9" t="n"/>
      <c r="W198" s="9" t="n"/>
      <c r="X198" s="9" t="n"/>
      <c r="Y198" s="12" t="n"/>
      <c r="Z198" s="12" t="n"/>
      <c r="AA198" s="12" t="n"/>
      <c r="AB198" s="12" t="n"/>
      <c r="AC198" s="12" t="n"/>
      <c r="AD198" s="12" t="n"/>
      <c r="AE198" s="12" t="n"/>
      <c r="AF198" s="9" t="n">
        <v>30000</v>
      </c>
      <c r="AG198" s="13">
        <f>SUM(B198:AF198)</f>
        <v/>
      </c>
    </row>
    <row r="199" ht="15.75" customHeight="1">
      <c r="A199" s="8" t="inlineStr">
        <is>
          <t>Walsall Respite</t>
        </is>
      </c>
      <c r="B199" s="12" t="n"/>
      <c r="C199" s="12" t="n"/>
      <c r="D199" s="9" t="n"/>
      <c r="E199" s="9" t="n"/>
      <c r="F199" s="9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9" t="n"/>
      <c r="P199" s="9" t="n"/>
      <c r="Q199" s="9" t="n"/>
      <c r="R199" s="9" t="n"/>
      <c r="S199" s="9" t="n"/>
      <c r="T199" s="9" t="n"/>
      <c r="U199" s="9" t="n"/>
      <c r="V199" s="9" t="n"/>
      <c r="W199" s="9" t="n"/>
      <c r="X199" s="9" t="n"/>
      <c r="Y199" s="12" t="n"/>
      <c r="Z199" s="12" t="n"/>
      <c r="AA199" s="12" t="n"/>
      <c r="AB199" s="12" t="n"/>
      <c r="AC199" s="12" t="n"/>
      <c r="AD199" s="12" t="n"/>
      <c r="AE199" s="12" t="n"/>
      <c r="AF199" s="9" t="n">
        <v>15000</v>
      </c>
      <c r="AG199" s="13">
        <f>SUM(B199:AF199)</f>
        <v/>
      </c>
    </row>
    <row r="200" ht="18.75" customHeight="1">
      <c r="A200" s="8" t="inlineStr">
        <is>
          <t>Ideal for All Ltd</t>
        </is>
      </c>
      <c r="B200" s="12" t="n"/>
      <c r="C200" s="12" t="n"/>
      <c r="D200" s="11" t="n">
        <v>3661.88</v>
      </c>
      <c r="E200" s="9" t="n"/>
      <c r="F200" s="9" t="n"/>
      <c r="G200" s="12" t="n">
        <v>2536.8</v>
      </c>
      <c r="H200" s="12" t="n"/>
      <c r="I200" s="12" t="n"/>
      <c r="J200" s="12" t="n"/>
      <c r="K200" s="12" t="n"/>
      <c r="L200" s="9" t="n"/>
      <c r="M200" s="9" t="n"/>
      <c r="N200" s="9" t="n"/>
      <c r="O200" s="12" t="n">
        <v>3344</v>
      </c>
      <c r="P200" s="9" t="n"/>
      <c r="Q200" s="9" t="n"/>
      <c r="R200" s="9" t="n"/>
      <c r="S200" s="9" t="n"/>
      <c r="T200" s="9" t="n"/>
      <c r="U200" s="9" t="n"/>
      <c r="V200" s="9" t="n"/>
      <c r="W200" s="9" t="n"/>
      <c r="X200" s="9" t="n"/>
      <c r="Y200" s="12" t="n"/>
      <c r="Z200" s="12" t="n"/>
      <c r="AA200" s="12" t="n"/>
      <c r="AB200" s="12" t="n"/>
      <c r="AC200" s="12" t="n"/>
      <c r="AD200" s="12" t="n"/>
      <c r="AE200" s="12" t="n"/>
      <c r="AF200" s="12" t="n"/>
      <c r="AG200" s="13">
        <f>SUM(B200:AF200)</f>
        <v/>
      </c>
    </row>
    <row r="201" ht="15.75" customHeight="1">
      <c r="A201" s="8" t="inlineStr">
        <is>
          <t>KIRKLEES COUNCIL-204312-63046958</t>
        </is>
      </c>
      <c r="B201" s="12" t="n"/>
      <c r="C201" s="12" t="n"/>
      <c r="D201" s="12" t="n"/>
      <c r="E201" s="9" t="n"/>
      <c r="F201" s="12" t="n"/>
      <c r="G201" s="9" t="n"/>
      <c r="H201" s="9" t="n"/>
      <c r="I201" s="9" t="n"/>
      <c r="J201" s="9" t="n"/>
      <c r="K201" s="12" t="n"/>
      <c r="L201" s="12" t="n">
        <v>5554.89</v>
      </c>
      <c r="M201" s="12" t="n"/>
      <c r="N201" s="9" t="n"/>
      <c r="O201" s="12" t="n"/>
      <c r="P201" s="9" t="n"/>
      <c r="Q201" s="9" t="n"/>
      <c r="R201" s="9" t="n"/>
      <c r="S201" s="9" t="n"/>
      <c r="T201" s="9" t="n"/>
      <c r="U201" s="9" t="n"/>
      <c r="V201" s="9" t="n"/>
      <c r="W201" s="9" t="n"/>
      <c r="X201" s="9" t="n"/>
      <c r="Y201" s="12" t="n"/>
      <c r="Z201" s="12" t="n"/>
      <c r="AA201" s="12" t="n"/>
      <c r="AB201" s="12" t="n"/>
      <c r="AC201" s="12" t="n"/>
      <c r="AD201" s="12" t="n"/>
      <c r="AE201" s="12" t="n"/>
      <c r="AF201" s="12" t="n"/>
      <c r="AG201" s="13">
        <f>SUM(B201:AF201)</f>
        <v/>
      </c>
    </row>
    <row r="202" ht="15.75" customHeight="1">
      <c r="A202" s="8" t="inlineStr">
        <is>
          <t>LBH PAYMENTS BACS-602210-72430192</t>
        </is>
      </c>
      <c r="B202" s="12" t="n"/>
      <c r="C202" s="12" t="n"/>
      <c r="D202" s="9" t="n"/>
      <c r="E202" s="9" t="n"/>
      <c r="F202" s="9" t="n"/>
      <c r="G202" s="12" t="n"/>
      <c r="H202" s="9" t="n"/>
      <c r="I202" s="9" t="n"/>
      <c r="J202" s="9" t="n"/>
      <c r="K202" s="9" t="n">
        <v>5040</v>
      </c>
      <c r="L202" s="9" t="n"/>
      <c r="M202" s="9" t="n"/>
      <c r="N202" s="9" t="n"/>
      <c r="O202" s="12" t="n"/>
      <c r="P202" s="9" t="n"/>
      <c r="Q202" s="9" t="n"/>
      <c r="R202" s="9" t="n"/>
      <c r="S202" s="9" t="n"/>
      <c r="T202" s="9" t="n"/>
      <c r="U202" s="9" t="n"/>
      <c r="V202" s="9" t="n"/>
      <c r="W202" s="9" t="n"/>
      <c r="X202" s="9" t="n"/>
      <c r="Y202" s="12" t="n"/>
      <c r="Z202" s="12" t="n"/>
      <c r="AA202" s="12" t="n"/>
      <c r="AB202" s="12" t="n"/>
      <c r="AC202" s="12" t="n"/>
      <c r="AD202" s="12" t="n"/>
      <c r="AE202" s="12" t="n"/>
      <c r="AF202" s="12" t="n"/>
      <c r="AG202" s="13">
        <f>SUM(B202:AF202)</f>
        <v/>
      </c>
    </row>
    <row r="203" ht="15.75" customHeight="1">
      <c r="A203" s="8" t="inlineStr">
        <is>
          <t>NHS BIRMINGHAM &amp; S-607080-10017097</t>
        </is>
      </c>
      <c r="B203" s="12" t="n"/>
      <c r="C203" s="12" t="n"/>
      <c r="D203" s="12" t="n"/>
      <c r="E203" s="9" t="inlineStr"/>
      <c r="F203" s="9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2" t="n">
        <v>7121.63</v>
      </c>
      <c r="P203" s="9" t="n"/>
      <c r="Q203" s="9" t="n"/>
      <c r="R203" s="9" t="n"/>
      <c r="S203" s="9" t="n"/>
      <c r="T203" s="9" t="n"/>
      <c r="U203" s="9" t="n"/>
      <c r="V203" s="9" t="n"/>
      <c r="W203" s="9" t="n"/>
      <c r="X203" s="9" t="n"/>
      <c r="Y203" s="12" t="n"/>
      <c r="Z203" s="12" t="n"/>
      <c r="AA203" s="12" t="n"/>
      <c r="AB203" s="12" t="n"/>
      <c r="AC203" s="12" t="n"/>
      <c r="AD203" s="12" t="n"/>
      <c r="AE203" s="12" t="n"/>
      <c r="AF203" s="12" t="n"/>
      <c r="AG203" s="13">
        <f>SUM(B203:AF203)</f>
        <v/>
      </c>
    </row>
    <row r="204" ht="15.75" customHeight="1">
      <c r="A204" s="8" t="inlineStr">
        <is>
          <t>NHS BLACK COUNTRY-607080-10015272</t>
        </is>
      </c>
      <c r="B204" s="12" t="n"/>
      <c r="C204" s="12" t="n"/>
      <c r="D204" s="9" t="inlineStr"/>
      <c r="E204" s="9" t="n"/>
      <c r="F204" s="9" t="n"/>
      <c r="G204" s="9" t="n"/>
      <c r="H204" s="12" t="n"/>
      <c r="I204" s="12" t="n"/>
      <c r="J204" s="12" t="n">
        <v>13185.64</v>
      </c>
      <c r="K204" s="9" t="n"/>
      <c r="L204" s="9" t="n"/>
      <c r="M204" s="9" t="n"/>
      <c r="N204" s="12" t="n"/>
      <c r="O204" s="9" t="n"/>
      <c r="P204" s="9" t="n"/>
      <c r="Q204" s="9" t="n"/>
      <c r="R204" s="9" t="n"/>
      <c r="S204" s="9" t="n"/>
      <c r="T204" s="9" t="n"/>
      <c r="U204" s="9" t="n"/>
      <c r="V204" s="12" t="n">
        <v>8073.21</v>
      </c>
      <c r="W204" s="9" t="n"/>
      <c r="X204" s="12" t="n"/>
      <c r="Y204" s="12" t="n"/>
      <c r="Z204" s="12" t="n"/>
      <c r="AA204" s="12" t="n"/>
      <c r="AB204" s="12" t="n"/>
      <c r="AC204" s="12" t="n"/>
      <c r="AD204" s="12" t="n"/>
      <c r="AE204" s="12" t="n"/>
      <c r="AF204" s="12" t="n"/>
      <c r="AG204" s="13">
        <f>SUM(B204:AF204)</f>
        <v/>
      </c>
    </row>
    <row r="205" ht="15.75" customHeight="1">
      <c r="A205" s="14" t="inlineStr">
        <is>
          <t>SANDWELL MBC  BEN-601539-69624151</t>
        </is>
      </c>
      <c r="B205" s="12" t="n"/>
      <c r="C205" s="12" t="n"/>
      <c r="D205" s="9" t="inlineStr"/>
      <c r="E205" s="12" t="inlineStr">
        <is>
          <t>.</t>
        </is>
      </c>
      <c r="F205" s="12" t="n"/>
      <c r="G205" s="9" t="n"/>
      <c r="H205" s="9" t="n"/>
      <c r="I205" s="9" t="n"/>
      <c r="J205" s="9" t="n"/>
      <c r="K205" s="12" t="n"/>
      <c r="L205" s="12" t="n"/>
      <c r="M205" s="9" t="n"/>
      <c r="N205" s="9" t="n"/>
      <c r="O205" s="9" t="n"/>
      <c r="P205" s="9" t="n"/>
      <c r="Q205" s="12" t="n"/>
      <c r="R205" s="9" t="n"/>
      <c r="S205" s="9" t="n"/>
      <c r="T205" s="9" t="n"/>
      <c r="U205" s="12" t="n"/>
      <c r="V205" s="12" t="n">
        <v>3000</v>
      </c>
      <c r="W205" s="9" t="n"/>
      <c r="X205" s="9" t="n"/>
      <c r="Y205" s="12" t="n"/>
      <c r="Z205" s="12" t="n"/>
      <c r="AA205" s="12" t="n"/>
      <c r="AB205" s="12" t="n"/>
      <c r="AC205" s="12" t="n"/>
      <c r="AD205" s="12" t="n"/>
      <c r="AE205" s="12" t="n"/>
      <c r="AF205" s="12" t="n"/>
      <c r="AG205" s="13">
        <f>SUM(B205:AF205)</f>
        <v/>
      </c>
    </row>
    <row r="206" ht="15.75" customHeight="1">
      <c r="A206" s="14" t="inlineStr">
        <is>
          <t>SANDWELL MBC-601539-69624135</t>
        </is>
      </c>
      <c r="B206" s="12" t="n"/>
      <c r="C206" s="12" t="n"/>
      <c r="D206" s="12" t="n">
        <v>120000</v>
      </c>
      <c r="E206" s="12" t="n"/>
      <c r="F206" s="12" t="n"/>
      <c r="G206" s="12" t="n"/>
      <c r="H206" s="12" t="n"/>
      <c r="I206" s="12" t="n"/>
      <c r="J206" s="12" t="n"/>
      <c r="K206" s="12" t="n"/>
      <c r="L206" s="12" t="n"/>
      <c r="M206" s="12" t="n"/>
      <c r="N206" s="12" t="n"/>
      <c r="O206" s="12" t="n"/>
      <c r="P206" s="12" t="n"/>
      <c r="Q206" s="12" t="n"/>
      <c r="R206" s="12" t="n">
        <v>120000</v>
      </c>
      <c r="S206" s="12" t="n"/>
      <c r="T206" s="12" t="n"/>
      <c r="U206" s="12" t="n"/>
      <c r="V206" s="12" t="n"/>
      <c r="W206" s="12" t="n"/>
      <c r="X206" s="12" t="n"/>
      <c r="Y206" s="12" t="n"/>
      <c r="Z206" s="12" t="n"/>
      <c r="AA206" s="12" t="n"/>
      <c r="AB206" s="12" t="n"/>
      <c r="AC206" s="12" t="n"/>
      <c r="AD206" s="12" t="n"/>
      <c r="AE206" s="12" t="n"/>
      <c r="AF206" s="12" t="n"/>
      <c r="AG206" s="13">
        <f>SUM(B206:AF206)</f>
        <v/>
      </c>
    </row>
    <row r="207" ht="15.75" customHeight="1">
      <c r="A207" s="15" t="inlineStr">
        <is>
          <t>SOLIHULL MBC EXP.-200771-00561525</t>
        </is>
      </c>
      <c r="B207" s="12" t="n"/>
      <c r="C207" s="12" t="n"/>
      <c r="D207" s="12" t="n"/>
      <c r="E207" s="12" t="n"/>
      <c r="F207" s="12" t="n"/>
      <c r="G207" s="12" t="n"/>
      <c r="H207" s="12" t="n"/>
      <c r="I207" s="12" t="n"/>
      <c r="J207" s="12" t="n"/>
      <c r="K207" s="12" t="n"/>
      <c r="L207" s="12" t="n"/>
      <c r="M207" s="12" t="n"/>
      <c r="N207" s="12" t="n"/>
      <c r="O207" s="12" t="n"/>
      <c r="P207" s="12" t="n"/>
      <c r="Q207" s="12" t="n"/>
      <c r="R207" s="12" t="n"/>
      <c r="S207" s="12" t="n"/>
      <c r="T207" s="12" t="n"/>
      <c r="U207" s="12" t="n"/>
      <c r="V207" s="12" t="n"/>
      <c r="W207" s="12" t="n"/>
      <c r="X207" s="12" t="n"/>
      <c r="Y207" s="12" t="n"/>
      <c r="Z207" s="12" t="n">
        <v>32000</v>
      </c>
      <c r="AA207" s="12" t="n"/>
      <c r="AB207" s="12" t="n"/>
      <c r="AC207" s="12" t="n"/>
      <c r="AD207" s="12" t="n"/>
      <c r="AE207" s="12" t="n"/>
      <c r="AF207" s="12" t="n"/>
      <c r="AG207" s="13">
        <f>SUM(B207:AF207)</f>
        <v/>
      </c>
    </row>
    <row r="208" ht="15.75" customHeight="1">
      <c r="A208" s="15" t="inlineStr">
        <is>
          <t>WALSALL MBC BARC-209073-10731692</t>
        </is>
      </c>
      <c r="B208" s="12" t="n"/>
      <c r="C208" s="12" t="n"/>
      <c r="D208" s="12" t="n"/>
      <c r="E208" s="12" t="n"/>
      <c r="F208" s="12" t="n"/>
      <c r="G208" s="12" t="n"/>
      <c r="H208" s="12" t="n"/>
      <c r="I208" s="12" t="n"/>
      <c r="J208" s="12" t="n"/>
      <c r="K208" s="9" t="n">
        <v>187000</v>
      </c>
      <c r="L208" s="12" t="n"/>
      <c r="M208" s="12" t="n"/>
      <c r="N208" s="12" t="n"/>
      <c r="O208" s="12" t="n"/>
      <c r="P208" s="12" t="n"/>
      <c r="Q208" s="12" t="n"/>
      <c r="R208" s="12" t="n"/>
      <c r="S208" s="12" t="n"/>
      <c r="T208" s="12" t="n"/>
      <c r="U208" s="12" t="n"/>
      <c r="V208" s="12" t="n"/>
      <c r="W208" s="12" t="n"/>
      <c r="X208" s="12" t="n"/>
      <c r="Y208" s="12" t="n"/>
      <c r="Z208" s="12" t="n"/>
      <c r="AA208" s="12" t="n"/>
      <c r="AB208" s="12" t="n"/>
      <c r="AC208" s="12" t="n"/>
      <c r="AD208" s="12" t="n"/>
      <c r="AE208" s="12" t="n"/>
      <c r="AF208" s="12" t="n"/>
      <c r="AG208" s="13">
        <f>SUM(B208:AF208)</f>
        <v/>
      </c>
    </row>
    <row r="209" ht="15.75" customHeight="1">
      <c r="A209" s="15" t="inlineStr">
        <is>
          <t>WOLVERHAMPTON CC-560069-44470320</t>
        </is>
      </c>
      <c r="B209" s="12" t="n"/>
      <c r="C209" s="12" t="n"/>
      <c r="D209" s="12" t="n"/>
      <c r="E209" s="12" t="n"/>
      <c r="F209" s="12" t="n"/>
      <c r="G209" s="12" t="n">
        <v>112000</v>
      </c>
      <c r="H209" s="12" t="n"/>
      <c r="I209" s="12" t="n"/>
      <c r="J209" s="12" t="n"/>
      <c r="K209" s="12" t="n"/>
      <c r="L209" s="12" t="n"/>
      <c r="M209" s="12" t="n"/>
      <c r="N209" s="12" t="n">
        <v>112000</v>
      </c>
      <c r="O209" s="12" t="n"/>
      <c r="P209" s="12" t="n"/>
      <c r="Q209" s="12" t="n"/>
      <c r="R209" s="12" t="n"/>
      <c r="S209" s="12" t="n"/>
      <c r="T209" s="12" t="n"/>
      <c r="U209" s="12" t="n">
        <v>112000</v>
      </c>
      <c r="V209" s="12" t="n"/>
      <c r="W209" s="12" t="n"/>
      <c r="X209" s="12" t="n"/>
      <c r="Y209" s="12" t="n"/>
      <c r="Z209" s="12" t="n"/>
      <c r="AA209" s="12" t="n"/>
      <c r="AB209" s="12" t="n">
        <v>112000</v>
      </c>
      <c r="AC209" s="12" t="n"/>
      <c r="AD209" s="12" t="n"/>
      <c r="AE209" s="12" t="n"/>
      <c r="AF209" s="12" t="n"/>
      <c r="AG209" s="13">
        <f>SUM(B209:AF209)</f>
        <v/>
      </c>
    </row>
    <row r="210" ht="15.75" customHeight="1">
      <c r="A210" s="15" t="inlineStr">
        <is>
          <t>Portsmouth</t>
        </is>
      </c>
      <c r="B210" s="12" t="n"/>
      <c r="C210" s="12" t="n"/>
      <c r="D210" s="12" t="n"/>
      <c r="E210" s="12" t="n"/>
      <c r="F210" s="12" t="n"/>
      <c r="G210" s="12" t="n"/>
      <c r="H210" s="12" t="n"/>
      <c r="I210" s="12" t="n"/>
      <c r="J210" s="12" t="n"/>
      <c r="K210" s="12" t="n"/>
      <c r="L210" s="12" t="n"/>
      <c r="M210" s="12" t="n"/>
      <c r="N210" s="12" t="n"/>
      <c r="O210" s="12" t="n"/>
      <c r="P210" s="12" t="n"/>
      <c r="Q210" s="12" t="n"/>
      <c r="R210" s="12" t="n"/>
      <c r="S210" s="9" t="n">
        <v>5247.86</v>
      </c>
      <c r="T210" s="12" t="n"/>
      <c r="U210" s="12" t="n"/>
      <c r="V210" s="12" t="n"/>
      <c r="W210" s="12" t="n"/>
      <c r="X210" s="12" t="n"/>
      <c r="Y210" s="12" t="n"/>
      <c r="Z210" s="12" t="n"/>
      <c r="AA210" s="12" t="n"/>
      <c r="AB210" s="12" t="n"/>
      <c r="AC210" s="12" t="n"/>
      <c r="AD210" s="12" t="n"/>
      <c r="AE210" s="12" t="n"/>
      <c r="AF210" s="12" t="n"/>
      <c r="AG210" s="13">
        <f>SUM(B210:AF210)</f>
        <v/>
      </c>
    </row>
    <row r="211" ht="15.75" customHeight="1">
      <c r="A211" s="15" t="inlineStr">
        <is>
          <t>HB SC</t>
        </is>
      </c>
      <c r="B211" s="10" t="n">
        <v>3800</v>
      </c>
      <c r="C211" s="10" t="n">
        <v>3800</v>
      </c>
      <c r="D211" s="10" t="n">
        <v>3800</v>
      </c>
      <c r="E211" s="10" t="n">
        <v>3800</v>
      </c>
      <c r="F211" s="10" t="n">
        <v>3800</v>
      </c>
      <c r="G211" s="10" t="n">
        <v>3800</v>
      </c>
      <c r="H211" s="10" t="n">
        <v>3800</v>
      </c>
      <c r="I211" s="10" t="n">
        <v>3800</v>
      </c>
      <c r="J211" s="10" t="n">
        <v>3800</v>
      </c>
      <c r="K211" s="10" t="n">
        <v>3800</v>
      </c>
      <c r="L211" s="10" t="n">
        <v>3800</v>
      </c>
      <c r="M211" s="10" t="n">
        <v>3800</v>
      </c>
      <c r="N211" s="10" t="n">
        <v>3800</v>
      </c>
      <c r="O211" s="10" t="n">
        <v>3800</v>
      </c>
      <c r="P211" s="10" t="n">
        <v>3800</v>
      </c>
      <c r="Q211" s="10" t="n">
        <v>3800</v>
      </c>
      <c r="R211" s="10" t="n">
        <v>3800</v>
      </c>
      <c r="S211" s="10" t="n">
        <v>3800</v>
      </c>
      <c r="T211" s="10" t="n">
        <v>3800</v>
      </c>
      <c r="U211" s="10" t="n">
        <v>3800</v>
      </c>
      <c r="V211" s="10" t="n">
        <v>3800</v>
      </c>
      <c r="W211" s="10" t="n">
        <v>3800</v>
      </c>
      <c r="X211" s="10" t="n">
        <v>3800</v>
      </c>
      <c r="Y211" s="10" t="n">
        <v>3800</v>
      </c>
      <c r="Z211" s="10" t="n">
        <v>3800</v>
      </c>
      <c r="AA211" s="10" t="n">
        <v>3800</v>
      </c>
      <c r="AB211" s="10" t="n">
        <v>3800</v>
      </c>
      <c r="AC211" s="10" t="n">
        <v>3800</v>
      </c>
      <c r="AD211" s="10" t="n">
        <v>3800</v>
      </c>
      <c r="AE211" s="10" t="n">
        <v>3800</v>
      </c>
      <c r="AF211" s="10" t="n"/>
      <c r="AG211" s="13">
        <f>SUM(B211:AF211)</f>
        <v/>
      </c>
    </row>
    <row r="212" ht="16.5" customHeight="1" thickBot="1">
      <c r="A212" s="15" t="inlineStr">
        <is>
          <t>Total</t>
        </is>
      </c>
      <c r="B212">
        <f>SUM(B195:B211)</f>
        <v/>
      </c>
      <c r="C212">
        <f>SUM(C195:C211)</f>
        <v/>
      </c>
      <c r="D212">
        <f>SUM(D195:D211)</f>
        <v/>
      </c>
      <c r="E212">
        <f>SUM(E195:E211)</f>
        <v/>
      </c>
      <c r="F212">
        <f>SUM(F195:F211)</f>
        <v/>
      </c>
      <c r="G212">
        <f>SUM(G195:G211)</f>
        <v/>
      </c>
      <c r="H212">
        <f>SUM(H195:H211)</f>
        <v/>
      </c>
      <c r="I212">
        <f>SUM(I195:I211)</f>
        <v/>
      </c>
      <c r="J212">
        <f>SUM(J195:J211)</f>
        <v/>
      </c>
      <c r="K212">
        <f>SUM(K195:K211)</f>
        <v/>
      </c>
      <c r="L212">
        <f>SUM(L195:L211)</f>
        <v/>
      </c>
      <c r="M212">
        <f>SUM(M195:M211)</f>
        <v/>
      </c>
      <c r="N212">
        <f>SUM(N195:N211)</f>
        <v/>
      </c>
      <c r="O212">
        <f>SUM(O195:O211)</f>
        <v/>
      </c>
      <c r="P212">
        <f>SUM(P195:P211)</f>
        <v/>
      </c>
      <c r="Q212">
        <f>SUM(Q195:Q211)</f>
        <v/>
      </c>
      <c r="R212">
        <f>SUM(R195:R211)</f>
        <v/>
      </c>
      <c r="S212">
        <f>SUM(S195:S211)</f>
        <v/>
      </c>
      <c r="T212">
        <f>SUM(T195:T211)</f>
        <v/>
      </c>
      <c r="U212">
        <f>SUM(U195:U211)</f>
        <v/>
      </c>
      <c r="V212">
        <f>SUM(V195:V211)</f>
        <v/>
      </c>
      <c r="W212">
        <f>SUM(W195:W211)</f>
        <v/>
      </c>
      <c r="X212">
        <f>SUM(X195:X211)</f>
        <v/>
      </c>
      <c r="Y212">
        <f>SUM(Y195:Y211)</f>
        <v/>
      </c>
      <c r="Z212">
        <f>SUM(Z195:Z211)</f>
        <v/>
      </c>
      <c r="AA212">
        <f>SUM(AA195:AA211)</f>
        <v/>
      </c>
      <c r="AB212">
        <f>SUM(AB195:AB211)</f>
        <v/>
      </c>
      <c r="AC212">
        <f>SUM(AC195:AC211)</f>
        <v/>
      </c>
      <c r="AD212">
        <f>SUM(AD195:AD211)</f>
        <v/>
      </c>
      <c r="AE212">
        <f>SUM(AE195:AE211)</f>
        <v/>
      </c>
      <c r="AG212" s="252">
        <f>SUM(AG195:AG211)</f>
        <v/>
      </c>
    </row>
    <row r="213" ht="15.75" customHeight="1" thickTop="1">
      <c r="A213" s="15" t="inlineStr">
        <is>
          <t>Ruunning Total</t>
        </is>
      </c>
      <c r="B213">
        <f>B212</f>
        <v/>
      </c>
      <c r="C213">
        <f>B213+C212</f>
        <v/>
      </c>
      <c r="D213">
        <f>C213+D212</f>
        <v/>
      </c>
      <c r="E213">
        <f>D213+E212</f>
        <v/>
      </c>
      <c r="F213">
        <f>E213+F212</f>
        <v/>
      </c>
      <c r="G213">
        <f>F213+G212</f>
        <v/>
      </c>
      <c r="H213">
        <f>G213+H212</f>
        <v/>
      </c>
      <c r="I213">
        <f>H213+I212</f>
        <v/>
      </c>
      <c r="J213">
        <f>I213+J212</f>
        <v/>
      </c>
      <c r="K213">
        <f>J213+K212</f>
        <v/>
      </c>
      <c r="L213">
        <f>K213+L212</f>
        <v/>
      </c>
      <c r="M213">
        <f>L213+M212</f>
        <v/>
      </c>
      <c r="N213">
        <f>M213+N212</f>
        <v/>
      </c>
      <c r="O213">
        <f>N213+O212</f>
        <v/>
      </c>
      <c r="P213">
        <f>O213+P212</f>
        <v/>
      </c>
      <c r="Q213">
        <f>P213+Q212</f>
        <v/>
      </c>
      <c r="R213">
        <f>Q213+R212</f>
        <v/>
      </c>
      <c r="S213">
        <f>R213+S212</f>
        <v/>
      </c>
      <c r="T213">
        <f>S213+T212</f>
        <v/>
      </c>
      <c r="U213">
        <f>T213+U212</f>
        <v/>
      </c>
      <c r="V213">
        <f>U213+V212</f>
        <v/>
      </c>
      <c r="W213">
        <f>V213+W212</f>
        <v/>
      </c>
      <c r="X213">
        <f>W213+X212</f>
        <v/>
      </c>
      <c r="Y213">
        <f>X213+Y212</f>
        <v/>
      </c>
      <c r="Z213">
        <f>Y213+Z212</f>
        <v/>
      </c>
      <c r="AA213">
        <f>Z213+AA212</f>
        <v/>
      </c>
      <c r="AB213">
        <f>AA213+AB212</f>
        <v/>
      </c>
      <c r="AC213">
        <f>AB213+AC212</f>
        <v/>
      </c>
      <c r="AD213">
        <f>AC213+AD212</f>
        <v/>
      </c>
      <c r="AE213">
        <f>AD213+AE212</f>
        <v/>
      </c>
    </row>
    <row r="216">
      <c r="A216" s="1" t="n"/>
      <c r="B216" s="2" t="inlineStr">
        <is>
          <t>April</t>
        </is>
      </c>
      <c r="C216" s="2" t="n"/>
      <c r="D216" s="2" t="n"/>
      <c r="E216" s="2" t="n"/>
      <c r="F216" s="2" t="n"/>
      <c r="G216" s="2" t="n"/>
      <c r="H216" s="2" t="n"/>
      <c r="I216" s="2" t="n"/>
      <c r="J216" s="2" t="n"/>
      <c r="K216" s="2" t="n"/>
      <c r="L216" s="2" t="n"/>
      <c r="M216" s="2" t="n"/>
      <c r="N216" s="2" t="n"/>
      <c r="O216" s="2" t="n"/>
      <c r="P216" s="2" t="n"/>
      <c r="Q216" s="2" t="n"/>
      <c r="R216" s="2" t="n"/>
      <c r="S216" s="2" t="n"/>
      <c r="T216" s="2" t="n"/>
      <c r="U216" s="2" t="n"/>
      <c r="V216" s="2" t="n"/>
      <c r="W216" s="2" t="n"/>
      <c r="X216" s="2" t="n"/>
      <c r="Y216" s="2" t="n"/>
      <c r="Z216" s="2" t="n"/>
      <c r="AA216" s="2" t="n"/>
      <c r="AB216" s="2" t="n"/>
      <c r="AC216" s="2" t="n"/>
      <c r="AD216" s="2" t="n"/>
      <c r="AE216" s="1" t="n"/>
      <c r="AF216" s="1" t="n"/>
      <c r="AG216" s="1" t="n"/>
    </row>
    <row r="217" ht="15.75" customHeight="1">
      <c r="A217" s="1" t="n"/>
      <c r="B217" s="2" t="inlineStr">
        <is>
          <t>Tuesday</t>
        </is>
      </c>
      <c r="C217" s="2" t="inlineStr">
        <is>
          <t>Wednesday</t>
        </is>
      </c>
      <c r="D217" s="2" t="inlineStr">
        <is>
          <t>Thursday</t>
        </is>
      </c>
      <c r="E217" s="2" t="inlineStr">
        <is>
          <t>Friday</t>
        </is>
      </c>
      <c r="F217" s="2" t="inlineStr">
        <is>
          <t>Saturday</t>
        </is>
      </c>
      <c r="G217" s="2" t="inlineStr">
        <is>
          <t>Sunday</t>
        </is>
      </c>
      <c r="H217" s="2" t="inlineStr">
        <is>
          <t>Monday</t>
        </is>
      </c>
      <c r="I217" s="2" t="inlineStr">
        <is>
          <t>Tuesday</t>
        </is>
      </c>
      <c r="J217" s="2" t="inlineStr">
        <is>
          <t>Wednesday</t>
        </is>
      </c>
      <c r="K217" s="2" t="inlineStr">
        <is>
          <t>Thursday</t>
        </is>
      </c>
      <c r="L217" s="2" t="inlineStr">
        <is>
          <t>Friday</t>
        </is>
      </c>
      <c r="M217" s="2" t="inlineStr">
        <is>
          <t>Saturday</t>
        </is>
      </c>
      <c r="N217" s="2" t="inlineStr">
        <is>
          <t>Sunday</t>
        </is>
      </c>
      <c r="O217" s="2" t="inlineStr">
        <is>
          <t>Monday</t>
        </is>
      </c>
      <c r="P217" s="2" t="inlineStr">
        <is>
          <t>Tuesday</t>
        </is>
      </c>
      <c r="Q217" s="2" t="inlineStr">
        <is>
          <t>Wednesday</t>
        </is>
      </c>
      <c r="R217" s="2" t="inlineStr">
        <is>
          <t>Thursday</t>
        </is>
      </c>
      <c r="S217" s="2" t="inlineStr">
        <is>
          <t>Friday</t>
        </is>
      </c>
      <c r="T217" s="2" t="inlineStr">
        <is>
          <t>Saturday</t>
        </is>
      </c>
      <c r="U217" s="2" t="inlineStr">
        <is>
          <t>Sunday</t>
        </is>
      </c>
      <c r="V217" s="2" t="inlineStr">
        <is>
          <t>Monday</t>
        </is>
      </c>
      <c r="W217" s="2" t="inlineStr">
        <is>
          <t>Tuesday</t>
        </is>
      </c>
      <c r="X217" s="2" t="inlineStr">
        <is>
          <t>Wednesday</t>
        </is>
      </c>
      <c r="Y217" s="2" t="inlineStr">
        <is>
          <t>Thursday</t>
        </is>
      </c>
      <c r="Z217" s="2" t="inlineStr">
        <is>
          <t>Friday</t>
        </is>
      </c>
      <c r="AA217" s="2" t="inlineStr">
        <is>
          <t>Saturday</t>
        </is>
      </c>
      <c r="AB217" s="2" t="inlineStr">
        <is>
          <t>Sunday</t>
        </is>
      </c>
      <c r="AC217" s="2" t="inlineStr">
        <is>
          <t>Monday</t>
        </is>
      </c>
      <c r="AD217" s="2" t="inlineStr">
        <is>
          <t>Tuesday</t>
        </is>
      </c>
      <c r="AE217" s="2" t="inlineStr">
        <is>
          <t>Wednesday</t>
        </is>
      </c>
      <c r="AF217" s="9" t="n"/>
      <c r="AG217" s="2" t="inlineStr">
        <is>
          <t>Total</t>
        </is>
      </c>
    </row>
    <row r="218" ht="15.75" customHeight="1">
      <c r="A218" s="1" t="n"/>
      <c r="B218" s="7" t="inlineStr">
        <is>
          <t>1st</t>
        </is>
      </c>
      <c r="C218" s="7" t="inlineStr">
        <is>
          <t>2nd</t>
        </is>
      </c>
      <c r="D218" s="7" t="inlineStr">
        <is>
          <t>3rd</t>
        </is>
      </c>
      <c r="E218" s="7" t="inlineStr">
        <is>
          <t>4th</t>
        </is>
      </c>
      <c r="F218" s="7" t="inlineStr">
        <is>
          <t>5th</t>
        </is>
      </c>
      <c r="G218" s="7" t="inlineStr">
        <is>
          <t>6th</t>
        </is>
      </c>
      <c r="H218" s="3" t="inlineStr">
        <is>
          <t>7th</t>
        </is>
      </c>
      <c r="I218" s="3" t="inlineStr">
        <is>
          <t>8th</t>
        </is>
      </c>
      <c r="J218" s="3" t="inlineStr">
        <is>
          <t>9th</t>
        </is>
      </c>
      <c r="K218" s="3" t="inlineStr">
        <is>
          <t>10th</t>
        </is>
      </c>
      <c r="L218" s="3" t="inlineStr">
        <is>
          <t>11th</t>
        </is>
      </c>
      <c r="M218" s="3" t="inlineStr">
        <is>
          <t>12th</t>
        </is>
      </c>
      <c r="N218" s="3" t="inlineStr">
        <is>
          <t>13th</t>
        </is>
      </c>
      <c r="O218" s="4" t="inlineStr">
        <is>
          <t>14th</t>
        </is>
      </c>
      <c r="P218" s="4" t="inlineStr">
        <is>
          <t>15th</t>
        </is>
      </c>
      <c r="Q218" s="4" t="inlineStr">
        <is>
          <t>16th</t>
        </is>
      </c>
      <c r="R218" s="4" t="inlineStr">
        <is>
          <t>17th</t>
        </is>
      </c>
      <c r="S218" s="4" t="inlineStr">
        <is>
          <t>18th</t>
        </is>
      </c>
      <c r="T218" s="4" t="inlineStr">
        <is>
          <t>19th</t>
        </is>
      </c>
      <c r="U218" s="4" t="inlineStr">
        <is>
          <t>20th</t>
        </is>
      </c>
      <c r="V218" s="5" t="inlineStr">
        <is>
          <t>21st</t>
        </is>
      </c>
      <c r="W218" s="5" t="inlineStr">
        <is>
          <t>22nd</t>
        </is>
      </c>
      <c r="X218" s="5" t="inlineStr">
        <is>
          <t>23rd</t>
        </is>
      </c>
      <c r="Y218" s="5" t="inlineStr">
        <is>
          <t>24th</t>
        </is>
      </c>
      <c r="Z218" s="5" t="inlineStr">
        <is>
          <t>25th</t>
        </is>
      </c>
      <c r="AA218" s="5" t="inlineStr">
        <is>
          <t>26th</t>
        </is>
      </c>
      <c r="AB218" s="5" t="inlineStr">
        <is>
          <t>27th</t>
        </is>
      </c>
      <c r="AC218" s="6" t="inlineStr">
        <is>
          <t>28th</t>
        </is>
      </c>
      <c r="AD218" s="6" t="inlineStr">
        <is>
          <t>29th</t>
        </is>
      </c>
      <c r="AE218" s="6" t="inlineStr">
        <is>
          <t>30th</t>
        </is>
      </c>
      <c r="AF218" s="9" t="n"/>
      <c r="AG218" s="1" t="n"/>
    </row>
    <row r="219" ht="15.75" customHeight="1">
      <c r="A219" s="8" t="inlineStr">
        <is>
          <t>B-HAM CITY COUNCIL-200790-70489166</t>
        </is>
      </c>
      <c r="B219" s="12" t="n"/>
      <c r="C219" s="12" t="n"/>
      <c r="D219" s="12" t="n"/>
      <c r="E219" s="12" t="n"/>
      <c r="F219" s="12" t="n"/>
      <c r="G219" s="12" t="n"/>
      <c r="H219" s="12" t="n"/>
      <c r="I219" s="12" t="n"/>
      <c r="J219" s="12" t="n"/>
      <c r="K219" s="12" t="n"/>
      <c r="L219" s="12" t="n"/>
      <c r="M219" s="12" t="n"/>
      <c r="N219" s="12" t="n"/>
      <c r="O219" s="12" t="n"/>
      <c r="P219" s="12" t="n"/>
      <c r="Q219" s="12">
        <f>5041.28</f>
        <v/>
      </c>
      <c r="R219" s="12" t="n"/>
      <c r="S219" s="79" t="n"/>
      <c r="T219" s="12" t="n"/>
      <c r="U219" s="12" t="n"/>
      <c r="V219" s="79" t="n"/>
      <c r="W219" s="12" t="n"/>
      <c r="X219" s="12" t="n">
        <v>75502.24000000001</v>
      </c>
      <c r="Y219" s="12" t="n"/>
      <c r="Z219" s="12" t="n"/>
      <c r="AA219" s="12" t="n"/>
      <c r="AB219" s="12" t="n"/>
      <c r="AC219" s="12" t="n"/>
      <c r="AD219" s="12" t="n"/>
      <c r="AE219" s="12" t="n"/>
      <c r="AF219" s="12" t="n"/>
      <c r="AG219" s="13">
        <f>SUM(B219:AF219)</f>
        <v/>
      </c>
    </row>
    <row r="220" ht="15.75" customHeight="1">
      <c r="A220" s="8" t="inlineStr">
        <is>
          <t>Buckingham</t>
        </is>
      </c>
      <c r="B220" s="9" t="n"/>
      <c r="C220" s="9" t="n"/>
      <c r="D220" s="9" t="n"/>
      <c r="E220" s="9" t="n"/>
      <c r="F220" s="9" t="n"/>
      <c r="G220" s="9" t="n"/>
      <c r="H220" s="9" t="n"/>
      <c r="I220" s="9" t="n"/>
      <c r="J220" s="9" t="n"/>
      <c r="K220" s="12" t="n">
        <v>4937.64</v>
      </c>
      <c r="L220" s="9" t="n"/>
      <c r="M220" s="9" t="n"/>
      <c r="N220" s="9" t="n"/>
      <c r="O220" s="9" t="n"/>
      <c r="P220" s="9" t="n"/>
      <c r="Q220" s="9" t="n"/>
      <c r="R220" s="9" t="n"/>
      <c r="S220" s="80" t="n"/>
      <c r="T220" s="12" t="n"/>
      <c r="U220" s="12" t="n"/>
      <c r="V220" s="80" t="n"/>
      <c r="W220" s="9" t="n"/>
      <c r="X220" s="12" t="n">
        <v>5134.44</v>
      </c>
      <c r="Y220" s="12" t="n"/>
      <c r="Z220" s="12" t="n"/>
      <c r="AA220" s="12" t="n"/>
      <c r="AB220" s="12" t="n"/>
      <c r="AC220" s="12" t="n"/>
      <c r="AD220" s="12" t="n"/>
      <c r="AE220" s="12" t="n"/>
      <c r="AF220" s="12" t="n"/>
      <c r="AG220" s="13">
        <f>SUM(B220:AF220)</f>
        <v/>
      </c>
    </row>
    <row r="221" ht="15.75" customHeight="1">
      <c r="A221" s="8" t="inlineStr">
        <is>
          <t>Sandwell respite est</t>
        </is>
      </c>
      <c r="B221" s="9" t="n"/>
      <c r="C221" s="9" t="n"/>
      <c r="D221" s="9" t="n"/>
      <c r="E221" s="9" t="n"/>
      <c r="F221" s="9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9" t="n"/>
      <c r="P221" s="9" t="n"/>
      <c r="Q221" s="9" t="n"/>
      <c r="R221" s="9" t="n"/>
      <c r="S221" s="80" t="n"/>
      <c r="T221" s="12" t="n"/>
      <c r="U221" s="12" t="n"/>
      <c r="V221" s="80" t="n"/>
      <c r="W221" s="9" t="n"/>
      <c r="X221" s="9" t="n"/>
      <c r="Y221" s="12" t="n"/>
      <c r="Z221" s="12" t="n"/>
      <c r="AA221" s="12" t="n"/>
      <c r="AB221" s="12" t="n"/>
      <c r="AC221" s="12" t="n"/>
      <c r="AD221" s="12" t="n"/>
      <c r="AE221" s="12" t="n"/>
      <c r="AF221" s="9" t="n">
        <v>20000</v>
      </c>
      <c r="AG221" s="13">
        <f>SUM(B221:AF221)</f>
        <v/>
      </c>
    </row>
    <row r="222" ht="15.75" customHeight="1">
      <c r="A222" s="8" t="inlineStr">
        <is>
          <t xml:space="preserve">Wolverhampton respite est </t>
        </is>
      </c>
      <c r="B222" s="9" t="n"/>
      <c r="C222" s="9" t="n"/>
      <c r="D222" s="9" t="n"/>
      <c r="E222" s="9" t="n"/>
      <c r="F222" s="9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9" t="n"/>
      <c r="P222" s="9" t="n"/>
      <c r="Q222" s="9" t="n"/>
      <c r="R222" s="9" t="n"/>
      <c r="S222" s="80" t="n"/>
      <c r="T222" s="12" t="n"/>
      <c r="U222" s="12" t="n"/>
      <c r="V222" s="80" t="n"/>
      <c r="W222" s="9" t="n"/>
      <c r="X222" s="9" t="n"/>
      <c r="Y222" s="12" t="n"/>
      <c r="Z222" s="12" t="n"/>
      <c r="AA222" s="12" t="n"/>
      <c r="AB222" s="12" t="n"/>
      <c r="AC222" s="12" t="n"/>
      <c r="AD222" s="12" t="n"/>
      <c r="AE222" s="12" t="n"/>
      <c r="AF222" s="9" t="n">
        <v>30000</v>
      </c>
      <c r="AG222" s="13">
        <f>SUM(B222:AF222)</f>
        <v/>
      </c>
    </row>
    <row r="223" ht="15.75" customHeight="1">
      <c r="A223" s="8" t="inlineStr">
        <is>
          <t>Walsall Respite</t>
        </is>
      </c>
      <c r="B223" s="9" t="n"/>
      <c r="C223" s="9" t="n"/>
      <c r="D223" s="9" t="n"/>
      <c r="E223" s="9" t="n"/>
      <c r="F223" s="9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9" t="n"/>
      <c r="P223" s="9" t="n"/>
      <c r="Q223" s="9" t="n"/>
      <c r="R223" s="9" t="n"/>
      <c r="S223" s="80" t="n"/>
      <c r="T223" s="12" t="n"/>
      <c r="U223" s="12" t="n"/>
      <c r="V223" s="80" t="n"/>
      <c r="W223" s="9" t="n"/>
      <c r="X223" s="9" t="n"/>
      <c r="Y223" s="12" t="n"/>
      <c r="Z223" s="12" t="n"/>
      <c r="AA223" s="12" t="n"/>
      <c r="AB223" s="12" t="n"/>
      <c r="AC223" s="12" t="n"/>
      <c r="AD223" s="12" t="n"/>
      <c r="AE223" s="12" t="n"/>
      <c r="AF223" s="9" t="n">
        <v>15000</v>
      </c>
      <c r="AG223" s="13">
        <f>SUM(B223:AF223)</f>
        <v/>
      </c>
    </row>
    <row r="224" ht="18.75" customHeight="1">
      <c r="A224" s="8" t="inlineStr">
        <is>
          <t>Ideal for All Ltd</t>
        </is>
      </c>
      <c r="B224" s="11" t="n">
        <v>3661.88</v>
      </c>
      <c r="C224" s="9" t="n"/>
      <c r="D224" s="9" t="n"/>
      <c r="E224" s="12" t="n">
        <v>2536.8</v>
      </c>
      <c r="F224" s="12" t="n"/>
      <c r="G224" s="12" t="n"/>
      <c r="H224" s="12" t="n"/>
      <c r="I224" s="12" t="n"/>
      <c r="J224" s="9" t="n"/>
      <c r="K224" s="9" t="n"/>
      <c r="L224" s="9" t="n"/>
      <c r="M224" s="12" t="n"/>
      <c r="N224" s="9" t="n"/>
      <c r="O224" s="12" t="n">
        <v>3344</v>
      </c>
      <c r="P224" s="9" t="n"/>
      <c r="Q224" s="9" t="n"/>
      <c r="R224" s="9" t="n"/>
      <c r="S224" s="80" t="n"/>
      <c r="T224" s="12" t="n"/>
      <c r="U224" s="12" t="n"/>
      <c r="V224" s="80" t="n"/>
      <c r="W224" s="9" t="n"/>
      <c r="X224" s="9" t="n"/>
      <c r="Y224" s="12" t="n"/>
      <c r="Z224" s="12" t="n"/>
      <c r="AA224" s="12" t="n"/>
      <c r="AB224" s="12" t="n"/>
      <c r="AC224" s="12" t="n"/>
      <c r="AD224" s="12" t="n"/>
      <c r="AE224" s="12" t="n"/>
      <c r="AF224" s="12" t="n"/>
      <c r="AG224" s="13">
        <f>SUM(B224:AF224)</f>
        <v/>
      </c>
    </row>
    <row r="225" ht="15.75" customHeight="1">
      <c r="A225" s="8" t="inlineStr">
        <is>
          <t>KIRKLEES COUNCIL-204312-63046958</t>
        </is>
      </c>
      <c r="B225" s="12" t="n"/>
      <c r="C225" s="9" t="n"/>
      <c r="D225" s="12" t="n"/>
      <c r="E225" s="9" t="n"/>
      <c r="F225" s="9" t="n"/>
      <c r="G225" s="9" t="n"/>
      <c r="H225" s="9" t="n"/>
      <c r="I225" s="12" t="n"/>
      <c r="J225" s="12" t="n">
        <v>5554.89</v>
      </c>
      <c r="K225" s="12" t="n"/>
      <c r="L225" s="9" t="n"/>
      <c r="M225" s="12" t="n"/>
      <c r="N225" s="9" t="n"/>
      <c r="O225" s="12" t="n"/>
      <c r="P225" s="9" t="n"/>
      <c r="Q225" s="9" t="n"/>
      <c r="R225" s="9" t="n"/>
      <c r="S225" s="80" t="n"/>
      <c r="T225" s="12" t="n"/>
      <c r="U225" s="12" t="n"/>
      <c r="V225" s="80" t="n"/>
      <c r="W225" s="9" t="n"/>
      <c r="X225" s="9" t="n"/>
      <c r="Y225" s="12" t="n"/>
      <c r="Z225" s="12" t="n"/>
      <c r="AA225" s="12" t="n"/>
      <c r="AB225" s="12" t="n"/>
      <c r="AC225" s="12" t="n"/>
      <c r="AD225" s="12" t="n"/>
      <c r="AE225" s="12" t="n"/>
      <c r="AF225" s="12" t="n"/>
      <c r="AG225" s="13">
        <f>SUM(B225:AF225)</f>
        <v/>
      </c>
    </row>
    <row r="226" ht="15.75" customHeight="1">
      <c r="A226" s="8" t="inlineStr">
        <is>
          <t>LBH PAYMENTS BACS-602210-72430192</t>
        </is>
      </c>
      <c r="B226" s="9" t="n"/>
      <c r="C226" s="9" t="n"/>
      <c r="D226" s="9" t="n"/>
      <c r="E226" s="12" t="n"/>
      <c r="F226" s="9" t="n"/>
      <c r="G226" s="9" t="n"/>
      <c r="H226" s="9" t="n"/>
      <c r="I226" s="9" t="n">
        <v>5040</v>
      </c>
      <c r="J226" s="9" t="n"/>
      <c r="K226" s="9" t="n"/>
      <c r="L226" s="9" t="n"/>
      <c r="M226" s="12" t="n"/>
      <c r="N226" s="9" t="n"/>
      <c r="O226" s="12" t="n"/>
      <c r="P226" s="9" t="n"/>
      <c r="Q226" s="9" t="n"/>
      <c r="R226" s="9" t="n"/>
      <c r="S226" s="80" t="n"/>
      <c r="T226" s="12" t="n"/>
      <c r="U226" s="12" t="n"/>
      <c r="V226" s="80" t="n"/>
      <c r="W226" s="9" t="n"/>
      <c r="X226" s="9" t="n"/>
      <c r="Y226" s="12" t="n"/>
      <c r="Z226" s="12" t="n"/>
      <c r="AA226" s="12" t="n"/>
      <c r="AB226" s="12" t="n"/>
      <c r="AC226" s="12" t="n"/>
      <c r="AD226" s="12" t="n"/>
      <c r="AE226" s="12" t="n"/>
      <c r="AF226" s="12" t="n"/>
      <c r="AG226" s="13">
        <f>SUM(B226:AF226)</f>
        <v/>
      </c>
    </row>
    <row r="227" ht="15.75" customHeight="1">
      <c r="A227" s="8" t="inlineStr">
        <is>
          <t>NHS BIRMINGHAM &amp; S-607080-10017097</t>
        </is>
      </c>
      <c r="B227" s="12" t="n"/>
      <c r="C227" s="9" t="inlineStr"/>
      <c r="D227" s="9" t="n"/>
      <c r="E227" s="9" t="n"/>
      <c r="F227" s="9" t="n"/>
      <c r="G227" s="9" t="n"/>
      <c r="H227" s="9" t="n"/>
      <c r="I227" s="9" t="n"/>
      <c r="J227" s="9" t="n"/>
      <c r="K227" s="9" t="n"/>
      <c r="L227" s="9" t="n"/>
      <c r="M227" s="12" t="n"/>
      <c r="N227" s="9" t="n"/>
      <c r="O227" s="12" t="n">
        <v>7121.63</v>
      </c>
      <c r="P227" s="9" t="n"/>
      <c r="Q227" s="9" t="n"/>
      <c r="R227" s="9" t="n"/>
      <c r="S227" s="80" t="n"/>
      <c r="T227" s="12" t="n"/>
      <c r="U227" s="12" t="n"/>
      <c r="V227" s="80" t="n"/>
      <c r="W227" s="9" t="n"/>
      <c r="X227" s="9" t="n"/>
      <c r="Y227" s="12" t="n"/>
      <c r="Z227" s="12" t="n"/>
      <c r="AA227" s="12" t="n"/>
      <c r="AB227" s="12" t="n"/>
      <c r="AC227" s="12" t="n"/>
      <c r="AD227" s="12" t="n"/>
      <c r="AE227" s="12" t="n"/>
      <c r="AF227" s="12" t="n"/>
      <c r="AG227" s="13">
        <f>SUM(B227:AF227)</f>
        <v/>
      </c>
    </row>
    <row r="228" ht="15.75" customHeight="1">
      <c r="A228" s="8" t="inlineStr">
        <is>
          <t>NHS BLACK COUNTRY-607080-10015272</t>
        </is>
      </c>
      <c r="B228" s="9" t="inlineStr"/>
      <c r="C228" s="9" t="n"/>
      <c r="D228" s="9" t="n"/>
      <c r="E228" s="9" t="n"/>
      <c r="F228" s="12" t="n"/>
      <c r="G228" s="12" t="n"/>
      <c r="H228" s="12" t="n">
        <v>13185.64</v>
      </c>
      <c r="I228" s="9" t="n"/>
      <c r="J228" s="9" t="n"/>
      <c r="K228" s="9" t="n"/>
      <c r="L228" s="12" t="n"/>
      <c r="M228" s="9" t="n"/>
      <c r="N228" s="9" t="n"/>
      <c r="O228" s="9" t="n"/>
      <c r="P228" s="9" t="n"/>
      <c r="Q228" s="9" t="n"/>
      <c r="R228" s="9" t="n"/>
      <c r="S228" s="80" t="n"/>
      <c r="T228" s="12" t="n"/>
      <c r="U228" s="12" t="n"/>
      <c r="V228" s="79" t="n"/>
      <c r="W228" s="12" t="n">
        <v>8073.21</v>
      </c>
      <c r="X228" s="9" t="n"/>
      <c r="Y228" s="12" t="n"/>
      <c r="Z228" s="12" t="n"/>
      <c r="AA228" s="12" t="n"/>
      <c r="AB228" s="12" t="n"/>
      <c r="AC228" s="12" t="n"/>
      <c r="AD228" s="12" t="n"/>
      <c r="AE228" s="12" t="n"/>
      <c r="AF228" s="12" t="n"/>
      <c r="AG228" s="13">
        <f>SUM(B228:AF228)</f>
        <v/>
      </c>
    </row>
    <row r="229" ht="15.75" customHeight="1">
      <c r="A229" s="14" t="inlineStr">
        <is>
          <t>SANDWELL MBC  BEN-601539-69624151</t>
        </is>
      </c>
      <c r="B229" s="9" t="inlineStr"/>
      <c r="C229" s="12" t="inlineStr">
        <is>
          <t>.</t>
        </is>
      </c>
      <c r="D229" s="12" t="n"/>
      <c r="E229" s="9" t="n"/>
      <c r="F229" s="9" t="n"/>
      <c r="G229" s="9" t="n"/>
      <c r="H229" s="9" t="n"/>
      <c r="I229" s="12" t="n"/>
      <c r="J229" s="12" t="n"/>
      <c r="K229" s="9" t="n"/>
      <c r="L229" s="9" t="n"/>
      <c r="M229" s="9" t="n"/>
      <c r="N229" s="9" t="n"/>
      <c r="O229" s="12" t="n"/>
      <c r="P229" s="9" t="n"/>
      <c r="Q229" s="9" t="n"/>
      <c r="R229" s="9" t="n"/>
      <c r="S229" s="79" t="n"/>
      <c r="T229" s="12" t="n"/>
      <c r="U229" s="12" t="n"/>
      <c r="V229" s="80" t="n"/>
      <c r="W229" s="12" t="n">
        <v>3000</v>
      </c>
      <c r="X229" s="9" t="n"/>
      <c r="Y229" s="12" t="n"/>
      <c r="Z229" s="12" t="n"/>
      <c r="AA229" s="12" t="n"/>
      <c r="AB229" s="12" t="n"/>
      <c r="AC229" s="12" t="n"/>
      <c r="AD229" s="12" t="n"/>
      <c r="AE229" s="12" t="n"/>
      <c r="AF229" s="12" t="n"/>
      <c r="AG229" s="13">
        <f>SUM(B229:AF229)</f>
        <v/>
      </c>
    </row>
    <row r="230" ht="15.75" customHeight="1">
      <c r="A230" s="14" t="inlineStr">
        <is>
          <t>SANDWELL MBC-601539-69624135</t>
        </is>
      </c>
      <c r="B230" s="12" t="n">
        <v>120000</v>
      </c>
      <c r="C230" s="12" t="n"/>
      <c r="D230" s="12" t="n"/>
      <c r="E230" s="12" t="n"/>
      <c r="F230" s="12" t="n"/>
      <c r="G230" s="12" t="n"/>
      <c r="H230" s="12" t="n"/>
      <c r="I230" s="12" t="n"/>
      <c r="J230" s="12" t="n"/>
      <c r="K230" s="12" t="n"/>
      <c r="L230" s="12" t="n"/>
      <c r="M230" s="12" t="n"/>
      <c r="N230" s="12" t="n"/>
      <c r="O230" s="12" t="n"/>
      <c r="P230" s="12" t="n">
        <v>120000</v>
      </c>
      <c r="Q230" s="12" t="n"/>
      <c r="R230" s="12" t="n"/>
      <c r="S230" s="79" t="n"/>
      <c r="T230" s="12" t="n"/>
      <c r="U230" s="12" t="n"/>
      <c r="V230" s="79" t="n"/>
      <c r="W230" s="12" t="n"/>
      <c r="X230" s="12" t="n"/>
      <c r="Y230" s="12" t="n"/>
      <c r="Z230" s="12" t="n"/>
      <c r="AA230" s="12" t="n"/>
      <c r="AB230" s="12" t="n"/>
      <c r="AC230" s="12" t="n">
        <v>120000</v>
      </c>
      <c r="AD230" s="12" t="n"/>
      <c r="AE230" s="12" t="n"/>
      <c r="AF230" s="12" t="n"/>
      <c r="AG230" s="13">
        <f>SUM(B230:AF230)</f>
        <v/>
      </c>
    </row>
    <row r="231" ht="15.75" customHeight="1">
      <c r="A231" s="15" t="inlineStr">
        <is>
          <t>SOLIHULL MBC EXP.-200771-00561525</t>
        </is>
      </c>
      <c r="B231" s="12" t="n"/>
      <c r="C231" s="12" t="n"/>
      <c r="D231" s="12" t="n"/>
      <c r="E231" s="12" t="n"/>
      <c r="F231" s="12" t="n"/>
      <c r="G231" s="12" t="n"/>
      <c r="H231" s="12" t="n"/>
      <c r="I231" s="12" t="n"/>
      <c r="J231" s="12" t="n"/>
      <c r="K231" s="12" t="n"/>
      <c r="L231" s="12" t="n"/>
      <c r="M231" s="12" t="n"/>
      <c r="N231" s="12" t="n"/>
      <c r="O231" s="12" t="n"/>
      <c r="P231" s="12" t="n"/>
      <c r="Q231" s="12" t="n"/>
      <c r="R231" s="12" t="n"/>
      <c r="S231" s="79" t="n"/>
      <c r="T231" s="12" t="n"/>
      <c r="U231" s="12" t="n"/>
      <c r="V231" s="79" t="n"/>
      <c r="W231" s="12" t="n"/>
      <c r="X231" s="12" t="n">
        <v>32000</v>
      </c>
      <c r="Y231" s="12" t="n"/>
      <c r="Z231" s="12" t="n"/>
      <c r="AA231" s="12" t="n"/>
      <c r="AB231" s="12" t="n"/>
      <c r="AC231" s="12" t="n"/>
      <c r="AD231" s="12" t="n"/>
      <c r="AE231" s="12" t="n"/>
      <c r="AF231" s="12" t="n"/>
      <c r="AG231" s="13">
        <f>SUM(B231:AF231)</f>
        <v/>
      </c>
    </row>
    <row r="232" ht="15.75" customHeight="1">
      <c r="A232" s="15" t="inlineStr">
        <is>
          <t>WALSALL MBC BARC-209073-10731692</t>
        </is>
      </c>
      <c r="B232" s="12" t="n"/>
      <c r="C232" s="12" t="n"/>
      <c r="D232" s="12" t="n"/>
      <c r="E232" s="12" t="n"/>
      <c r="F232" s="12" t="n"/>
      <c r="G232" s="12" t="n"/>
      <c r="H232" s="12" t="n"/>
      <c r="I232" s="9" t="n">
        <v>187000</v>
      </c>
      <c r="J232" s="12" t="n"/>
      <c r="K232" s="12" t="n"/>
      <c r="L232" s="12" t="n"/>
      <c r="M232" s="12" t="n"/>
      <c r="N232" s="12" t="n"/>
      <c r="O232" s="12" t="n"/>
      <c r="P232" s="12" t="n"/>
      <c r="Q232" s="12" t="n"/>
      <c r="R232" s="12" t="n"/>
      <c r="S232" s="79" t="n"/>
      <c r="T232" s="12" t="n"/>
      <c r="U232" s="12" t="n"/>
      <c r="V232" s="79" t="n"/>
      <c r="W232" s="12" t="n"/>
      <c r="X232" s="12" t="n"/>
      <c r="Y232" s="12" t="n"/>
      <c r="Z232" s="12" t="n"/>
      <c r="AA232" s="12" t="n"/>
      <c r="AB232" s="12" t="n"/>
      <c r="AC232" s="12" t="n"/>
      <c r="AD232" s="12" t="n"/>
      <c r="AE232" s="12" t="n"/>
      <c r="AF232" s="12" t="n"/>
      <c r="AG232" s="13">
        <f>SUM(B232:AF232)</f>
        <v/>
      </c>
    </row>
    <row r="233" ht="15.75" customHeight="1">
      <c r="A233" s="15" t="inlineStr">
        <is>
          <t>WOLVERHAMPTON CC-560069-44470320</t>
        </is>
      </c>
      <c r="B233" s="12" t="n"/>
      <c r="C233" s="12" t="n"/>
      <c r="D233" s="12" t="n">
        <v>112000</v>
      </c>
      <c r="E233" s="12" t="n"/>
      <c r="F233" s="12" t="n"/>
      <c r="G233" s="12" t="n"/>
      <c r="H233" s="12" t="n"/>
      <c r="I233" s="12" t="n"/>
      <c r="J233" s="12" t="n"/>
      <c r="K233" s="12" t="n">
        <v>112000</v>
      </c>
      <c r="L233" s="12" t="n"/>
      <c r="M233" s="12" t="n"/>
      <c r="N233" s="12" t="n"/>
      <c r="O233" s="12" t="n"/>
      <c r="P233" s="12" t="n"/>
      <c r="Q233" s="12" t="n"/>
      <c r="R233" s="12" t="n">
        <v>112000</v>
      </c>
      <c r="S233" s="79" t="n"/>
      <c r="T233" s="12" t="n"/>
      <c r="U233" s="12" t="n"/>
      <c r="V233" s="79" t="n"/>
      <c r="W233" s="12" t="n"/>
      <c r="X233" s="12" t="n"/>
      <c r="Y233" s="12" t="n">
        <v>112000</v>
      </c>
      <c r="Z233" s="12" t="n"/>
      <c r="AA233" s="12" t="n"/>
      <c r="AB233" s="12" t="n"/>
      <c r="AC233" s="12" t="n"/>
      <c r="AD233" s="12" t="n"/>
      <c r="AE233" s="12" t="n"/>
      <c r="AF233" s="12" t="n"/>
      <c r="AG233" s="13">
        <f>SUM(B233:AF233)</f>
        <v/>
      </c>
    </row>
    <row r="234" ht="15.75" customHeight="1">
      <c r="A234" s="15" t="inlineStr">
        <is>
          <t>Portsmouth</t>
        </is>
      </c>
      <c r="B234" s="12" t="n"/>
      <c r="C234" s="12" t="n"/>
      <c r="D234" s="12" t="n"/>
      <c r="E234" s="12" t="n"/>
      <c r="F234" s="12" t="n"/>
      <c r="G234" s="12" t="n"/>
      <c r="H234" s="12" t="n"/>
      <c r="I234" s="12" t="n"/>
      <c r="J234" s="12" t="n"/>
      <c r="K234" s="12" t="n"/>
      <c r="L234" s="12" t="n"/>
      <c r="M234" s="12" t="n"/>
      <c r="N234" s="12" t="n"/>
      <c r="O234" s="12" t="n"/>
      <c r="P234" s="9" t="n">
        <v>5247.86</v>
      </c>
      <c r="Q234" s="12" t="n"/>
      <c r="R234" s="12" t="n"/>
      <c r="S234" s="79" t="n"/>
      <c r="T234" s="12" t="n"/>
      <c r="U234" s="12" t="n"/>
      <c r="V234" s="79" t="n"/>
      <c r="W234" s="12" t="n"/>
      <c r="X234" s="12" t="n"/>
      <c r="Y234" s="12" t="n"/>
      <c r="Z234" s="12" t="n"/>
      <c r="AA234" s="12" t="n"/>
      <c r="AB234" s="12" t="n"/>
      <c r="AC234" s="12" t="n"/>
      <c r="AD234" s="12" t="n"/>
      <c r="AE234" s="12" t="n"/>
      <c r="AF234" s="12" t="n"/>
      <c r="AG234" s="13">
        <f>SUM(B234:AF234)</f>
        <v/>
      </c>
    </row>
    <row r="235" ht="15.75" customHeight="1">
      <c r="A235" s="15" t="inlineStr">
        <is>
          <t>HB SC</t>
        </is>
      </c>
      <c r="B235" s="10" t="n">
        <v>3800</v>
      </c>
      <c r="C235" s="10" t="n">
        <v>3800</v>
      </c>
      <c r="D235" s="10" t="n">
        <v>3800</v>
      </c>
      <c r="E235" s="10" t="n">
        <v>3800</v>
      </c>
      <c r="F235" s="10" t="n">
        <v>3800</v>
      </c>
      <c r="G235" s="10" t="n">
        <v>3800</v>
      </c>
      <c r="H235" s="10" t="n">
        <v>3800</v>
      </c>
      <c r="I235" s="10" t="n">
        <v>3800</v>
      </c>
      <c r="J235" s="10" t="n">
        <v>3800</v>
      </c>
      <c r="K235" s="10" t="n">
        <v>3800</v>
      </c>
      <c r="L235" s="10" t="n">
        <v>3800</v>
      </c>
      <c r="M235" s="10" t="n">
        <v>3800</v>
      </c>
      <c r="N235" s="10" t="n">
        <v>3800</v>
      </c>
      <c r="O235" s="10" t="n">
        <v>3800</v>
      </c>
      <c r="P235" s="10" t="n">
        <v>3800</v>
      </c>
      <c r="Q235" s="10" t="n">
        <v>3800</v>
      </c>
      <c r="R235" s="10" t="n">
        <v>3800</v>
      </c>
      <c r="S235" s="10" t="n">
        <v>3800</v>
      </c>
      <c r="T235" s="10" t="n">
        <v>3800</v>
      </c>
      <c r="U235" s="10" t="n">
        <v>3800</v>
      </c>
      <c r="V235" s="10" t="n">
        <v>3800</v>
      </c>
      <c r="W235" s="10" t="n">
        <v>3800</v>
      </c>
      <c r="X235" s="10" t="n">
        <v>3800</v>
      </c>
      <c r="Y235" s="10" t="n">
        <v>3800</v>
      </c>
      <c r="Z235" s="10" t="n">
        <v>3800</v>
      </c>
      <c r="AA235" s="10" t="n">
        <v>3800</v>
      </c>
      <c r="AB235" s="10" t="n">
        <v>3800</v>
      </c>
      <c r="AC235" s="10" t="n">
        <v>3800</v>
      </c>
      <c r="AD235" s="10" t="n">
        <v>3800</v>
      </c>
      <c r="AE235" s="10" t="n">
        <v>3800</v>
      </c>
      <c r="AF235" s="10" t="n"/>
      <c r="AG235" s="13">
        <f>SUM(B235:AF235)</f>
        <v/>
      </c>
    </row>
    <row r="236" ht="16.5" customHeight="1" thickBot="1">
      <c r="A236" s="15" t="inlineStr">
        <is>
          <t>Total</t>
        </is>
      </c>
      <c r="B236">
        <f>SUM(B219:B235)</f>
        <v/>
      </c>
      <c r="C236">
        <f>SUM(C219:C235)</f>
        <v/>
      </c>
      <c r="D236">
        <f>SUM(D219:D235)</f>
        <v/>
      </c>
      <c r="E236">
        <f>SUM(E219:E235)</f>
        <v/>
      </c>
      <c r="F236">
        <f>SUM(F219:F235)</f>
        <v/>
      </c>
      <c r="G236">
        <f>SUM(G219:G235)</f>
        <v/>
      </c>
      <c r="H236">
        <f>SUM(H219:H235)</f>
        <v/>
      </c>
      <c r="I236">
        <f>SUM(I219:I235)</f>
        <v/>
      </c>
      <c r="J236">
        <f>SUM(J219:J235)</f>
        <v/>
      </c>
      <c r="K236">
        <f>SUM(K219:K235)</f>
        <v/>
      </c>
      <c r="L236">
        <f>SUM(L219:L235)</f>
        <v/>
      </c>
      <c r="M236">
        <f>SUM(M219:M235)</f>
        <v/>
      </c>
      <c r="N236">
        <f>SUM(N219:N235)</f>
        <v/>
      </c>
      <c r="O236">
        <f>SUM(O219:O235)</f>
        <v/>
      </c>
      <c r="P236">
        <f>SUM(P219:P235)</f>
        <v/>
      </c>
      <c r="Q236">
        <f>SUM(Q219:Q235)</f>
        <v/>
      </c>
      <c r="R236">
        <f>SUM(R219:R235)</f>
        <v/>
      </c>
      <c r="S236">
        <f>SUM(S219:S235)</f>
        <v/>
      </c>
      <c r="T236">
        <f>SUM(T219:T235)</f>
        <v/>
      </c>
      <c r="U236">
        <f>SUM(U219:U235)</f>
        <v/>
      </c>
      <c r="V236">
        <f>SUM(V219:V235)</f>
        <v/>
      </c>
      <c r="W236">
        <f>SUM(W219:W235)</f>
        <v/>
      </c>
      <c r="X236">
        <f>SUM(X219:X235)</f>
        <v/>
      </c>
      <c r="Y236">
        <f>SUM(Y219:Y235)</f>
        <v/>
      </c>
      <c r="Z236">
        <f>SUM(Z219:Z235)</f>
        <v/>
      </c>
      <c r="AA236">
        <f>SUM(AA219:AA235)</f>
        <v/>
      </c>
      <c r="AB236">
        <f>SUM(AB219:AB235)</f>
        <v/>
      </c>
      <c r="AC236">
        <f>SUM(AC219:AC235)</f>
        <v/>
      </c>
      <c r="AD236">
        <f>SUM(AD219:AD235)</f>
        <v/>
      </c>
      <c r="AE236">
        <f>SUM(AE219:AE235)</f>
        <v/>
      </c>
      <c r="AG236" s="252">
        <f>SUM(AG219:AG235)</f>
        <v/>
      </c>
    </row>
    <row r="237" ht="15.75" customHeight="1" thickTop="1">
      <c r="A237" s="15" t="inlineStr">
        <is>
          <t>Ruunning Total</t>
        </is>
      </c>
      <c r="B237">
        <f>B236</f>
        <v/>
      </c>
      <c r="C237">
        <f>B237+C236</f>
        <v/>
      </c>
      <c r="D237">
        <f>C237+D236</f>
        <v/>
      </c>
      <c r="E237">
        <f>D237+E236</f>
        <v/>
      </c>
      <c r="F237">
        <f>E237+F236</f>
        <v/>
      </c>
      <c r="G237">
        <f>F237+G236</f>
        <v/>
      </c>
      <c r="H237">
        <f>G237+H236</f>
        <v/>
      </c>
      <c r="I237">
        <f>H237+I236</f>
        <v/>
      </c>
      <c r="J237">
        <f>I237+J236</f>
        <v/>
      </c>
      <c r="K237">
        <f>J237+K236</f>
        <v/>
      </c>
      <c r="L237">
        <f>K237+L236</f>
        <v/>
      </c>
      <c r="M237">
        <f>L237+M236</f>
        <v/>
      </c>
      <c r="N237">
        <f>M237+N236</f>
        <v/>
      </c>
      <c r="O237">
        <f>N237+O236</f>
        <v/>
      </c>
      <c r="P237">
        <f>O237+P236</f>
        <v/>
      </c>
      <c r="Q237">
        <f>P237+Q236</f>
        <v/>
      </c>
      <c r="R237">
        <f>Q237+R236</f>
        <v/>
      </c>
      <c r="S237">
        <f>R237+S236</f>
        <v/>
      </c>
      <c r="T237">
        <f>S237+T236</f>
        <v/>
      </c>
      <c r="U237">
        <f>T237+U236</f>
        <v/>
      </c>
      <c r="V237">
        <f>U237+V236</f>
        <v/>
      </c>
      <c r="W237">
        <f>V237+W236</f>
        <v/>
      </c>
      <c r="X237">
        <f>W237+X236</f>
        <v/>
      </c>
      <c r="Y237">
        <f>X237+Y236</f>
        <v/>
      </c>
      <c r="Z237">
        <f>Y237+Z236</f>
        <v/>
      </c>
      <c r="AA237">
        <f>Z237+AA236</f>
        <v/>
      </c>
      <c r="AB237">
        <f>AA237+AB236</f>
        <v/>
      </c>
      <c r="AC237">
        <f>AB237+AC236</f>
        <v/>
      </c>
      <c r="AD237">
        <f>AC237+AD236</f>
        <v/>
      </c>
      <c r="AE237">
        <f>AD237+AE236</f>
        <v/>
      </c>
    </row>
    <row r="240">
      <c r="A240" s="1" t="n"/>
      <c r="B240" s="2" t="inlineStr">
        <is>
          <t>May</t>
        </is>
      </c>
      <c r="C240" s="2" t="n"/>
      <c r="D240" s="2" t="n"/>
      <c r="E240" s="2" t="n"/>
      <c r="F240" s="2" t="n"/>
      <c r="G240" s="2" t="n"/>
      <c r="H240" s="2" t="n"/>
      <c r="I240" s="2" t="n"/>
      <c r="J240" s="2" t="n"/>
      <c r="K240" s="2" t="n"/>
      <c r="L240" s="2" t="n"/>
      <c r="M240" s="2" t="n"/>
      <c r="N240" s="2" t="n"/>
      <c r="O240" s="2" t="n"/>
      <c r="P240" s="2" t="n"/>
      <c r="Q240" s="2" t="n"/>
      <c r="R240" s="2" t="n"/>
      <c r="S240" s="2" t="n"/>
      <c r="T240" s="2" t="n"/>
      <c r="U240" s="2" t="n"/>
      <c r="V240" s="2" t="n"/>
      <c r="W240" s="2" t="n"/>
      <c r="X240" s="2" t="n"/>
      <c r="Y240" s="2" t="n"/>
      <c r="Z240" s="2" t="n"/>
      <c r="AA240" s="2" t="n"/>
      <c r="AB240" s="2" t="n"/>
      <c r="AC240" s="2" t="n"/>
      <c r="AD240" s="2" t="n"/>
      <c r="AE240" s="1" t="n"/>
      <c r="AF240" s="1" t="n"/>
      <c r="AG240" s="1" t="n"/>
    </row>
    <row r="241">
      <c r="A241" s="1" t="n"/>
      <c r="B241" s="2" t="inlineStr">
        <is>
          <t>Thursday</t>
        </is>
      </c>
      <c r="C241" s="2" t="inlineStr">
        <is>
          <t>Friday</t>
        </is>
      </c>
      <c r="D241" s="2" t="inlineStr">
        <is>
          <t>Saturday</t>
        </is>
      </c>
      <c r="E241" s="2" t="inlineStr">
        <is>
          <t>Sunday</t>
        </is>
      </c>
      <c r="F241" s="2" t="inlineStr">
        <is>
          <t>Monday</t>
        </is>
      </c>
      <c r="G241" s="2" t="inlineStr">
        <is>
          <t>Tuesday</t>
        </is>
      </c>
      <c r="H241" s="2" t="inlineStr">
        <is>
          <t>Wednesday</t>
        </is>
      </c>
      <c r="I241" s="2" t="inlineStr">
        <is>
          <t>Thursday</t>
        </is>
      </c>
      <c r="J241" s="2" t="inlineStr">
        <is>
          <t>Friday</t>
        </is>
      </c>
      <c r="K241" s="2" t="inlineStr">
        <is>
          <t>Saturday</t>
        </is>
      </c>
      <c r="L241" s="2" t="inlineStr">
        <is>
          <t>Sunday</t>
        </is>
      </c>
      <c r="M241" s="2" t="inlineStr">
        <is>
          <t>Monday</t>
        </is>
      </c>
      <c r="N241" s="2" t="inlineStr">
        <is>
          <t>Tuesday</t>
        </is>
      </c>
      <c r="O241" s="2" t="inlineStr">
        <is>
          <t>Wednesday</t>
        </is>
      </c>
      <c r="P241" s="2" t="inlineStr">
        <is>
          <t>Thursday</t>
        </is>
      </c>
      <c r="Q241" s="2" t="inlineStr">
        <is>
          <t>Friday</t>
        </is>
      </c>
      <c r="R241" s="2" t="inlineStr">
        <is>
          <t>Saturday</t>
        </is>
      </c>
      <c r="S241" s="2" t="inlineStr">
        <is>
          <t>Sunday</t>
        </is>
      </c>
      <c r="T241" s="2" t="inlineStr">
        <is>
          <t>Monday</t>
        </is>
      </c>
      <c r="U241" s="2" t="inlineStr">
        <is>
          <t>Tuesday</t>
        </is>
      </c>
      <c r="V241" s="2" t="inlineStr">
        <is>
          <t>Wednesday</t>
        </is>
      </c>
      <c r="W241" s="2" t="inlineStr">
        <is>
          <t>Thursday</t>
        </is>
      </c>
      <c r="X241" s="2" t="inlineStr">
        <is>
          <t>Friday</t>
        </is>
      </c>
      <c r="Y241" s="2" t="inlineStr">
        <is>
          <t>Saturday</t>
        </is>
      </c>
      <c r="Z241" s="2" t="inlineStr">
        <is>
          <t>Sunday</t>
        </is>
      </c>
      <c r="AA241" s="2" t="inlineStr">
        <is>
          <t>Monday</t>
        </is>
      </c>
      <c r="AB241" s="2" t="inlineStr">
        <is>
          <t>Tuesday</t>
        </is>
      </c>
      <c r="AC241" s="2" t="inlineStr">
        <is>
          <t>Wednesday</t>
        </is>
      </c>
      <c r="AD241" s="2" t="inlineStr">
        <is>
          <t>Thursday</t>
        </is>
      </c>
      <c r="AE241" s="2" t="inlineStr">
        <is>
          <t>Friday</t>
        </is>
      </c>
      <c r="AF241" s="2" t="inlineStr">
        <is>
          <t>Saturday</t>
        </is>
      </c>
      <c r="AG241" s="2" t="inlineStr">
        <is>
          <t>Total</t>
        </is>
      </c>
    </row>
    <row r="242">
      <c r="A242" s="1" t="n"/>
      <c r="B242" s="87" t="inlineStr">
        <is>
          <t>1st</t>
        </is>
      </c>
      <c r="C242" s="87" t="inlineStr">
        <is>
          <t>2nd</t>
        </is>
      </c>
      <c r="D242" s="87" t="inlineStr">
        <is>
          <t>3rd</t>
        </is>
      </c>
      <c r="E242" s="87" t="inlineStr">
        <is>
          <t>4th</t>
        </is>
      </c>
      <c r="F242" s="3" t="inlineStr">
        <is>
          <t>5th</t>
        </is>
      </c>
      <c r="G242" s="3" t="inlineStr">
        <is>
          <t>6th</t>
        </is>
      </c>
      <c r="H242" s="3" t="inlineStr">
        <is>
          <t>7th</t>
        </is>
      </c>
      <c r="I242" s="3" t="inlineStr">
        <is>
          <t>8th</t>
        </is>
      </c>
      <c r="J242" s="3" t="inlineStr">
        <is>
          <t>9th</t>
        </is>
      </c>
      <c r="K242" s="3" t="inlineStr">
        <is>
          <t>10th</t>
        </is>
      </c>
      <c r="L242" s="3" t="inlineStr">
        <is>
          <t>11th</t>
        </is>
      </c>
      <c r="M242" s="4" t="inlineStr">
        <is>
          <t>12th</t>
        </is>
      </c>
      <c r="N242" s="4" t="inlineStr">
        <is>
          <t>13th</t>
        </is>
      </c>
      <c r="O242" s="4" t="inlineStr">
        <is>
          <t>14th</t>
        </is>
      </c>
      <c r="P242" s="4" t="inlineStr">
        <is>
          <t>15th</t>
        </is>
      </c>
      <c r="Q242" s="4" t="inlineStr">
        <is>
          <t>16th</t>
        </is>
      </c>
      <c r="R242" s="4" t="inlineStr">
        <is>
          <t>17th</t>
        </is>
      </c>
      <c r="S242" s="4" t="inlineStr">
        <is>
          <t>18th</t>
        </is>
      </c>
      <c r="T242" s="5" t="inlineStr">
        <is>
          <t>19th</t>
        </is>
      </c>
      <c r="U242" s="5" t="inlineStr">
        <is>
          <t>20th</t>
        </is>
      </c>
      <c r="V242" s="5" t="inlineStr">
        <is>
          <t>21st</t>
        </is>
      </c>
      <c r="W242" s="5" t="inlineStr">
        <is>
          <t>22nd</t>
        </is>
      </c>
      <c r="X242" s="5" t="inlineStr">
        <is>
          <t>23rd</t>
        </is>
      </c>
      <c r="Y242" s="5" t="inlineStr">
        <is>
          <t>24th</t>
        </is>
      </c>
      <c r="Z242" s="5" t="inlineStr">
        <is>
          <t>25th</t>
        </is>
      </c>
      <c r="AA242" s="7" t="inlineStr">
        <is>
          <t>26th</t>
        </is>
      </c>
      <c r="AB242" s="7" t="inlineStr">
        <is>
          <t>27th</t>
        </is>
      </c>
      <c r="AC242" s="7" t="inlineStr">
        <is>
          <t>28th</t>
        </is>
      </c>
      <c r="AD242" s="7" t="inlineStr">
        <is>
          <t>29th</t>
        </is>
      </c>
      <c r="AE242" s="7" t="inlineStr">
        <is>
          <t>30th</t>
        </is>
      </c>
      <c r="AF242" s="7" t="inlineStr">
        <is>
          <t>31st</t>
        </is>
      </c>
      <c r="AG242" s="1" t="n"/>
    </row>
    <row r="243" ht="15.75" customHeight="1">
      <c r="A243" s="8" t="inlineStr">
        <is>
          <t>B-HAM CITY COUNCIL-200790-70489166</t>
        </is>
      </c>
      <c r="B243" s="12" t="n"/>
      <c r="C243" s="12" t="n"/>
      <c r="D243" s="12" t="n"/>
      <c r="E243" s="12" t="n"/>
      <c r="F243" s="79" t="n"/>
      <c r="G243" s="12" t="n"/>
      <c r="H243" s="12" t="n"/>
      <c r="I243" s="12" t="n"/>
      <c r="J243" s="12" t="n"/>
      <c r="K243" s="12" t="n"/>
      <c r="L243" s="12" t="n"/>
      <c r="M243" s="12" t="n"/>
      <c r="N243" s="12" t="n"/>
      <c r="O243" s="12" t="n"/>
      <c r="P243" s="12" t="n"/>
      <c r="Q243" s="12" t="n"/>
      <c r="R243" s="12" t="n"/>
      <c r="S243" s="12" t="n"/>
      <c r="T243" s="12" t="n"/>
      <c r="U243" s="12">
        <f>5041.28</f>
        <v/>
      </c>
      <c r="V243" s="12" t="n"/>
      <c r="W243" s="12" t="n"/>
      <c r="X243" s="12" t="n"/>
      <c r="Y243" s="12" t="n"/>
      <c r="Z243" s="12" t="n"/>
      <c r="AA243" s="79" t="n"/>
      <c r="AB243" s="12" t="n">
        <v>75502.24000000001</v>
      </c>
      <c r="AC243" s="12" t="n"/>
      <c r="AD243" s="12" t="n"/>
      <c r="AE243" s="12" t="n"/>
      <c r="AF243" s="12" t="n"/>
      <c r="AG243" s="13">
        <f>SUM(B243:AF243)</f>
        <v/>
      </c>
    </row>
    <row r="244" ht="15.75" customHeight="1">
      <c r="A244" s="8" t="inlineStr">
        <is>
          <t>Buckingham</t>
        </is>
      </c>
      <c r="B244" s="12" t="n"/>
      <c r="C244" s="12" t="n"/>
      <c r="D244" s="12" t="n"/>
      <c r="E244" s="12" t="n"/>
      <c r="F244" s="80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2" t="n">
        <v>4937.64</v>
      </c>
      <c r="P244" s="9" t="n"/>
      <c r="Q244" s="9" t="n"/>
      <c r="R244" s="9" t="n"/>
      <c r="S244" s="9" t="n"/>
      <c r="T244" s="9" t="n"/>
      <c r="U244" s="9" t="n"/>
      <c r="V244" s="9" t="n"/>
      <c r="W244" s="9" t="n"/>
      <c r="X244" s="12" t="n">
        <v>5134.44</v>
      </c>
      <c r="Y244" s="12" t="n"/>
      <c r="Z244" s="9" t="n"/>
      <c r="AA244" s="79" t="n"/>
      <c r="AB244" s="12" t="n"/>
      <c r="AC244" s="12" t="n"/>
      <c r="AD244" s="12" t="n"/>
      <c r="AE244" s="12" t="n"/>
      <c r="AF244" s="12" t="n"/>
      <c r="AG244" s="13">
        <f>SUM(B244:AF244)</f>
        <v/>
      </c>
    </row>
    <row r="245" ht="15.75" customHeight="1">
      <c r="A245" s="8" t="inlineStr">
        <is>
          <t>Sandwell respite est</t>
        </is>
      </c>
      <c r="B245" s="12" t="n"/>
      <c r="C245" s="12" t="n"/>
      <c r="D245" s="12" t="n"/>
      <c r="E245" s="12" t="n"/>
      <c r="F245" s="80" t="n"/>
      <c r="G245" s="9" t="n"/>
      <c r="H245" s="9" t="n"/>
      <c r="I245" s="9" t="n"/>
      <c r="J245" s="9" t="n"/>
      <c r="K245" s="9" t="n"/>
      <c r="L245" s="9" t="n"/>
      <c r="M245" s="9" t="n"/>
      <c r="N245" s="9" t="n"/>
      <c r="O245" s="9" t="n"/>
      <c r="P245" s="9" t="n"/>
      <c r="Q245" s="9" t="n"/>
      <c r="R245" s="9" t="n"/>
      <c r="S245" s="9" t="n"/>
      <c r="T245" s="9" t="n"/>
      <c r="U245" s="9" t="n"/>
      <c r="V245" s="9" t="n"/>
      <c r="W245" s="9" t="n"/>
      <c r="X245" s="9" t="n"/>
      <c r="Y245" s="9" t="n"/>
      <c r="Z245" s="9" t="n"/>
      <c r="AA245" s="79" t="n"/>
      <c r="AB245" s="12" t="n"/>
      <c r="AC245" s="12" t="n"/>
      <c r="AD245" s="12" t="n"/>
      <c r="AE245" s="12" t="n"/>
      <c r="AF245" s="9" t="n">
        <v>20000</v>
      </c>
      <c r="AG245" s="13">
        <f>SUM(B245:AF245)</f>
        <v/>
      </c>
    </row>
    <row r="246" ht="15.75" customHeight="1">
      <c r="A246" s="8" t="inlineStr">
        <is>
          <t xml:space="preserve">Wolverhampton respite est </t>
        </is>
      </c>
      <c r="B246" s="12" t="n"/>
      <c r="C246" s="12" t="n"/>
      <c r="D246" s="12" t="n"/>
      <c r="E246" s="12" t="n"/>
      <c r="F246" s="80" t="n"/>
      <c r="G246" s="9" t="n"/>
      <c r="H246" s="9" t="n"/>
      <c r="I246" s="9" t="n"/>
      <c r="J246" s="9" t="n"/>
      <c r="K246" s="9" t="n"/>
      <c r="L246" s="9" t="n"/>
      <c r="M246" s="9" t="n"/>
      <c r="N246" s="9" t="n"/>
      <c r="O246" s="9" t="n"/>
      <c r="P246" s="9" t="n"/>
      <c r="Q246" s="9" t="n"/>
      <c r="R246" s="9" t="n"/>
      <c r="S246" s="9" t="n"/>
      <c r="T246" s="9" t="n"/>
      <c r="U246" s="9" t="n"/>
      <c r="V246" s="9" t="n"/>
      <c r="W246" s="9" t="n"/>
      <c r="X246" s="9" t="n"/>
      <c r="Y246" s="9" t="n"/>
      <c r="Z246" s="9" t="n"/>
      <c r="AA246" s="79" t="n"/>
      <c r="AB246" s="12" t="n"/>
      <c r="AC246" s="12" t="n"/>
      <c r="AD246" s="12" t="n"/>
      <c r="AE246" s="12" t="n"/>
      <c r="AF246" s="9" t="n">
        <v>30000</v>
      </c>
      <c r="AG246" s="13">
        <f>SUM(B246:AF246)</f>
        <v/>
      </c>
    </row>
    <row r="247" ht="15.75" customHeight="1">
      <c r="A247" s="8" t="inlineStr">
        <is>
          <t>Walsall Respite</t>
        </is>
      </c>
      <c r="B247" s="12" t="n"/>
      <c r="C247" s="12" t="n"/>
      <c r="D247" s="12" t="n"/>
      <c r="E247" s="12" t="n"/>
      <c r="F247" s="80" t="n"/>
      <c r="G247" s="9" t="n"/>
      <c r="H247" s="9" t="n"/>
      <c r="I247" s="9" t="n"/>
      <c r="J247" s="9" t="n"/>
      <c r="K247" s="9" t="n"/>
      <c r="L247" s="9" t="n"/>
      <c r="M247" s="9" t="n"/>
      <c r="N247" s="9" t="n"/>
      <c r="O247" s="9" t="n"/>
      <c r="P247" s="9" t="n"/>
      <c r="Q247" s="9" t="n"/>
      <c r="R247" s="9" t="n"/>
      <c r="S247" s="9" t="n"/>
      <c r="T247" s="9" t="n"/>
      <c r="U247" s="9" t="n"/>
      <c r="V247" s="9" t="n"/>
      <c r="W247" s="9" t="n"/>
      <c r="X247" s="9" t="n"/>
      <c r="Y247" s="9" t="n"/>
      <c r="Z247" s="9" t="n"/>
      <c r="AA247" s="79" t="n"/>
      <c r="AB247" s="12" t="n"/>
      <c r="AC247" s="12" t="n"/>
      <c r="AD247" s="12" t="n"/>
      <c r="AE247" s="12" t="n"/>
      <c r="AF247" s="9" t="n">
        <v>15000</v>
      </c>
      <c r="AG247" s="13">
        <f>SUM(B247:AF247)</f>
        <v/>
      </c>
    </row>
    <row r="248" ht="18.75" customHeight="1">
      <c r="A248" s="8" t="inlineStr">
        <is>
          <t>Ideal for All Ltd</t>
        </is>
      </c>
      <c r="B248" s="12" t="n"/>
      <c r="C248" s="12" t="n"/>
      <c r="D248" s="12" t="n"/>
      <c r="E248" s="12" t="n"/>
      <c r="F248" s="79" t="n"/>
      <c r="G248" s="9" t="n"/>
      <c r="H248" s="9" t="n"/>
      <c r="I248" s="12" t="n">
        <v>2536.8</v>
      </c>
      <c r="J248" s="12" t="n"/>
      <c r="K248" s="12" t="n"/>
      <c r="L248" s="12" t="n"/>
      <c r="M248" s="12" t="n"/>
      <c r="N248" s="9" t="n"/>
      <c r="O248" s="11" t="n">
        <v>3661.88</v>
      </c>
      <c r="P248" s="9" t="n"/>
      <c r="Q248" s="12" t="n">
        <v>3344</v>
      </c>
      <c r="R248" s="9" t="n"/>
      <c r="S248" s="9" t="n"/>
      <c r="T248" s="9" t="n"/>
      <c r="U248" s="9" t="n"/>
      <c r="V248" s="9" t="n"/>
      <c r="W248" s="9" t="n"/>
      <c r="X248" s="9" t="n"/>
      <c r="Y248" s="9" t="n"/>
      <c r="Z248" s="9" t="n"/>
      <c r="AA248" s="79" t="n"/>
      <c r="AB248" s="12" t="n"/>
      <c r="AC248" s="12" t="n"/>
      <c r="AD248" s="12" t="n"/>
      <c r="AE248" s="12" t="n"/>
      <c r="AF248" s="12" t="n"/>
      <c r="AG248" s="13">
        <f>SUM(B248:AF248)</f>
        <v/>
      </c>
    </row>
    <row r="249" ht="15.75" customHeight="1">
      <c r="A249" s="8" t="inlineStr">
        <is>
          <t>KIRKLEES COUNCIL-204312-63046958</t>
        </is>
      </c>
      <c r="B249" s="12" t="n"/>
      <c r="C249" s="12" t="n"/>
      <c r="D249" s="12" t="n"/>
      <c r="E249" s="12" t="n"/>
      <c r="F249" s="79" t="n"/>
      <c r="G249" s="9" t="n"/>
      <c r="H249" s="12" t="n"/>
      <c r="I249" s="9" t="n"/>
      <c r="J249" s="9" t="n"/>
      <c r="K249" s="9" t="n"/>
      <c r="L249" s="9" t="n"/>
      <c r="M249" s="12" t="n"/>
      <c r="N249" s="12" t="n">
        <v>5554.89</v>
      </c>
      <c r="O249" s="12" t="n"/>
      <c r="P249" s="9" t="n"/>
      <c r="Q249" s="12" t="n"/>
      <c r="R249" s="9" t="n"/>
      <c r="S249" s="9" t="n"/>
      <c r="T249" s="9" t="n"/>
      <c r="U249" s="9" t="n"/>
      <c r="V249" s="9" t="n"/>
      <c r="W249" s="9" t="n"/>
      <c r="X249" s="9" t="n"/>
      <c r="Y249" s="9" t="n"/>
      <c r="Z249" s="9" t="n"/>
      <c r="AA249" s="79" t="n"/>
      <c r="AB249" s="12" t="n"/>
      <c r="AC249" s="12" t="n"/>
      <c r="AD249" s="12" t="n"/>
      <c r="AE249" s="12" t="n"/>
      <c r="AF249" s="12" t="n"/>
      <c r="AG249" s="13">
        <f>SUM(B249:AF249)</f>
        <v/>
      </c>
    </row>
    <row r="250" ht="15.75" customHeight="1">
      <c r="A250" s="8" t="inlineStr">
        <is>
          <t>LBH PAYMENTS BACS-602210-72430192</t>
        </is>
      </c>
      <c r="B250" s="12" t="n"/>
      <c r="C250" s="12" t="n"/>
      <c r="D250" s="12" t="n"/>
      <c r="E250" s="12" t="n"/>
      <c r="F250" s="80" t="n"/>
      <c r="G250" s="9" t="n"/>
      <c r="H250" s="9" t="n"/>
      <c r="I250" s="12" t="n"/>
      <c r="J250" s="9" t="n"/>
      <c r="K250" s="9" t="n"/>
      <c r="L250" s="9" t="n"/>
      <c r="M250" s="9" t="n">
        <v>5040</v>
      </c>
      <c r="N250" s="9" t="n"/>
      <c r="O250" s="9" t="n"/>
      <c r="P250" s="9" t="n"/>
      <c r="Q250" s="12" t="n"/>
      <c r="R250" s="9" t="n"/>
      <c r="S250" s="9" t="n"/>
      <c r="T250" s="9" t="n"/>
      <c r="U250" s="9" t="n"/>
      <c r="V250" s="9" t="n"/>
      <c r="W250" s="9" t="n"/>
      <c r="X250" s="9" t="n"/>
      <c r="Y250" s="9" t="n"/>
      <c r="Z250" s="9" t="n"/>
      <c r="AA250" s="79" t="n"/>
      <c r="AB250" s="12" t="n"/>
      <c r="AC250" s="12" t="n"/>
      <c r="AD250" s="12" t="n"/>
      <c r="AE250" s="12" t="n"/>
      <c r="AF250" s="12" t="n"/>
      <c r="AG250" s="13">
        <f>SUM(B250:AF250)</f>
        <v/>
      </c>
    </row>
    <row r="251" ht="15.75" customHeight="1">
      <c r="A251" s="8" t="inlineStr">
        <is>
          <t>NHS BIRMINGHAM &amp; S-607080-10017097</t>
        </is>
      </c>
      <c r="B251" s="12" t="n"/>
      <c r="C251" s="12" t="n"/>
      <c r="D251" s="12" t="n"/>
      <c r="E251" s="12" t="n"/>
      <c r="F251" s="79" t="n"/>
      <c r="G251" s="9" t="inlineStr"/>
      <c r="H251" s="9" t="n"/>
      <c r="I251" s="9" t="n"/>
      <c r="J251" s="9" t="n"/>
      <c r="K251" s="9" t="n"/>
      <c r="L251" s="9" t="n"/>
      <c r="M251" s="9" t="n"/>
      <c r="N251" s="9" t="n"/>
      <c r="O251" s="9" t="n"/>
      <c r="P251" s="9" t="n"/>
      <c r="Q251" s="12" t="n">
        <v>7121.63</v>
      </c>
      <c r="R251" s="9" t="n"/>
      <c r="S251" s="9" t="n"/>
      <c r="T251" s="9" t="n"/>
      <c r="U251" s="9" t="n"/>
      <c r="V251" s="9" t="n"/>
      <c r="W251" s="9" t="n"/>
      <c r="X251" s="9" t="n"/>
      <c r="Y251" s="9" t="n"/>
      <c r="Z251" s="9" t="n"/>
      <c r="AA251" s="79" t="n"/>
      <c r="AB251" s="12" t="n"/>
      <c r="AC251" s="12" t="n"/>
      <c r="AD251" s="12" t="n"/>
      <c r="AE251" s="12" t="n"/>
      <c r="AF251" s="12" t="n"/>
      <c r="AG251" s="13">
        <f>SUM(B251:AF251)</f>
        <v/>
      </c>
    </row>
    <row r="252" ht="15.75" customHeight="1">
      <c r="A252" s="8" t="inlineStr">
        <is>
          <t>NHS BLACK COUNTRY-607080-10015272</t>
        </is>
      </c>
      <c r="B252" s="12" t="n"/>
      <c r="C252" s="12" t="n"/>
      <c r="D252" s="12" t="n"/>
      <c r="E252" s="12" t="n"/>
      <c r="F252" s="80" t="inlineStr"/>
      <c r="G252" s="9" t="n"/>
      <c r="H252" s="9" t="n"/>
      <c r="I252" s="9" t="n"/>
      <c r="J252" s="12" t="n"/>
      <c r="K252" s="12" t="n"/>
      <c r="L252" s="12" t="n"/>
      <c r="M252" s="9" t="n"/>
      <c r="N252" s="12" t="n">
        <v>13185.64</v>
      </c>
      <c r="O252" s="9" t="n"/>
      <c r="P252" s="12" t="n"/>
      <c r="Q252" s="9" t="n"/>
      <c r="R252" s="9" t="n"/>
      <c r="S252" s="9" t="n"/>
      <c r="T252" s="9" t="n"/>
      <c r="U252" s="9" t="n"/>
      <c r="V252" s="9" t="n"/>
      <c r="W252" s="9" t="n"/>
      <c r="X252" s="12" t="n">
        <v>8073.21</v>
      </c>
      <c r="Y252" s="9" t="n"/>
      <c r="Z252" s="12" t="n"/>
      <c r="AA252" s="79" t="n"/>
      <c r="AB252" s="12" t="n"/>
      <c r="AC252" s="12" t="n"/>
      <c r="AD252" s="12" t="n"/>
      <c r="AE252" s="12" t="n"/>
      <c r="AF252" s="12" t="n"/>
      <c r="AG252" s="13">
        <f>SUM(B252:AF252)</f>
        <v/>
      </c>
    </row>
    <row r="253" ht="15.75" customHeight="1">
      <c r="A253" s="14" t="inlineStr">
        <is>
          <t>SANDWELL MBC  BEN-601539-69624151</t>
        </is>
      </c>
      <c r="B253" s="12" t="n"/>
      <c r="C253" s="12" t="n"/>
      <c r="D253" s="12" t="n"/>
      <c r="E253" s="12" t="n"/>
      <c r="F253" s="80" t="inlineStr"/>
      <c r="G253" s="12" t="inlineStr">
        <is>
          <t>.</t>
        </is>
      </c>
      <c r="H253" s="12" t="n"/>
      <c r="I253" s="9" t="n"/>
      <c r="J253" s="9" t="n"/>
      <c r="K253" s="9" t="n"/>
      <c r="L253" s="9" t="n"/>
      <c r="M253" s="12" t="n"/>
      <c r="N253" s="12" t="n"/>
      <c r="O253" s="9" t="n"/>
      <c r="P253" s="9" t="n"/>
      <c r="Q253" s="9" t="n"/>
      <c r="R253" s="9" t="n"/>
      <c r="S253" s="12" t="n"/>
      <c r="T253" s="9" t="n"/>
      <c r="U253" s="9" t="n"/>
      <c r="V253" s="9" t="n"/>
      <c r="W253" s="12" t="n"/>
      <c r="X253" s="12" t="n">
        <v>3000</v>
      </c>
      <c r="Y253" s="9" t="n"/>
      <c r="Z253" s="9" t="n"/>
      <c r="AA253" s="79" t="n"/>
      <c r="AB253" s="12" t="n"/>
      <c r="AC253" s="12" t="n"/>
      <c r="AD253" s="12" t="n"/>
      <c r="AE253" s="12" t="n"/>
      <c r="AF253" s="12" t="n"/>
      <c r="AG253" s="13">
        <f>SUM(B253:AF253)</f>
        <v/>
      </c>
    </row>
    <row r="254" ht="15.75" customHeight="1">
      <c r="A254" s="14" t="inlineStr">
        <is>
          <t>SANDWELL MBC-601539-69624135</t>
        </is>
      </c>
      <c r="B254" s="12" t="n"/>
      <c r="C254" s="12" t="n"/>
      <c r="D254" s="12" t="n"/>
      <c r="E254" s="12" t="n"/>
      <c r="F254" s="79" t="n"/>
      <c r="G254" s="12" t="n"/>
      <c r="H254" s="12" t="n"/>
      <c r="I254" s="12" t="n"/>
      <c r="J254" s="12" t="n"/>
      <c r="K254" s="12" t="n"/>
      <c r="L254" s="12" t="n"/>
      <c r="M254" s="12" t="n"/>
      <c r="N254" s="12" t="n">
        <v>120000</v>
      </c>
      <c r="O254" s="12" t="n"/>
      <c r="P254" s="12" t="n"/>
      <c r="Q254" s="12" t="n"/>
      <c r="R254" s="12" t="n"/>
      <c r="S254" s="12" t="n"/>
      <c r="T254" s="12" t="n"/>
      <c r="U254" s="12" t="n"/>
      <c r="V254" s="12" t="n"/>
      <c r="W254" s="12" t="n"/>
      <c r="X254" s="12" t="n"/>
      <c r="Y254" s="12" t="n"/>
      <c r="Z254" s="12" t="n"/>
      <c r="AA254" s="79" t="n"/>
      <c r="AB254" s="12" t="n">
        <v>120000</v>
      </c>
      <c r="AC254" s="12" t="n"/>
      <c r="AD254" s="12" t="n"/>
      <c r="AE254" s="12" t="n"/>
      <c r="AF254" s="12" t="n"/>
      <c r="AG254" s="13">
        <f>SUM(B254:AF254)</f>
        <v/>
      </c>
    </row>
    <row r="255" ht="15.75" customHeight="1">
      <c r="A255" s="15" t="inlineStr">
        <is>
          <t>SOLIHULL MBC EXP.-200771-00561525</t>
        </is>
      </c>
      <c r="B255" s="12" t="n"/>
      <c r="C255" s="12" t="n"/>
      <c r="D255" s="12" t="n"/>
      <c r="E255" s="12" t="n"/>
      <c r="F255" s="79" t="n"/>
      <c r="G255" s="12" t="n"/>
      <c r="H255" s="12" t="n"/>
      <c r="I255" s="12" t="n"/>
      <c r="J255" s="12" t="n"/>
      <c r="K255" s="12" t="n"/>
      <c r="L255" s="12" t="n"/>
      <c r="M255" s="12" t="n"/>
      <c r="N255" s="12" t="n"/>
      <c r="O255" s="12" t="n"/>
      <c r="P255" s="12" t="n"/>
      <c r="Q255" s="12" t="n"/>
      <c r="R255" s="12" t="n"/>
      <c r="S255" s="12" t="n"/>
      <c r="T255" s="12" t="n"/>
      <c r="U255" s="12" t="n"/>
      <c r="V255" s="12" t="n"/>
      <c r="W255" s="12" t="n"/>
      <c r="X255" s="12" t="n"/>
      <c r="Y255" s="12" t="n"/>
      <c r="Z255" s="12" t="n"/>
      <c r="AA255" s="79" t="n"/>
      <c r="AB255" s="12" t="n">
        <v>32000</v>
      </c>
      <c r="AC255" s="12" t="n"/>
      <c r="AD255" s="12" t="n"/>
      <c r="AE255" s="12" t="n"/>
      <c r="AF255" s="12" t="n"/>
      <c r="AG255" s="13">
        <f>SUM(B255:AF255)</f>
        <v/>
      </c>
    </row>
    <row r="256" ht="15.75" customHeight="1">
      <c r="A256" s="15" t="inlineStr">
        <is>
          <t>WALSALL MBC BARC-209073-10731692</t>
        </is>
      </c>
      <c r="B256" s="12" t="n"/>
      <c r="C256" s="12" t="n"/>
      <c r="D256" s="12" t="n"/>
      <c r="E256" s="12" t="n"/>
      <c r="F256" s="79" t="n"/>
      <c r="G256" s="12" t="n"/>
      <c r="H256" s="12" t="n"/>
      <c r="I256" s="12" t="n"/>
      <c r="J256" s="12" t="n"/>
      <c r="K256" s="12" t="n"/>
      <c r="L256" s="12" t="n"/>
      <c r="M256" s="9" t="n">
        <v>187000</v>
      </c>
      <c r="N256" s="12" t="n"/>
      <c r="O256" s="12" t="n"/>
      <c r="P256" s="12" t="n"/>
      <c r="Q256" s="12" t="n"/>
      <c r="R256" s="12" t="n"/>
      <c r="S256" s="12" t="n"/>
      <c r="T256" s="12" t="n"/>
      <c r="U256" s="12" t="n"/>
      <c r="V256" s="12" t="n"/>
      <c r="W256" s="12" t="n"/>
      <c r="X256" s="12" t="n"/>
      <c r="Y256" s="12" t="n"/>
      <c r="Z256" s="12" t="n"/>
      <c r="AA256" s="79" t="n"/>
      <c r="AB256" s="12" t="n"/>
      <c r="AC256" s="12" t="n"/>
      <c r="AD256" s="12" t="n"/>
      <c r="AE256" s="12" t="n"/>
      <c r="AF256" s="12" t="n"/>
      <c r="AG256" s="13">
        <f>SUM(B256:AF256)</f>
        <v/>
      </c>
    </row>
    <row r="257" ht="15.75" customHeight="1">
      <c r="A257" s="15" t="inlineStr">
        <is>
          <t>WOLVERHAMPTON CC-560069-44470320</t>
        </is>
      </c>
      <c r="B257" s="12" t="n">
        <v>112000</v>
      </c>
      <c r="C257" s="12" t="n"/>
      <c r="D257" s="12" t="n"/>
      <c r="E257" s="12" t="n"/>
      <c r="F257" s="79" t="n"/>
      <c r="G257" s="12" t="n"/>
      <c r="H257" s="12" t="n"/>
      <c r="I257" s="12" t="n">
        <v>112000</v>
      </c>
      <c r="J257" s="12" t="n"/>
      <c r="K257" s="12" t="n"/>
      <c r="L257" s="12" t="n"/>
      <c r="M257" s="12" t="n"/>
      <c r="N257" s="12" t="n"/>
      <c r="O257" s="12" t="n"/>
      <c r="P257" s="12" t="n">
        <v>112000</v>
      </c>
      <c r="Q257" s="12" t="n"/>
      <c r="R257" s="12" t="n"/>
      <c r="S257" s="12" t="n"/>
      <c r="T257" s="12" t="n"/>
      <c r="U257" s="12" t="n"/>
      <c r="V257" s="12" t="n"/>
      <c r="W257" s="12" t="n">
        <v>112000</v>
      </c>
      <c r="X257" s="12" t="n"/>
      <c r="Y257" s="12" t="n"/>
      <c r="Z257" s="12" t="n"/>
      <c r="AA257" s="79" t="n"/>
      <c r="AB257" s="12" t="n"/>
      <c r="AC257" s="12" t="n"/>
      <c r="AD257" s="12" t="n">
        <v>112000</v>
      </c>
      <c r="AE257" s="12" t="n"/>
      <c r="AF257" s="12" t="n"/>
      <c r="AG257" s="13">
        <f>SUM(B257:AF257)</f>
        <v/>
      </c>
    </row>
    <row r="258" ht="15.75" customHeight="1">
      <c r="A258" s="15" t="inlineStr">
        <is>
          <t>Portsmouth</t>
        </is>
      </c>
      <c r="B258" s="12" t="n"/>
      <c r="C258" s="12" t="n"/>
      <c r="D258" s="12" t="n"/>
      <c r="E258" s="12" t="n"/>
      <c r="F258" s="79" t="n"/>
      <c r="G258" s="12" t="n"/>
      <c r="H258" s="12" t="n"/>
      <c r="I258" s="12" t="n"/>
      <c r="J258" s="12" t="n"/>
      <c r="K258" s="12" t="n"/>
      <c r="L258" s="12" t="n"/>
      <c r="M258" s="12" t="n"/>
      <c r="N258" s="12" t="n"/>
      <c r="O258" s="12" t="n"/>
      <c r="P258" s="9" t="n">
        <v>5247.86</v>
      </c>
      <c r="Q258" s="12" t="n"/>
      <c r="R258" s="12" t="n"/>
      <c r="S258" s="12" t="n"/>
      <c r="T258" s="12" t="n"/>
      <c r="U258" s="12" t="n"/>
      <c r="V258" s="12" t="n"/>
      <c r="W258" s="12" t="n"/>
      <c r="X258" s="12" t="n"/>
      <c r="Y258" s="12" t="n"/>
      <c r="Z258" s="12" t="n"/>
      <c r="AA258" s="79" t="n"/>
      <c r="AB258" s="12" t="n"/>
      <c r="AC258" s="12" t="n"/>
      <c r="AD258" s="12" t="n"/>
      <c r="AE258" s="12" t="n"/>
      <c r="AF258" s="12" t="n"/>
      <c r="AG258" s="13">
        <f>SUM(B258:AF258)</f>
        <v/>
      </c>
    </row>
    <row r="259" ht="15.75" customHeight="1">
      <c r="A259" s="15" t="inlineStr">
        <is>
          <t>HB SC</t>
        </is>
      </c>
      <c r="B259" s="10" t="n">
        <v>3800</v>
      </c>
      <c r="C259" s="10" t="n">
        <v>3800</v>
      </c>
      <c r="D259" s="10" t="n">
        <v>3800</v>
      </c>
      <c r="E259" s="10" t="n">
        <v>3800</v>
      </c>
      <c r="F259" s="10" t="n">
        <v>3800</v>
      </c>
      <c r="G259" s="10" t="n">
        <v>3800</v>
      </c>
      <c r="H259" s="10" t="n">
        <v>3800</v>
      </c>
      <c r="I259" s="10" t="n">
        <v>3800</v>
      </c>
      <c r="J259" s="10" t="n">
        <v>3800</v>
      </c>
      <c r="K259" s="10" t="n">
        <v>3800</v>
      </c>
      <c r="L259" s="10" t="n">
        <v>3800</v>
      </c>
      <c r="M259" s="10" t="n">
        <v>3800</v>
      </c>
      <c r="N259" s="10" t="n">
        <v>3800</v>
      </c>
      <c r="O259" s="10" t="n">
        <v>3800</v>
      </c>
      <c r="P259" s="10" t="n">
        <v>3800</v>
      </c>
      <c r="Q259" s="10" t="n">
        <v>3800</v>
      </c>
      <c r="R259" s="10" t="n">
        <v>3800</v>
      </c>
      <c r="S259" s="10" t="n">
        <v>3800</v>
      </c>
      <c r="T259" s="10" t="n">
        <v>3800</v>
      </c>
      <c r="U259" s="10" t="n">
        <v>3800</v>
      </c>
      <c r="V259" s="10" t="n">
        <v>3800</v>
      </c>
      <c r="W259" s="10" t="n">
        <v>3800</v>
      </c>
      <c r="X259" s="10" t="n">
        <v>3800</v>
      </c>
      <c r="Y259" s="10" t="n">
        <v>3800</v>
      </c>
      <c r="Z259" s="10" t="n">
        <v>3800</v>
      </c>
      <c r="AA259" s="10" t="n">
        <v>3800</v>
      </c>
      <c r="AB259" s="10" t="n">
        <v>3800</v>
      </c>
      <c r="AC259" s="10" t="n">
        <v>3800</v>
      </c>
      <c r="AD259" s="10" t="n">
        <v>3800</v>
      </c>
      <c r="AE259" s="10" t="n">
        <v>3800</v>
      </c>
      <c r="AF259" s="10" t="n"/>
      <c r="AG259" s="13">
        <f>SUM(B259:AF259)</f>
        <v/>
      </c>
    </row>
    <row r="260" ht="16.5" customHeight="1" thickBot="1">
      <c r="A260" s="15" t="inlineStr">
        <is>
          <t>Total</t>
        </is>
      </c>
      <c r="B260">
        <f>SUM(B243:B259)</f>
        <v/>
      </c>
      <c r="C260">
        <f>SUM(C243:C259)</f>
        <v/>
      </c>
      <c r="D260">
        <f>SUM(D243:D259)</f>
        <v/>
      </c>
      <c r="E260">
        <f>SUM(E243:E259)</f>
        <v/>
      </c>
      <c r="F260">
        <f>SUM(F243:F259)</f>
        <v/>
      </c>
      <c r="G260">
        <f>SUM(G243:G259)</f>
        <v/>
      </c>
      <c r="H260">
        <f>SUM(H243:H259)</f>
        <v/>
      </c>
      <c r="I260">
        <f>SUM(I243:I259)</f>
        <v/>
      </c>
      <c r="J260">
        <f>SUM(J243:J259)</f>
        <v/>
      </c>
      <c r="K260">
        <f>SUM(K243:K259)</f>
        <v/>
      </c>
      <c r="L260">
        <f>SUM(L243:L259)</f>
        <v/>
      </c>
      <c r="M260">
        <f>SUM(M243:M259)</f>
        <v/>
      </c>
      <c r="N260">
        <f>SUM(N243:N259)</f>
        <v/>
      </c>
      <c r="O260">
        <f>SUM(O243:O259)</f>
        <v/>
      </c>
      <c r="P260">
        <f>SUM(P243:P259)</f>
        <v/>
      </c>
      <c r="Q260">
        <f>SUM(Q243:Q259)</f>
        <v/>
      </c>
      <c r="R260">
        <f>SUM(R243:R259)</f>
        <v/>
      </c>
      <c r="S260">
        <f>SUM(S243:S259)</f>
        <v/>
      </c>
      <c r="T260">
        <f>SUM(T243:T259)</f>
        <v/>
      </c>
      <c r="U260">
        <f>SUM(U243:U259)</f>
        <v/>
      </c>
      <c r="V260">
        <f>SUM(V243:V259)</f>
        <v/>
      </c>
      <c r="W260">
        <f>SUM(W243:W259)</f>
        <v/>
      </c>
      <c r="X260">
        <f>SUM(X243:X259)</f>
        <v/>
      </c>
      <c r="Y260">
        <f>SUM(Y243:Y259)</f>
        <v/>
      </c>
      <c r="Z260">
        <f>SUM(Z243:Z259)</f>
        <v/>
      </c>
      <c r="AA260">
        <f>SUM(AA243:AA259)</f>
        <v/>
      </c>
      <c r="AB260">
        <f>SUM(AB243:AB259)</f>
        <v/>
      </c>
      <c r="AC260">
        <f>SUM(AC243:AC259)</f>
        <v/>
      </c>
      <c r="AD260">
        <f>SUM(AD243:AD259)</f>
        <v/>
      </c>
      <c r="AE260">
        <f>SUM(AE243:AE259)</f>
        <v/>
      </c>
      <c r="AG260" s="252">
        <f>SUM(AG243:AG259)</f>
        <v/>
      </c>
    </row>
    <row r="261" ht="15.75" customHeight="1" thickTop="1">
      <c r="A261" s="15" t="inlineStr">
        <is>
          <t>Ruunning Total</t>
        </is>
      </c>
      <c r="B261">
        <f>B260</f>
        <v/>
      </c>
      <c r="C261">
        <f>B261+C260</f>
        <v/>
      </c>
      <c r="D261">
        <f>C261+D260</f>
        <v/>
      </c>
      <c r="E261">
        <f>D261+E260</f>
        <v/>
      </c>
      <c r="F261">
        <f>E261+F260</f>
        <v/>
      </c>
      <c r="G261">
        <f>F261+G260</f>
        <v/>
      </c>
      <c r="H261">
        <f>G261+H260</f>
        <v/>
      </c>
      <c r="I261">
        <f>H261+I260</f>
        <v/>
      </c>
      <c r="J261">
        <f>I261+J260</f>
        <v/>
      </c>
      <c r="K261">
        <f>J261+K260</f>
        <v/>
      </c>
      <c r="L261">
        <f>K261+L260</f>
        <v/>
      </c>
      <c r="M261">
        <f>L261+M260</f>
        <v/>
      </c>
      <c r="N261">
        <f>M261+N260</f>
        <v/>
      </c>
      <c r="O261">
        <f>N261+O260</f>
        <v/>
      </c>
      <c r="P261">
        <f>O261+P260</f>
        <v/>
      </c>
      <c r="Q261">
        <f>P261+Q260</f>
        <v/>
      </c>
      <c r="R261">
        <f>Q261+R260</f>
        <v/>
      </c>
      <c r="S261">
        <f>R261+S260</f>
        <v/>
      </c>
      <c r="T261">
        <f>S261+T260</f>
        <v/>
      </c>
      <c r="U261">
        <f>T261+U260</f>
        <v/>
      </c>
      <c r="V261">
        <f>U261+V260</f>
        <v/>
      </c>
      <c r="W261">
        <f>V261+W260</f>
        <v/>
      </c>
      <c r="X261">
        <f>W261+X260</f>
        <v/>
      </c>
      <c r="Y261">
        <f>X261+Y260</f>
        <v/>
      </c>
      <c r="Z261">
        <f>Y261+Z260</f>
        <v/>
      </c>
      <c r="AA261">
        <f>Z261+AA260</f>
        <v/>
      </c>
      <c r="AB261">
        <f>AA261+AB260</f>
        <v/>
      </c>
      <c r="AC261">
        <f>AB261+AC260</f>
        <v/>
      </c>
      <c r="AD261">
        <f>AC261+AD260</f>
        <v/>
      </c>
      <c r="AE261">
        <f>AD261+AE260</f>
        <v/>
      </c>
    </row>
    <row r="264">
      <c r="A264" s="1" t="n"/>
      <c r="B264" s="2" t="inlineStr">
        <is>
          <t>June</t>
        </is>
      </c>
      <c r="C264" s="2" t="n"/>
      <c r="D264" s="2" t="n"/>
      <c r="E264" s="2" t="n"/>
      <c r="F264" s="2" t="n"/>
      <c r="G264" s="2" t="n"/>
      <c r="H264" s="2" t="n"/>
      <c r="I264" s="2" t="n"/>
      <c r="J264" s="2" t="n"/>
      <c r="K264" s="2" t="n"/>
      <c r="L264" s="2" t="n"/>
      <c r="M264" s="2" t="n"/>
      <c r="N264" s="2" t="n"/>
      <c r="O264" s="2" t="n"/>
      <c r="P264" s="2" t="n"/>
      <c r="Q264" s="2" t="n"/>
      <c r="R264" s="2" t="n"/>
      <c r="S264" s="2" t="n"/>
      <c r="T264" s="2" t="n"/>
      <c r="U264" s="2" t="n"/>
      <c r="V264" s="2" t="n"/>
      <c r="W264" s="2" t="n"/>
      <c r="X264" s="2" t="n"/>
      <c r="Y264" s="2" t="n"/>
      <c r="Z264" s="2" t="n"/>
      <c r="AA264" s="2" t="n"/>
      <c r="AB264" s="2" t="n"/>
      <c r="AC264" s="2" t="n"/>
      <c r="AD264" s="2" t="n"/>
      <c r="AE264" s="1" t="n"/>
      <c r="AF264" s="1" t="n"/>
      <c r="AG264" s="1" t="n"/>
    </row>
    <row r="265" ht="15.75" customHeight="1">
      <c r="A265" s="1" t="n"/>
      <c r="B265" s="2" t="inlineStr">
        <is>
          <t>Sunday</t>
        </is>
      </c>
      <c r="C265" s="2" t="inlineStr">
        <is>
          <t>Monday</t>
        </is>
      </c>
      <c r="D265" s="2" t="inlineStr">
        <is>
          <t>Tuesday</t>
        </is>
      </c>
      <c r="E265" s="2" t="inlineStr">
        <is>
          <t>Wednesday</t>
        </is>
      </c>
      <c r="F265" s="2" t="inlineStr">
        <is>
          <t>Thursday</t>
        </is>
      </c>
      <c r="G265" s="2" t="inlineStr">
        <is>
          <t>Friday</t>
        </is>
      </c>
      <c r="H265" s="2" t="inlineStr">
        <is>
          <t>Saturday</t>
        </is>
      </c>
      <c r="I265" s="2" t="inlineStr">
        <is>
          <t>Sunday</t>
        </is>
      </c>
      <c r="J265" s="2" t="inlineStr">
        <is>
          <t>Monday</t>
        </is>
      </c>
      <c r="K265" s="2" t="inlineStr">
        <is>
          <t>Tuesday</t>
        </is>
      </c>
      <c r="L265" s="2" t="inlineStr">
        <is>
          <t>Wednesday</t>
        </is>
      </c>
      <c r="M265" s="2" t="inlineStr">
        <is>
          <t>Thursday</t>
        </is>
      </c>
      <c r="N265" s="2" t="inlineStr">
        <is>
          <t>Friday</t>
        </is>
      </c>
      <c r="O265" s="2" t="inlineStr">
        <is>
          <t>Saturday</t>
        </is>
      </c>
      <c r="P265" s="2" t="inlineStr">
        <is>
          <t>Sunday</t>
        </is>
      </c>
      <c r="Q265" s="2" t="inlineStr">
        <is>
          <t>Monday</t>
        </is>
      </c>
      <c r="R265" s="2" t="inlineStr">
        <is>
          <t>Tuesday</t>
        </is>
      </c>
      <c r="S265" s="2" t="inlineStr">
        <is>
          <t>Wednesday</t>
        </is>
      </c>
      <c r="T265" s="2" t="inlineStr">
        <is>
          <t>Thursday</t>
        </is>
      </c>
      <c r="U265" s="2" t="inlineStr">
        <is>
          <t>Friday</t>
        </is>
      </c>
      <c r="V265" s="2" t="inlineStr">
        <is>
          <t>Saturday</t>
        </is>
      </c>
      <c r="W265" s="2" t="inlineStr">
        <is>
          <t>Sunday</t>
        </is>
      </c>
      <c r="X265" s="2" t="inlineStr">
        <is>
          <t>Monday</t>
        </is>
      </c>
      <c r="Y265" s="2" t="inlineStr">
        <is>
          <t>Tuesday</t>
        </is>
      </c>
      <c r="Z265" s="2" t="inlineStr">
        <is>
          <t>Wednesday</t>
        </is>
      </c>
      <c r="AA265" s="2" t="inlineStr">
        <is>
          <t>Thursday</t>
        </is>
      </c>
      <c r="AB265" s="2" t="inlineStr">
        <is>
          <t>Friday</t>
        </is>
      </c>
      <c r="AC265" s="2" t="inlineStr">
        <is>
          <t>Saturday</t>
        </is>
      </c>
      <c r="AD265" s="2" t="inlineStr">
        <is>
          <t>Sunday</t>
        </is>
      </c>
      <c r="AE265" s="2" t="inlineStr">
        <is>
          <t>Monday</t>
        </is>
      </c>
      <c r="AF265" s="9" t="n"/>
      <c r="AG265" s="2" t="inlineStr">
        <is>
          <t>Total</t>
        </is>
      </c>
    </row>
    <row r="266" ht="15.75" customHeight="1">
      <c r="A266" s="1" t="n"/>
      <c r="B266" s="7" t="inlineStr">
        <is>
          <t>1st</t>
        </is>
      </c>
      <c r="C266" s="3" t="inlineStr">
        <is>
          <t>2nd</t>
        </is>
      </c>
      <c r="D266" s="3" t="inlineStr">
        <is>
          <t>3rd</t>
        </is>
      </c>
      <c r="E266" s="3" t="inlineStr">
        <is>
          <t>4th</t>
        </is>
      </c>
      <c r="F266" s="3" t="inlineStr">
        <is>
          <t>5th</t>
        </is>
      </c>
      <c r="G266" s="3" t="inlineStr">
        <is>
          <t>6th</t>
        </is>
      </c>
      <c r="H266" s="3" t="inlineStr">
        <is>
          <t>7th</t>
        </is>
      </c>
      <c r="I266" s="3" t="inlineStr">
        <is>
          <t>8th</t>
        </is>
      </c>
      <c r="J266" s="4" t="inlineStr">
        <is>
          <t>9th</t>
        </is>
      </c>
      <c r="K266" s="4" t="inlineStr">
        <is>
          <t>10th</t>
        </is>
      </c>
      <c r="L266" s="4" t="inlineStr">
        <is>
          <t>11th</t>
        </is>
      </c>
      <c r="M266" s="4" t="inlineStr">
        <is>
          <t>12th</t>
        </is>
      </c>
      <c r="N266" s="4" t="inlineStr">
        <is>
          <t>13th</t>
        </is>
      </c>
      <c r="O266" s="4" t="inlineStr">
        <is>
          <t>14th</t>
        </is>
      </c>
      <c r="P266" s="4" t="inlineStr">
        <is>
          <t>15th</t>
        </is>
      </c>
      <c r="Q266" s="5" t="inlineStr">
        <is>
          <t>16th</t>
        </is>
      </c>
      <c r="R266" s="5" t="inlineStr">
        <is>
          <t>17th</t>
        </is>
      </c>
      <c r="S266" s="5" t="inlineStr">
        <is>
          <t>18th</t>
        </is>
      </c>
      <c r="T266" s="5" t="inlineStr">
        <is>
          <t>19th</t>
        </is>
      </c>
      <c r="U266" s="5" t="inlineStr">
        <is>
          <t>20th</t>
        </is>
      </c>
      <c r="V266" s="5" t="inlineStr">
        <is>
          <t>21st</t>
        </is>
      </c>
      <c r="W266" s="5" t="inlineStr">
        <is>
          <t>22nd</t>
        </is>
      </c>
      <c r="X266" s="6" t="inlineStr">
        <is>
          <t>23rd</t>
        </is>
      </c>
      <c r="Y266" s="6" t="inlineStr">
        <is>
          <t>24th</t>
        </is>
      </c>
      <c r="Z266" s="6" t="inlineStr">
        <is>
          <t>25th</t>
        </is>
      </c>
      <c r="AA266" s="6" t="inlineStr">
        <is>
          <t>26th</t>
        </is>
      </c>
      <c r="AB266" s="6" t="inlineStr">
        <is>
          <t>27th</t>
        </is>
      </c>
      <c r="AC266" s="6" t="inlineStr">
        <is>
          <t>28th</t>
        </is>
      </c>
      <c r="AD266" s="6" t="inlineStr">
        <is>
          <t>29th</t>
        </is>
      </c>
      <c r="AE266" s="7" t="inlineStr">
        <is>
          <t>30th</t>
        </is>
      </c>
      <c r="AF266" s="9" t="n"/>
      <c r="AG266" s="1" t="n"/>
    </row>
    <row r="267" ht="15.75" customHeight="1">
      <c r="A267" s="8" t="inlineStr">
        <is>
          <t>B-HAM CITY COUNCIL-200790-70489166</t>
        </is>
      </c>
      <c r="B267" s="12" t="n"/>
      <c r="C267" s="12" t="n"/>
      <c r="D267" s="12" t="n"/>
      <c r="E267" s="12" t="n"/>
      <c r="F267" s="12" t="n"/>
      <c r="G267" s="12" t="n"/>
      <c r="H267" s="12" t="n"/>
      <c r="I267" s="12" t="n"/>
      <c r="J267" s="12" t="n"/>
      <c r="K267" s="12" t="n"/>
      <c r="L267" s="12" t="n"/>
      <c r="M267" s="12" t="n"/>
      <c r="N267" s="12" t="n"/>
      <c r="O267" s="12" t="n"/>
      <c r="P267" s="12" t="n"/>
      <c r="Q267" s="12" t="n"/>
      <c r="R267" s="12">
        <f>5041.28</f>
        <v/>
      </c>
      <c r="S267" s="12" t="n"/>
      <c r="T267" s="12" t="n"/>
      <c r="U267" s="12" t="n"/>
      <c r="V267" s="12" t="n"/>
      <c r="W267" s="12" t="n"/>
      <c r="X267" s="12" t="n"/>
      <c r="Y267" s="12" t="n">
        <v>75502.24000000001</v>
      </c>
      <c r="Z267" s="12" t="n"/>
      <c r="AA267" s="12" t="n"/>
      <c r="AB267" s="12" t="n"/>
      <c r="AC267" s="12" t="n"/>
      <c r="AD267" s="12" t="n"/>
      <c r="AE267" s="12" t="n"/>
      <c r="AF267" s="12" t="n"/>
      <c r="AG267" s="13">
        <f>SUM(B267:AF267)</f>
        <v/>
      </c>
    </row>
    <row r="268" ht="15.75" customHeight="1">
      <c r="A268" s="8" t="inlineStr">
        <is>
          <t>Buckingham</t>
        </is>
      </c>
      <c r="B268" s="12" t="n"/>
      <c r="C268" s="9" t="n"/>
      <c r="D268" s="9" t="n"/>
      <c r="E268" s="9" t="n"/>
      <c r="F268" s="9" t="n"/>
      <c r="G268" s="9" t="n"/>
      <c r="H268" s="9" t="n"/>
      <c r="I268" s="9" t="n"/>
      <c r="J268" s="9" t="n"/>
      <c r="K268" s="9" t="n"/>
      <c r="L268" s="12" t="n">
        <v>4937.64</v>
      </c>
      <c r="M268" s="9" t="n"/>
      <c r="N268" s="9" t="n"/>
      <c r="O268" s="9" t="n"/>
      <c r="P268" s="9" t="n"/>
      <c r="Q268" s="9" t="n"/>
      <c r="R268" s="9" t="n"/>
      <c r="S268" s="9" t="n"/>
      <c r="T268" s="9" t="n"/>
      <c r="U268" s="9" t="n"/>
      <c r="V268" s="12" t="n"/>
      <c r="W268" s="9" t="n"/>
      <c r="X268" s="12" t="n">
        <v>5134.44</v>
      </c>
      <c r="Y268" s="12" t="n"/>
      <c r="Z268" s="12" t="n"/>
      <c r="AA268" s="12" t="n"/>
      <c r="AB268" s="12" t="n"/>
      <c r="AC268" s="12" t="n"/>
      <c r="AD268" s="12" t="n"/>
      <c r="AE268" s="12" t="n"/>
      <c r="AF268" s="12" t="n"/>
      <c r="AG268" s="13">
        <f>SUM(B268:AF268)</f>
        <v/>
      </c>
    </row>
    <row r="269" ht="15.75" customHeight="1">
      <c r="A269" s="8" t="inlineStr">
        <is>
          <t>Sandwell respite est</t>
        </is>
      </c>
      <c r="B269" s="12" t="n"/>
      <c r="C269" s="9" t="n"/>
      <c r="D269" s="9" t="n"/>
      <c r="E269" s="9" t="n"/>
      <c r="F269" s="9" t="n"/>
      <c r="G269" s="9" t="n"/>
      <c r="H269" s="9" t="n"/>
      <c r="I269" s="9" t="n"/>
      <c r="J269" s="9" t="n"/>
      <c r="K269" s="9" t="n"/>
      <c r="L269" s="9" t="n"/>
      <c r="M269" s="9" t="n"/>
      <c r="N269" s="9" t="n"/>
      <c r="O269" s="9" t="n"/>
      <c r="P269" s="9" t="n"/>
      <c r="Q269" s="9" t="n"/>
      <c r="R269" s="9" t="n"/>
      <c r="S269" s="9" t="n"/>
      <c r="T269" s="9" t="n"/>
      <c r="U269" s="9" t="n"/>
      <c r="V269" s="9" t="n"/>
      <c r="W269" s="9" t="n"/>
      <c r="X269" s="12" t="n"/>
      <c r="Y269" s="12" t="n"/>
      <c r="Z269" s="12" t="n"/>
      <c r="AA269" s="12" t="n"/>
      <c r="AB269" s="12" t="n"/>
      <c r="AC269" s="12" t="n"/>
      <c r="AD269" s="12" t="n"/>
      <c r="AE269" s="12" t="n"/>
      <c r="AF269" s="9" t="n">
        <v>20000</v>
      </c>
      <c r="AG269" s="13">
        <f>SUM(B269:AF269)</f>
        <v/>
      </c>
    </row>
    <row r="270" ht="15.75" customHeight="1">
      <c r="A270" s="8" t="inlineStr">
        <is>
          <t xml:space="preserve">Wolverhampton respite est </t>
        </is>
      </c>
      <c r="B270" s="12" t="n"/>
      <c r="C270" s="9" t="n"/>
      <c r="D270" s="9" t="n"/>
      <c r="E270" s="9" t="n"/>
      <c r="F270" s="9" t="n"/>
      <c r="G270" s="9" t="n"/>
      <c r="H270" s="9" t="n"/>
      <c r="I270" s="9" t="n"/>
      <c r="J270" s="9" t="n"/>
      <c r="K270" s="9" t="n"/>
      <c r="L270" s="9" t="n"/>
      <c r="M270" s="9" t="n"/>
      <c r="N270" s="9" t="n"/>
      <c r="O270" s="9" t="n"/>
      <c r="P270" s="9" t="n"/>
      <c r="Q270" s="9" t="n"/>
      <c r="R270" s="9" t="n"/>
      <c r="S270" s="9" t="n"/>
      <c r="T270" s="9" t="n"/>
      <c r="U270" s="9" t="n"/>
      <c r="V270" s="9" t="n"/>
      <c r="W270" s="9" t="n"/>
      <c r="X270" s="12" t="n"/>
      <c r="Y270" s="12" t="n"/>
      <c r="Z270" s="12" t="n"/>
      <c r="AA270" s="12" t="n"/>
      <c r="AB270" s="12" t="n"/>
      <c r="AC270" s="12" t="n"/>
      <c r="AD270" s="12" t="n"/>
      <c r="AE270" s="12" t="n"/>
      <c r="AF270" s="9" t="n">
        <v>30000</v>
      </c>
      <c r="AG270" s="13">
        <f>SUM(B270:AF270)</f>
        <v/>
      </c>
    </row>
    <row r="271" ht="15.75" customHeight="1">
      <c r="A271" s="8" t="inlineStr">
        <is>
          <t>Walsall Respite</t>
        </is>
      </c>
      <c r="B271" s="12" t="n"/>
      <c r="C271" s="9" t="n"/>
      <c r="D271" s="9" t="n"/>
      <c r="E271" s="9" t="n"/>
      <c r="F271" s="9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9" t="n"/>
      <c r="P271" s="9" t="n"/>
      <c r="Q271" s="9" t="n"/>
      <c r="R271" s="9" t="n"/>
      <c r="S271" s="9" t="n"/>
      <c r="T271" s="9" t="n"/>
      <c r="U271" s="9" t="n"/>
      <c r="V271" s="9" t="n"/>
      <c r="W271" s="9" t="n"/>
      <c r="X271" s="12" t="n"/>
      <c r="Y271" s="12" t="n"/>
      <c r="Z271" s="12" t="n"/>
      <c r="AA271" s="12" t="n"/>
      <c r="AB271" s="12" t="n"/>
      <c r="AC271" s="12" t="n"/>
      <c r="AD271" s="12" t="n"/>
      <c r="AE271" s="12" t="n"/>
      <c r="AF271" s="9" t="n">
        <v>15000</v>
      </c>
      <c r="AG271" s="13">
        <f>SUM(B271:AF271)</f>
        <v/>
      </c>
    </row>
    <row r="272" ht="18.75" customHeight="1">
      <c r="A272" s="8" t="inlineStr">
        <is>
          <t>Ideal for All Ltd</t>
        </is>
      </c>
      <c r="B272" s="12" t="n"/>
      <c r="C272" s="11" t="n">
        <v>3661.88</v>
      </c>
      <c r="D272" s="9" t="n"/>
      <c r="E272" s="9" t="n"/>
      <c r="F272" s="12" t="n">
        <v>2536.8</v>
      </c>
      <c r="G272" s="12" t="n"/>
      <c r="H272" s="12" t="n"/>
      <c r="I272" s="12" t="n"/>
      <c r="J272" s="12" t="n"/>
      <c r="K272" s="9" t="n"/>
      <c r="L272" s="9" t="n"/>
      <c r="M272" s="9" t="n"/>
      <c r="N272" s="12" t="n">
        <v>3344</v>
      </c>
      <c r="O272" s="9" t="n"/>
      <c r="P272" s="9" t="n"/>
      <c r="Q272" s="9" t="n"/>
      <c r="R272" s="9" t="n"/>
      <c r="S272" s="9" t="n"/>
      <c r="T272" s="9" t="n"/>
      <c r="U272" s="9" t="n"/>
      <c r="V272" s="9" t="n"/>
      <c r="W272" s="9" t="n"/>
      <c r="X272" s="12" t="n"/>
      <c r="Y272" s="12" t="n"/>
      <c r="Z272" s="12" t="n"/>
      <c r="AA272" s="12" t="n"/>
      <c r="AB272" s="12" t="n"/>
      <c r="AC272" s="12" t="n"/>
      <c r="AD272" s="12" t="n"/>
      <c r="AE272" s="12" t="n"/>
      <c r="AF272" s="12" t="n"/>
      <c r="AG272" s="13">
        <f>SUM(B272:AF272)</f>
        <v/>
      </c>
    </row>
    <row r="273" ht="15.75" customHeight="1">
      <c r="A273" s="8" t="inlineStr">
        <is>
          <t>KIRKLEES COUNCIL-204312-63046958</t>
        </is>
      </c>
      <c r="B273" s="12" t="n"/>
      <c r="C273" s="12" t="n"/>
      <c r="D273" s="9" t="n"/>
      <c r="E273" s="12" t="n"/>
      <c r="F273" s="9" t="n"/>
      <c r="G273" s="9" t="n"/>
      <c r="H273" s="9" t="n"/>
      <c r="I273" s="9" t="n"/>
      <c r="J273" s="12" t="n"/>
      <c r="K273" s="12" t="n">
        <v>5554.89</v>
      </c>
      <c r="L273" s="12" t="n"/>
      <c r="M273" s="9" t="n"/>
      <c r="N273" s="12" t="n"/>
      <c r="O273" s="9" t="n"/>
      <c r="P273" s="9" t="n"/>
      <c r="Q273" s="9" t="n"/>
      <c r="R273" s="9" t="n"/>
      <c r="S273" s="9" t="n"/>
      <c r="T273" s="9" t="n"/>
      <c r="U273" s="9" t="n"/>
      <c r="V273" s="9" t="n"/>
      <c r="W273" s="9" t="n"/>
      <c r="X273" s="12" t="n"/>
      <c r="Y273" s="12" t="n"/>
      <c r="Z273" s="12" t="n"/>
      <c r="AA273" s="12" t="n"/>
      <c r="AB273" s="12" t="n"/>
      <c r="AC273" s="12" t="n"/>
      <c r="AD273" s="12" t="n"/>
      <c r="AE273" s="12" t="n"/>
      <c r="AF273" s="12" t="n"/>
      <c r="AG273" s="13">
        <f>SUM(B273:AF273)</f>
        <v/>
      </c>
    </row>
    <row r="274" ht="15.75" customHeight="1">
      <c r="A274" s="8" t="inlineStr">
        <is>
          <t>LBH PAYMENTS BACS-602210-72430192</t>
        </is>
      </c>
      <c r="B274" s="12" t="n"/>
      <c r="C274" s="9" t="n"/>
      <c r="D274" s="9" t="n"/>
      <c r="E274" s="9" t="n"/>
      <c r="F274" s="12" t="n"/>
      <c r="G274" s="9" t="n"/>
      <c r="H274" s="9" t="n"/>
      <c r="I274" s="9" t="n"/>
      <c r="J274" s="9" t="n">
        <v>5040</v>
      </c>
      <c r="K274" s="9" t="n"/>
      <c r="L274" s="9" t="n"/>
      <c r="M274" s="9" t="n"/>
      <c r="N274" s="12" t="n"/>
      <c r="O274" s="9" t="n"/>
      <c r="P274" s="9" t="n"/>
      <c r="Q274" s="9" t="n"/>
      <c r="R274" s="9" t="n"/>
      <c r="S274" s="9" t="n"/>
      <c r="T274" s="9" t="n"/>
      <c r="U274" s="9" t="n"/>
      <c r="V274" s="9" t="n"/>
      <c r="W274" s="9" t="n"/>
      <c r="X274" s="12" t="n"/>
      <c r="Y274" s="12" t="n"/>
      <c r="Z274" s="12" t="n"/>
      <c r="AA274" s="12" t="n"/>
      <c r="AB274" s="12" t="n"/>
      <c r="AC274" s="12" t="n"/>
      <c r="AD274" s="12" t="n"/>
      <c r="AE274" s="12" t="n"/>
      <c r="AF274" s="12" t="n"/>
      <c r="AG274" s="13">
        <f>SUM(B274:AF274)</f>
        <v/>
      </c>
    </row>
    <row r="275" ht="15.75" customHeight="1">
      <c r="A275" s="8" t="inlineStr">
        <is>
          <t>NHS BIRMINGHAM &amp; S-607080-10017097</t>
        </is>
      </c>
      <c r="B275" s="12" t="n"/>
      <c r="C275" s="12" t="n"/>
      <c r="D275" s="9" t="inlineStr"/>
      <c r="E275" s="9" t="n"/>
      <c r="F275" s="9" t="n"/>
      <c r="G275" s="9" t="n"/>
      <c r="H275" s="9" t="n"/>
      <c r="I275" s="9" t="n"/>
      <c r="J275" s="9" t="n"/>
      <c r="K275" s="9" t="n"/>
      <c r="L275" s="9" t="n"/>
      <c r="M275" s="9" t="n"/>
      <c r="N275" s="12" t="n">
        <v>7121.63</v>
      </c>
      <c r="O275" s="9" t="n"/>
      <c r="P275" s="9" t="n"/>
      <c r="Q275" s="9" t="n"/>
      <c r="R275" s="9" t="n"/>
      <c r="S275" s="9" t="n"/>
      <c r="T275" s="9" t="n"/>
      <c r="U275" s="9" t="n"/>
      <c r="V275" s="9" t="n"/>
      <c r="W275" s="9" t="n"/>
      <c r="X275" s="12" t="n"/>
      <c r="Y275" s="12" t="n"/>
      <c r="Z275" s="12" t="n"/>
      <c r="AA275" s="12" t="n"/>
      <c r="AB275" s="12" t="n"/>
      <c r="AC275" s="12" t="n"/>
      <c r="AD275" s="12" t="n"/>
      <c r="AE275" s="12" t="n"/>
      <c r="AF275" s="12" t="n"/>
      <c r="AG275" s="13">
        <f>SUM(B275:AF275)</f>
        <v/>
      </c>
    </row>
    <row r="276" ht="15.75" customHeight="1">
      <c r="A276" s="8" t="inlineStr">
        <is>
          <t>NHS BLACK COUNTRY-607080-10015272</t>
        </is>
      </c>
      <c r="B276" s="12" t="n"/>
      <c r="C276" s="9" t="inlineStr"/>
      <c r="D276" s="9" t="n"/>
      <c r="E276" s="9" t="n"/>
      <c r="F276" s="9" t="n"/>
      <c r="G276" s="12" t="n"/>
      <c r="H276" s="12" t="n"/>
      <c r="I276" s="12" t="n"/>
      <c r="J276" s="9" t="n"/>
      <c r="K276" s="9" t="n"/>
      <c r="L276" s="12" t="n">
        <v>13185.64</v>
      </c>
      <c r="M276" s="12" t="n"/>
      <c r="N276" s="9" t="n"/>
      <c r="O276" s="9" t="n"/>
      <c r="P276" s="9" t="n"/>
      <c r="Q276" s="9" t="n"/>
      <c r="R276" s="9" t="n"/>
      <c r="S276" s="9" t="n"/>
      <c r="T276" s="9" t="n"/>
      <c r="U276" s="12" t="n">
        <v>8073.21</v>
      </c>
      <c r="V276" s="9" t="n"/>
      <c r="W276" s="12" t="n"/>
      <c r="X276" s="12" t="n"/>
      <c r="Y276" s="12" t="n"/>
      <c r="Z276" s="12" t="n"/>
      <c r="AA276" s="12" t="n"/>
      <c r="AB276" s="12" t="n"/>
      <c r="AC276" s="12" t="n"/>
      <c r="AD276" s="12" t="n"/>
      <c r="AE276" s="12" t="n"/>
      <c r="AF276" s="12" t="n"/>
      <c r="AG276" s="13">
        <f>SUM(B276:AF276)</f>
        <v/>
      </c>
    </row>
    <row r="277" ht="15.75" customHeight="1">
      <c r="A277" s="14" t="inlineStr">
        <is>
          <t>SANDWELL MBC  BEN-601539-69624151</t>
        </is>
      </c>
      <c r="B277" s="12" t="n"/>
      <c r="C277" s="9" t="inlineStr"/>
      <c r="D277" s="12" t="inlineStr">
        <is>
          <t>.</t>
        </is>
      </c>
      <c r="E277" s="12" t="n"/>
      <c r="F277" s="9" t="n"/>
      <c r="G277" s="9" t="n"/>
      <c r="H277" s="9" t="n"/>
      <c r="I277" s="9" t="n"/>
      <c r="J277" s="12" t="n"/>
      <c r="K277" s="12" t="n"/>
      <c r="L277" s="9" t="n"/>
      <c r="M277" s="9" t="n"/>
      <c r="N277" s="9" t="n"/>
      <c r="O277" s="9" t="n"/>
      <c r="P277" s="12" t="n"/>
      <c r="Q277" s="9" t="n"/>
      <c r="R277" s="9" t="n"/>
      <c r="S277" s="9" t="n"/>
      <c r="T277" s="12" t="n"/>
      <c r="U277" s="12" t="n">
        <v>3000</v>
      </c>
      <c r="V277" s="9" t="n"/>
      <c r="W277" s="9" t="n"/>
      <c r="X277" s="12" t="n"/>
      <c r="Y277" s="12" t="n"/>
      <c r="Z277" s="12" t="n"/>
      <c r="AA277" s="12" t="n"/>
      <c r="AB277" s="12" t="n"/>
      <c r="AC277" s="12" t="n"/>
      <c r="AD277" s="12" t="n"/>
      <c r="AE277" s="12" t="n"/>
      <c r="AF277" s="12" t="n"/>
      <c r="AG277" s="13">
        <f>SUM(B277:AF277)</f>
        <v/>
      </c>
    </row>
    <row r="278" ht="15.75" customHeight="1">
      <c r="A278" s="14" t="inlineStr">
        <is>
          <t>SANDWELL MBC-601539-69624135</t>
        </is>
      </c>
      <c r="B278" s="12" t="n"/>
      <c r="C278" s="12" t="n"/>
      <c r="D278" s="12" t="n"/>
      <c r="E278" s="12" t="n"/>
      <c r="F278" s="12" t="n"/>
      <c r="G278" s="12" t="n"/>
      <c r="H278" s="12" t="n"/>
      <c r="I278" s="12" t="n"/>
      <c r="J278" s="12" t="n"/>
      <c r="K278" s="12" t="n">
        <v>120000</v>
      </c>
      <c r="L278" s="12" t="n"/>
      <c r="M278" s="12" t="n"/>
      <c r="N278" s="12" t="n"/>
      <c r="O278" s="12" t="n"/>
      <c r="P278" s="12" t="n"/>
      <c r="Q278" s="12" t="n"/>
      <c r="R278" s="12" t="n"/>
      <c r="S278" s="12" t="n"/>
      <c r="T278" s="12" t="n"/>
      <c r="U278" s="12" t="n"/>
      <c r="V278" s="12" t="n"/>
      <c r="W278" s="12" t="n"/>
      <c r="X278" s="12" t="n"/>
      <c r="Y278" s="12" t="n">
        <v>120000</v>
      </c>
      <c r="Z278" s="12" t="n"/>
      <c r="AA278" s="12" t="n"/>
      <c r="AB278" s="12" t="n"/>
      <c r="AC278" s="12" t="n"/>
      <c r="AD278" s="12" t="n"/>
      <c r="AE278" s="12" t="n"/>
      <c r="AF278" s="12" t="n"/>
      <c r="AG278" s="13">
        <f>SUM(B278:AF278)</f>
        <v/>
      </c>
    </row>
    <row r="279" ht="15.75" customHeight="1">
      <c r="A279" s="15" t="inlineStr">
        <is>
          <t>SOLIHULL MBC EXP.-200771-00561525</t>
        </is>
      </c>
      <c r="B279" s="12" t="n"/>
      <c r="C279" s="12" t="n"/>
      <c r="D279" s="12" t="n"/>
      <c r="E279" s="12" t="n"/>
      <c r="F279" s="12" t="n"/>
      <c r="G279" s="12" t="n"/>
      <c r="H279" s="12" t="n"/>
      <c r="I279" s="12" t="n"/>
      <c r="J279" s="12" t="n"/>
      <c r="K279" s="12" t="n"/>
      <c r="L279" s="12" t="n"/>
      <c r="M279" s="12" t="n"/>
      <c r="N279" s="12" t="n"/>
      <c r="O279" s="12" t="n"/>
      <c r="P279" s="12" t="n"/>
      <c r="Q279" s="12" t="n"/>
      <c r="R279" s="12" t="n"/>
      <c r="S279" s="12" t="n"/>
      <c r="T279" s="12" t="n"/>
      <c r="U279" s="12" t="n"/>
      <c r="V279" s="12" t="n"/>
      <c r="W279" s="12" t="n"/>
      <c r="X279" s="12" t="n"/>
      <c r="Y279" s="12" t="n">
        <v>32000</v>
      </c>
      <c r="Z279" s="12" t="n"/>
      <c r="AA279" s="12" t="n"/>
      <c r="AB279" s="12" t="n"/>
      <c r="AC279" s="12" t="n"/>
      <c r="AD279" s="12" t="n"/>
      <c r="AE279" s="12" t="n"/>
      <c r="AF279" s="12" t="n"/>
      <c r="AG279" s="13">
        <f>SUM(B279:AF279)</f>
        <v/>
      </c>
    </row>
    <row r="280" ht="15.75" customHeight="1">
      <c r="A280" s="15" t="inlineStr">
        <is>
          <t>WALSALL MBC BARC-209073-10731692</t>
        </is>
      </c>
      <c r="B280" s="12" t="n"/>
      <c r="C280" s="12" t="n"/>
      <c r="D280" s="12" t="n"/>
      <c r="E280" s="12" t="n"/>
      <c r="F280" s="12" t="n"/>
      <c r="G280" s="12" t="n"/>
      <c r="H280" s="12" t="n"/>
      <c r="I280" s="12" t="n"/>
      <c r="J280" s="9" t="n">
        <v>187000</v>
      </c>
      <c r="K280" s="12" t="n"/>
      <c r="L280" s="12" t="n"/>
      <c r="M280" s="12" t="n"/>
      <c r="N280" s="12" t="n"/>
      <c r="O280" s="12" t="n"/>
      <c r="P280" s="12" t="n"/>
      <c r="Q280" s="12" t="n"/>
      <c r="R280" s="12" t="n"/>
      <c r="S280" s="12" t="n"/>
      <c r="T280" s="12" t="n"/>
      <c r="U280" s="12" t="n"/>
      <c r="V280" s="12" t="n"/>
      <c r="W280" s="12" t="n"/>
      <c r="X280" s="12" t="n"/>
      <c r="Y280" s="12" t="n"/>
      <c r="Z280" s="12" t="n"/>
      <c r="AA280" s="12" t="n"/>
      <c r="AB280" s="12" t="n"/>
      <c r="AC280" s="12" t="n"/>
      <c r="AD280" s="12" t="n"/>
      <c r="AE280" s="12" t="n"/>
      <c r="AF280" s="12" t="n"/>
      <c r="AG280" s="13">
        <f>SUM(B280:AF280)</f>
        <v/>
      </c>
    </row>
    <row r="281" ht="15.75" customHeight="1">
      <c r="A281" s="15" t="inlineStr">
        <is>
          <t>WOLVERHAMPTON CC-560069-44470320</t>
        </is>
      </c>
      <c r="B281" s="12" t="n"/>
      <c r="C281" s="12" t="n"/>
      <c r="D281" s="12" t="n"/>
      <c r="E281" s="12" t="n"/>
      <c r="F281" s="12" t="n">
        <v>112000</v>
      </c>
      <c r="G281" s="12" t="n"/>
      <c r="H281" s="12" t="n"/>
      <c r="I281" s="12" t="n"/>
      <c r="J281" s="12" t="n"/>
      <c r="K281" s="12" t="n"/>
      <c r="L281" s="12" t="n"/>
      <c r="M281" s="12" t="n">
        <v>112000</v>
      </c>
      <c r="N281" s="12" t="n"/>
      <c r="O281" s="12" t="n"/>
      <c r="P281" s="12" t="n"/>
      <c r="Q281" s="12" t="n"/>
      <c r="R281" s="12" t="n"/>
      <c r="S281" s="12" t="n"/>
      <c r="T281" s="12" t="n">
        <v>112000</v>
      </c>
      <c r="U281" s="12" t="n"/>
      <c r="V281" s="12" t="n"/>
      <c r="W281" s="12" t="n"/>
      <c r="X281" s="12" t="n"/>
      <c r="Y281" s="12" t="n"/>
      <c r="Z281" s="12" t="n"/>
      <c r="AA281" s="12" t="n">
        <v>112000</v>
      </c>
      <c r="AB281" s="12" t="n"/>
      <c r="AC281" s="12" t="n"/>
      <c r="AD281" s="12" t="n"/>
      <c r="AE281" s="12" t="n"/>
      <c r="AF281" s="12" t="n"/>
      <c r="AG281" s="13">
        <f>SUM(B281:AF281)</f>
        <v/>
      </c>
    </row>
    <row r="282" ht="15.75" customHeight="1">
      <c r="A282" s="15" t="inlineStr">
        <is>
          <t>Portsmouth</t>
        </is>
      </c>
      <c r="B282" s="12" t="n"/>
      <c r="C282" s="12" t="n"/>
      <c r="D282" s="12" t="n"/>
      <c r="E282" s="12" t="n"/>
      <c r="F282" s="12" t="n"/>
      <c r="G282" s="12" t="n"/>
      <c r="H282" s="12" t="n"/>
      <c r="I282" s="12" t="n"/>
      <c r="J282" s="12" t="n"/>
      <c r="K282" s="9" t="n">
        <v>5247.86</v>
      </c>
      <c r="L282" s="12" t="n"/>
      <c r="M282" s="12" t="n"/>
      <c r="N282" s="12" t="n"/>
      <c r="O282" s="12" t="n"/>
      <c r="P282" s="12" t="n"/>
      <c r="Q282" s="12" t="n"/>
      <c r="R282" s="12" t="n"/>
      <c r="S282" s="12" t="n"/>
      <c r="T282" s="12" t="n"/>
      <c r="U282" s="12" t="n"/>
      <c r="V282" s="12" t="n"/>
      <c r="W282" s="12" t="n"/>
      <c r="X282" s="12" t="n"/>
      <c r="Y282" s="12" t="n"/>
      <c r="Z282" s="12" t="n"/>
      <c r="AA282" s="12" t="n"/>
      <c r="AB282" s="12" t="n"/>
      <c r="AC282" s="12" t="n"/>
      <c r="AD282" s="12" t="n"/>
      <c r="AE282" s="12" t="n"/>
      <c r="AF282" s="12" t="n"/>
      <c r="AG282" s="13">
        <f>SUM(B282:AF282)</f>
        <v/>
      </c>
    </row>
    <row r="283" ht="15.75" customHeight="1">
      <c r="A283" s="15" t="inlineStr">
        <is>
          <t>HB SC</t>
        </is>
      </c>
      <c r="B283" s="10" t="n">
        <v>3800</v>
      </c>
      <c r="C283" s="10" t="n">
        <v>3800</v>
      </c>
      <c r="D283" s="10" t="n">
        <v>3800</v>
      </c>
      <c r="E283" s="10" t="n">
        <v>3800</v>
      </c>
      <c r="F283" s="10" t="n">
        <v>3800</v>
      </c>
      <c r="G283" s="10" t="n">
        <v>3800</v>
      </c>
      <c r="H283" s="10" t="n">
        <v>3800</v>
      </c>
      <c r="I283" s="10" t="n">
        <v>3800</v>
      </c>
      <c r="J283" s="10" t="n">
        <v>3800</v>
      </c>
      <c r="K283" s="10" t="n">
        <v>3800</v>
      </c>
      <c r="L283" s="10" t="n">
        <v>3800</v>
      </c>
      <c r="M283" s="10" t="n">
        <v>3800</v>
      </c>
      <c r="N283" s="10" t="n">
        <v>3800</v>
      </c>
      <c r="O283" s="10" t="n">
        <v>3800</v>
      </c>
      <c r="P283" s="10" t="n">
        <v>3800</v>
      </c>
      <c r="Q283" s="10" t="n">
        <v>3800</v>
      </c>
      <c r="R283" s="10" t="n">
        <v>3800</v>
      </c>
      <c r="S283" s="10" t="n">
        <v>3800</v>
      </c>
      <c r="T283" s="10" t="n">
        <v>3800</v>
      </c>
      <c r="U283" s="10" t="n">
        <v>3800</v>
      </c>
      <c r="V283" s="10" t="n">
        <v>3800</v>
      </c>
      <c r="W283" s="10" t="n">
        <v>3800</v>
      </c>
      <c r="X283" s="10" t="n">
        <v>3800</v>
      </c>
      <c r="Y283" s="10" t="n">
        <v>3800</v>
      </c>
      <c r="Z283" s="10" t="n">
        <v>3800</v>
      </c>
      <c r="AA283" s="10" t="n">
        <v>3800</v>
      </c>
      <c r="AB283" s="10" t="n">
        <v>3800</v>
      </c>
      <c r="AC283" s="10" t="n">
        <v>3800</v>
      </c>
      <c r="AD283" s="10" t="n">
        <v>3800</v>
      </c>
      <c r="AE283" s="10" t="n">
        <v>3800</v>
      </c>
      <c r="AF283" s="10" t="n"/>
      <c r="AG283" s="13">
        <f>SUM(B283:AF283)</f>
        <v/>
      </c>
    </row>
    <row r="284" ht="16.5" customHeight="1" thickBot="1">
      <c r="A284" s="15" t="inlineStr">
        <is>
          <t>Total</t>
        </is>
      </c>
      <c r="B284">
        <f>SUM(B267:B283)</f>
        <v/>
      </c>
      <c r="C284">
        <f>SUM(C267:C283)</f>
        <v/>
      </c>
      <c r="D284">
        <f>SUM(D267:D283)</f>
        <v/>
      </c>
      <c r="E284">
        <f>SUM(E267:E283)</f>
        <v/>
      </c>
      <c r="F284">
        <f>SUM(F267:F283)</f>
        <v/>
      </c>
      <c r="G284">
        <f>SUM(G267:G283)</f>
        <v/>
      </c>
      <c r="H284">
        <f>SUM(H267:H283)</f>
        <v/>
      </c>
      <c r="I284">
        <f>SUM(I267:I283)</f>
        <v/>
      </c>
      <c r="J284">
        <f>SUM(J267:J283)</f>
        <v/>
      </c>
      <c r="K284">
        <f>SUM(K267:K283)</f>
        <v/>
      </c>
      <c r="L284">
        <f>SUM(L267:L283)</f>
        <v/>
      </c>
      <c r="M284">
        <f>SUM(M267:M283)</f>
        <v/>
      </c>
      <c r="N284">
        <f>SUM(N267:N283)</f>
        <v/>
      </c>
      <c r="O284">
        <f>SUM(O267:O283)</f>
        <v/>
      </c>
      <c r="P284">
        <f>SUM(P267:P283)</f>
        <v/>
      </c>
      <c r="Q284">
        <f>SUM(Q267:Q283)</f>
        <v/>
      </c>
      <c r="R284">
        <f>SUM(R267:R283)</f>
        <v/>
      </c>
      <c r="S284">
        <f>SUM(S267:S283)</f>
        <v/>
      </c>
      <c r="T284">
        <f>SUM(T267:T283)</f>
        <v/>
      </c>
      <c r="U284">
        <f>SUM(U267:U283)</f>
        <v/>
      </c>
      <c r="V284">
        <f>SUM(V267:V283)</f>
        <v/>
      </c>
      <c r="W284">
        <f>SUM(W267:W283)</f>
        <v/>
      </c>
      <c r="X284">
        <f>SUM(X267:X283)</f>
        <v/>
      </c>
      <c r="Y284">
        <f>SUM(Y267:Y283)</f>
        <v/>
      </c>
      <c r="Z284">
        <f>SUM(Z267:Z283)</f>
        <v/>
      </c>
      <c r="AA284">
        <f>SUM(AA267:AA283)</f>
        <v/>
      </c>
      <c r="AB284">
        <f>SUM(AB267:AB283)</f>
        <v/>
      </c>
      <c r="AC284">
        <f>SUM(AC267:AC283)</f>
        <v/>
      </c>
      <c r="AD284">
        <f>SUM(AD267:AD283)</f>
        <v/>
      </c>
      <c r="AE284">
        <f>SUM(AE267:AE283)</f>
        <v/>
      </c>
      <c r="AG284" s="252">
        <f>SUM(AG267:AG283)</f>
        <v/>
      </c>
    </row>
    <row r="285" ht="15.75" customHeight="1" thickTop="1">
      <c r="A285" s="15" t="inlineStr">
        <is>
          <t>Ruunning Total</t>
        </is>
      </c>
      <c r="B285">
        <f>B284</f>
        <v/>
      </c>
      <c r="C285">
        <f>B285+C284</f>
        <v/>
      </c>
      <c r="D285">
        <f>C285+D284</f>
        <v/>
      </c>
      <c r="E285">
        <f>D285+E284</f>
        <v/>
      </c>
      <c r="F285">
        <f>E285+F284</f>
        <v/>
      </c>
      <c r="G285">
        <f>F285+G284</f>
        <v/>
      </c>
      <c r="H285">
        <f>G285+H284</f>
        <v/>
      </c>
      <c r="I285">
        <f>H285+I284</f>
        <v/>
      </c>
      <c r="J285">
        <f>I285+J284</f>
        <v/>
      </c>
      <c r="K285">
        <f>J285+K284</f>
        <v/>
      </c>
      <c r="L285">
        <f>K285+L284</f>
        <v/>
      </c>
      <c r="M285">
        <f>L285+M284</f>
        <v/>
      </c>
      <c r="N285">
        <f>M285+N284</f>
        <v/>
      </c>
      <c r="O285">
        <f>N285+O284</f>
        <v/>
      </c>
      <c r="P285">
        <f>O285+P284</f>
        <v/>
      </c>
      <c r="Q285">
        <f>P285+Q284</f>
        <v/>
      </c>
      <c r="R285">
        <f>Q285+R284</f>
        <v/>
      </c>
      <c r="S285">
        <f>R285+S284</f>
        <v/>
      </c>
      <c r="T285">
        <f>S285+T284</f>
        <v/>
      </c>
      <c r="U285">
        <f>T285+U284</f>
        <v/>
      </c>
      <c r="V285">
        <f>U285+V284</f>
        <v/>
      </c>
      <c r="W285">
        <f>V285+W284</f>
        <v/>
      </c>
      <c r="X285">
        <f>W285+X284</f>
        <v/>
      </c>
      <c r="Y285">
        <f>X285+Y284</f>
        <v/>
      </c>
      <c r="Z285">
        <f>Y285+Z284</f>
        <v/>
      </c>
      <c r="AA285">
        <f>Z285+AA284</f>
        <v/>
      </c>
      <c r="AB285">
        <f>AA285+AB284</f>
        <v/>
      </c>
      <c r="AC285">
        <f>AB285+AC284</f>
        <v/>
      </c>
      <c r="AD285">
        <f>AC285+AD284</f>
        <v/>
      </c>
      <c r="AE285">
        <f>AD285+AE284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H68"/>
  <sheetViews>
    <sheetView topLeftCell="A18" zoomScale="83" zoomScaleNormal="70" workbookViewId="0">
      <pane xSplit="1" topLeftCell="B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0.7109375" bestFit="1" customWidth="1" min="2" max="3"/>
    <col width="11.7109375" bestFit="1" customWidth="1" min="4" max="4"/>
    <col width="13" bestFit="1" customWidth="1" min="5" max="5"/>
    <col width="13.140625" bestFit="1" customWidth="1" min="6" max="6"/>
    <col width="12.5703125" bestFit="1" customWidth="1" min="7" max="12"/>
    <col width="13.140625" bestFit="1" customWidth="1" min="13" max="13"/>
    <col width="12.5703125" bestFit="1" customWidth="1" min="14" max="19"/>
    <col width="13.140625" bestFit="1" customWidth="1" min="20" max="20"/>
    <col width="12.5703125" bestFit="1" customWidth="1" min="21" max="26"/>
    <col width="13.5703125" bestFit="1" customWidth="1" min="27" max="32"/>
    <col width="14.42578125" bestFit="1" customWidth="1" min="33" max="33"/>
    <col width="12.85546875" bestFit="1" customWidth="1" min="34" max="34"/>
  </cols>
  <sheetData>
    <row r="1">
      <c r="A1" s="1" t="n"/>
      <c r="B1" s="2" t="inlineStr">
        <is>
          <t>July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Saturday</t>
        </is>
      </c>
      <c r="C2" s="2" t="inlineStr">
        <is>
          <t>Sunday</t>
        </is>
      </c>
      <c r="D2" s="2" t="inlineStr">
        <is>
          <t>Monday</t>
        </is>
      </c>
      <c r="E2" s="2" t="inlineStr">
        <is>
          <t>Tuesday</t>
        </is>
      </c>
      <c r="F2" s="2" t="inlineStr">
        <is>
          <t>Wednesday</t>
        </is>
      </c>
      <c r="G2" s="2" t="inlineStr">
        <is>
          <t>Thursday</t>
        </is>
      </c>
      <c r="H2" s="2" t="inlineStr">
        <is>
          <t>Friday</t>
        </is>
      </c>
      <c r="I2" s="2" t="inlineStr">
        <is>
          <t>Saturday</t>
        </is>
      </c>
      <c r="J2" s="2" t="inlineStr">
        <is>
          <t>Sunday</t>
        </is>
      </c>
      <c r="K2" s="2" t="inlineStr">
        <is>
          <t>Monday</t>
        </is>
      </c>
      <c r="L2" s="2" t="inlineStr">
        <is>
          <t>Tuesday</t>
        </is>
      </c>
      <c r="M2" s="2" t="inlineStr">
        <is>
          <t>Wednesday</t>
        </is>
      </c>
      <c r="N2" s="2" t="inlineStr">
        <is>
          <t>Thursday</t>
        </is>
      </c>
      <c r="O2" s="2" t="inlineStr">
        <is>
          <t>Friday</t>
        </is>
      </c>
      <c r="P2" s="2" t="inlineStr">
        <is>
          <t>Saturday</t>
        </is>
      </c>
      <c r="Q2" s="2" t="inlineStr">
        <is>
          <t>Sunday</t>
        </is>
      </c>
      <c r="R2" s="2" t="inlineStr">
        <is>
          <t>Monday</t>
        </is>
      </c>
      <c r="S2" s="2" t="inlineStr">
        <is>
          <t>Tuesday</t>
        </is>
      </c>
      <c r="T2" s="2" t="inlineStr">
        <is>
          <t>Wednesday</t>
        </is>
      </c>
      <c r="U2" s="2" t="inlineStr">
        <is>
          <t>Thursday</t>
        </is>
      </c>
      <c r="V2" s="2" t="inlineStr">
        <is>
          <t>Friday</t>
        </is>
      </c>
      <c r="W2" s="2" t="inlineStr">
        <is>
          <t>Saturday</t>
        </is>
      </c>
      <c r="X2" s="2" t="inlineStr">
        <is>
          <t>Sunday</t>
        </is>
      </c>
      <c r="Y2" s="2" t="inlineStr">
        <is>
          <t>Monday</t>
        </is>
      </c>
      <c r="Z2" s="2" t="inlineStr">
        <is>
          <t>Tuesday</t>
        </is>
      </c>
      <c r="AA2" s="2" t="inlineStr">
        <is>
          <t>Wednesday</t>
        </is>
      </c>
      <c r="AB2" s="2" t="inlineStr">
        <is>
          <t>Thursday</t>
        </is>
      </c>
      <c r="AC2" s="2" t="inlineStr">
        <is>
          <t>Friday</t>
        </is>
      </c>
      <c r="AD2" s="2" t="inlineStr">
        <is>
          <t>Saturday</t>
        </is>
      </c>
      <c r="AE2" s="2" t="inlineStr">
        <is>
          <t>Sunday</t>
        </is>
      </c>
      <c r="AF2" s="2" t="inlineStr">
        <is>
          <t>Monday</t>
        </is>
      </c>
      <c r="AG2" s="2" t="inlineStr">
        <is>
          <t>Total</t>
        </is>
      </c>
    </row>
    <row r="3">
      <c r="A3" s="1" t="n"/>
      <c r="B3" s="3" t="inlineStr">
        <is>
          <t>1st</t>
        </is>
      </c>
      <c r="C3" s="3" t="inlineStr">
        <is>
          <t>2nd</t>
        </is>
      </c>
      <c r="D3" s="4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5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6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7" t="inlineStr">
        <is>
          <t>24th</t>
        </is>
      </c>
      <c r="Z3" s="7" t="inlineStr">
        <is>
          <t>25th</t>
        </is>
      </c>
      <c r="AA3" s="7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3" t="n">
        <v>31</v>
      </c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9" t="n"/>
      <c r="E4" s="9" t="n"/>
      <c r="F4" s="9" t="n"/>
      <c r="G4" s="12" t="n"/>
      <c r="H4" s="12" t="n"/>
      <c r="I4" s="12" t="n"/>
      <c r="J4" s="12" t="n"/>
      <c r="K4" s="12" t="n"/>
      <c r="L4" s="12" t="n"/>
      <c r="M4" s="12" t="n"/>
      <c r="N4" s="10" t="n"/>
      <c r="O4" s="28" t="n">
        <v>66705.44</v>
      </c>
      <c r="P4" s="12" t="n"/>
      <c r="Q4" s="9" t="n"/>
      <c r="R4" s="12" t="n"/>
      <c r="S4" s="9" t="n"/>
      <c r="T4" s="12" t="n"/>
      <c r="U4" s="9" t="n"/>
      <c r="V4" s="12" t="n"/>
      <c r="W4" s="12" t="n"/>
      <c r="X4" s="10" t="n"/>
      <c r="Y4" s="11" t="n"/>
      <c r="Z4" s="9" t="n"/>
      <c r="AA4" s="12" t="n">
        <v>5041.28</v>
      </c>
      <c r="AB4" s="9" t="n"/>
      <c r="AC4" s="9" t="n"/>
      <c r="AD4" s="9" t="n"/>
      <c r="AE4" s="9" t="n"/>
      <c r="AF4" s="9" t="n"/>
      <c r="AG4" s="13" t="n">
        <v>71746.72</v>
      </c>
    </row>
    <row r="5" ht="18.75" customHeight="1">
      <c r="A5" s="8" t="inlineStr">
        <is>
          <t>Accord/Age uk</t>
        </is>
      </c>
      <c r="B5" s="9" t="n"/>
      <c r="C5" s="9" t="n"/>
      <c r="D5" s="9" t="n"/>
      <c r="E5" s="9" t="n"/>
      <c r="F5" s="9" t="n"/>
      <c r="G5" s="12" t="n"/>
      <c r="H5" s="12" t="n"/>
      <c r="I5" s="12" t="n"/>
      <c r="J5" s="12" t="n"/>
      <c r="K5" s="12" t="n"/>
      <c r="L5" s="12" t="n"/>
      <c r="M5" s="12" t="n"/>
      <c r="N5" s="12" t="n">
        <v>1792.31</v>
      </c>
      <c r="O5" s="9" t="n"/>
      <c r="P5" s="11" t="n"/>
      <c r="Q5" s="9" t="n"/>
      <c r="R5" s="12" t="n"/>
      <c r="S5" s="9" t="n"/>
      <c r="T5" s="12" t="n"/>
      <c r="U5" s="11" t="n"/>
      <c r="V5" s="12" t="n"/>
      <c r="W5" s="11" t="n"/>
      <c r="X5" s="9" t="n"/>
      <c r="Y5" s="9" t="n"/>
      <c r="Z5" s="9" t="n"/>
      <c r="AA5" s="12" t="n">
        <v>2003.17</v>
      </c>
      <c r="AB5" s="9" t="n"/>
      <c r="AC5" s="9" t="n"/>
      <c r="AD5" s="9" t="n"/>
      <c r="AE5" s="9" t="n"/>
      <c r="AF5" s="9" t="n"/>
      <c r="AG5" s="13" t="n">
        <v>3795.48</v>
      </c>
    </row>
    <row r="6" ht="15.75" customHeight="1">
      <c r="A6" s="8" t="inlineStr">
        <is>
          <t>Buckingham</t>
        </is>
      </c>
      <c r="B6" s="9" t="n"/>
      <c r="C6" s="9" t="n"/>
      <c r="D6" s="9" t="n"/>
      <c r="E6" s="9" t="n"/>
      <c r="F6" s="9" t="n"/>
      <c r="G6" s="9" t="n"/>
      <c r="H6" s="28" t="n">
        <v>4937.64</v>
      </c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 t="n">
        <v>4937.64</v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27" t="n">
        <v>3500</v>
      </c>
      <c r="AG7" s="13" t="n">
        <v>3500</v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3500</v>
      </c>
      <c r="AG8" s="13" t="n">
        <v>3500</v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G9" s="24" t="n">
        <v>14000</v>
      </c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/>
      <c r="AG9" s="13" t="n"/>
    </row>
    <row r="10" ht="18.75" customHeight="1">
      <c r="A10" s="8" t="inlineStr">
        <is>
          <t>Ideal for All Ltd</t>
        </is>
      </c>
      <c r="B10" s="9" t="n"/>
      <c r="C10" s="9" t="n"/>
      <c r="D10" s="9" t="n"/>
      <c r="E10" s="9" t="n"/>
      <c r="F10" s="9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" t="n">
        <v>1553.28</v>
      </c>
      <c r="P10" s="11" t="n"/>
      <c r="Q10" s="9" t="n"/>
      <c r="R10" s="12" t="n"/>
      <c r="S10" s="11" t="n"/>
      <c r="T10" s="12" t="n"/>
      <c r="U10" s="11" t="n"/>
      <c r="V10" s="28" t="n">
        <v>2631.2</v>
      </c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 t="n">
        <v>4184.48</v>
      </c>
    </row>
    <row r="11" ht="15.75" customHeight="1">
      <c r="A11" s="8" t="inlineStr">
        <is>
          <t>KIRKLEES COUNCIL-204312-63046958</t>
        </is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S11" s="12" t="n">
        <v>5375.7</v>
      </c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12" t="n"/>
      <c r="AG11" s="13" t="n">
        <v>5375.7</v>
      </c>
    </row>
    <row r="12" ht="15.75" customHeight="1">
      <c r="A12" s="8" t="inlineStr">
        <is>
          <t>LBH PAYMENTS BACS-602210-72430192</t>
        </is>
      </c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  <c r="L12" s="9" t="n"/>
      <c r="M12" s="9" t="n"/>
      <c r="N12" s="28" t="n">
        <v>5040</v>
      </c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 t="n">
        <v>5040</v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  <c r="P13" s="9" t="n"/>
      <c r="Q13" s="9" t="n"/>
      <c r="R13" s="9" t="n"/>
      <c r="S13" s="9" t="n"/>
      <c r="T13" s="9" t="n"/>
      <c r="U13" s="9" t="n"/>
      <c r="V13" s="27" t="n">
        <v>14224.01</v>
      </c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 t="n">
        <v>14224.01</v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28" t="n">
        <v>13185.64</v>
      </c>
      <c r="O14" s="9" t="n"/>
      <c r="P14" s="9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 t="n">
        <v>13185.64</v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>
        <v>3685.52</v>
      </c>
      <c r="Z15" s="9" t="n"/>
      <c r="AA15" s="9" t="n"/>
      <c r="AB15" s="9" t="n"/>
      <c r="AC15" s="9" t="n"/>
      <c r="AD15" s="9" t="n"/>
      <c r="AE15" s="9" t="n"/>
      <c r="AF15" s="9" t="n"/>
      <c r="AG15" s="13" t="n">
        <v>3685.52</v>
      </c>
    </row>
    <row r="16" ht="15.75" customHeight="1">
      <c r="A16" s="14" t="inlineStr">
        <is>
          <t>SANDWELL MBC-601539-69624135</t>
        </is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27" t="n">
        <v>110000</v>
      </c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  <c r="V16" s="9" t="n"/>
      <c r="W16" s="9" t="n"/>
      <c r="X16" s="9" t="n"/>
      <c r="Y16" s="9" t="n"/>
      <c r="Z16" s="9" t="n">
        <v>110000</v>
      </c>
      <c r="AA16" s="9" t="n"/>
      <c r="AB16" s="9" t="n"/>
      <c r="AC16" s="9" t="n"/>
      <c r="AD16" s="9" t="n"/>
      <c r="AE16" s="9" t="n"/>
      <c r="AF16" s="9" t="n"/>
      <c r="AG16" s="13" t="n">
        <v>220000</v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28" t="n">
        <v>30000.6</v>
      </c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 t="n">
        <v>30000.6</v>
      </c>
    </row>
    <row r="18" ht="15.75" customHeight="1">
      <c r="A18" s="15" t="inlineStr">
        <is>
          <t>WALSALL COUNCIL AL-209073-20503495</t>
        </is>
      </c>
      <c r="B18" s="9" t="n"/>
      <c r="C18" s="9" t="n"/>
      <c r="D18" s="9" t="n"/>
      <c r="E18" s="9" t="n"/>
      <c r="F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E18" s="9" t="n"/>
      <c r="AF18" s="12" t="n"/>
      <c r="AG18" s="13" t="n">
        <v>14000</v>
      </c>
    </row>
    <row r="19" ht="15.75" customHeight="1">
      <c r="A19" s="15" t="inlineStr">
        <is>
          <t>WALSALL MBC BARC-209073-10731692</t>
        </is>
      </c>
      <c r="B19" s="9" t="n"/>
      <c r="C19" s="9" t="n"/>
      <c r="D19" s="9" t="n"/>
      <c r="E19" s="9" t="n"/>
      <c r="F19" s="9" t="n"/>
      <c r="G19" s="24" t="n">
        <v>150000</v>
      </c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  <c r="V19" s="9" t="n"/>
      <c r="W19" s="9" t="n"/>
      <c r="X19" s="9" t="n"/>
      <c r="Y19" s="9" t="n"/>
      <c r="Z19" s="9" t="n"/>
      <c r="AA19" s="9" t="n"/>
      <c r="AB19" s="9" t="n"/>
      <c r="AC19" s="9" t="n"/>
      <c r="AD19" s="9" t="n"/>
      <c r="AE19" s="9" t="n"/>
      <c r="AF19" s="9" t="n"/>
      <c r="AG19" s="13" t="n">
        <v>150000</v>
      </c>
    </row>
    <row r="20" ht="15.75" customHeight="1">
      <c r="A20" s="15" t="inlineStr">
        <is>
          <t>WOLVERHAMPTON CC-560069-44470320</t>
        </is>
      </c>
      <c r="B20" s="9" t="n"/>
      <c r="C20" s="9" t="n"/>
      <c r="D20" s="9" t="n"/>
      <c r="E20" s="9" t="n"/>
      <c r="F20" s="9" t="n"/>
      <c r="G20" s="24" t="n">
        <v>104000</v>
      </c>
      <c r="H20" s="9" t="n"/>
      <c r="I20" s="9" t="n"/>
      <c r="J20" s="9" t="n"/>
      <c r="K20" s="9" t="n"/>
      <c r="L20" s="9" t="n"/>
      <c r="M20" s="9" t="n"/>
      <c r="N20" s="27" t="n">
        <v>104000</v>
      </c>
      <c r="O20" s="9" t="n"/>
      <c r="P20" s="9" t="n"/>
      <c r="Q20" s="9" t="n"/>
      <c r="R20" s="9" t="n"/>
      <c r="S20" s="9" t="n"/>
      <c r="T20" s="9" t="n"/>
      <c r="U20" s="27" t="n">
        <v>104000</v>
      </c>
      <c r="V20" s="9" t="n"/>
      <c r="W20" s="9" t="n"/>
      <c r="X20" s="9" t="n"/>
      <c r="Y20" s="9" t="n"/>
      <c r="Z20" s="9" t="n"/>
      <c r="AA20" s="9" t="n">
        <v>104000</v>
      </c>
      <c r="AB20" s="9" t="n"/>
      <c r="AC20" s="9" t="n"/>
      <c r="AD20" s="9" t="n"/>
      <c r="AE20" s="9" t="n"/>
      <c r="AF20" s="9" t="n"/>
      <c r="AG20" s="13" t="n">
        <v>416000</v>
      </c>
    </row>
    <row r="21" ht="15.75" customHeight="1">
      <c r="A21" s="15" t="inlineStr">
        <is>
          <t>TLC</t>
        </is>
      </c>
      <c r="B21" s="9" t="n"/>
      <c r="C21" s="9" t="n"/>
      <c r="F21" s="9" t="n"/>
      <c r="G21" s="9" t="n"/>
      <c r="H21" s="9" t="n"/>
      <c r="I21" s="9" t="n"/>
      <c r="J21" s="9" t="n"/>
      <c r="K21" s="9" t="n"/>
      <c r="L21" s="9" t="n"/>
      <c r="M21" s="28" t="n">
        <v>7440</v>
      </c>
      <c r="N21" s="9" t="n">
        <v>3235</v>
      </c>
      <c r="O21" s="12" t="n">
        <v>7320</v>
      </c>
      <c r="P21" s="12" t="n"/>
      <c r="Q21" s="9" t="n"/>
      <c r="R21" s="9" t="n"/>
      <c r="S21" s="9" t="n"/>
      <c r="T21" s="9" t="n"/>
      <c r="U21" s="9" t="n"/>
      <c r="V21" s="9" t="n"/>
      <c r="W21" s="9" t="n"/>
      <c r="X21" s="9" t="n"/>
      <c r="Y21" s="9" t="n"/>
      <c r="Z21" s="9" t="n"/>
      <c r="AA21" s="9" t="n"/>
      <c r="AB21" s="9" t="n"/>
      <c r="AC21" s="12" t="n">
        <v>7440</v>
      </c>
      <c r="AD21" s="9" t="n"/>
      <c r="AE21" s="9" t="n"/>
      <c r="AF21" s="9" t="n"/>
      <c r="AG21" s="13" t="n">
        <v>25435</v>
      </c>
    </row>
    <row r="22" ht="15.75" customHeight="1">
      <c r="A22" s="15" t="inlineStr">
        <is>
          <t>HB SC</t>
        </is>
      </c>
      <c r="B22" s="23" t="n">
        <v>2350</v>
      </c>
      <c r="C22" s="23" t="n">
        <v>2350</v>
      </c>
      <c r="D22" s="23" t="n">
        <v>2350</v>
      </c>
      <c r="E22" s="23" t="n">
        <v>2350</v>
      </c>
      <c r="F22" s="23" t="n">
        <v>2350</v>
      </c>
      <c r="G22" s="23" t="n">
        <v>2350</v>
      </c>
      <c r="H22" s="23" t="n">
        <v>2350</v>
      </c>
      <c r="I22" s="23" t="n">
        <v>2350</v>
      </c>
      <c r="J22" s="23" t="n">
        <v>2350</v>
      </c>
      <c r="K22" s="23" t="n">
        <v>2350</v>
      </c>
      <c r="L22" s="23" t="n">
        <v>2350</v>
      </c>
      <c r="M22" s="23" t="n">
        <v>2350</v>
      </c>
      <c r="N22" s="23" t="n">
        <v>2350</v>
      </c>
      <c r="O22" s="23" t="n">
        <v>2350</v>
      </c>
      <c r="P22" s="23" t="n">
        <v>2350</v>
      </c>
      <c r="Q22" s="23" t="n">
        <v>2350</v>
      </c>
      <c r="R22" s="23" t="n">
        <v>2350</v>
      </c>
      <c r="S22" s="23" t="n">
        <v>2350</v>
      </c>
      <c r="T22" s="23" t="n">
        <v>2350</v>
      </c>
      <c r="U22" s="23" t="n">
        <v>2350</v>
      </c>
      <c r="V22" s="23" t="n">
        <v>2350</v>
      </c>
      <c r="W22" s="16" t="n">
        <v>2350</v>
      </c>
      <c r="X22" s="16" t="n">
        <v>2350</v>
      </c>
      <c r="Y22" s="16" t="n">
        <v>2350</v>
      </c>
      <c r="Z22" s="16" t="n">
        <v>2350</v>
      </c>
      <c r="AA22" s="16" t="n">
        <v>2350</v>
      </c>
      <c r="AB22" s="16" t="n">
        <v>2350</v>
      </c>
      <c r="AC22" s="16" t="n">
        <v>2350</v>
      </c>
      <c r="AD22" s="16" t="n">
        <v>2350</v>
      </c>
      <c r="AE22" s="16" t="n">
        <v>2350</v>
      </c>
      <c r="AF22" s="16" t="n">
        <v>2350</v>
      </c>
      <c r="AG22" s="13" t="n">
        <v>72850</v>
      </c>
    </row>
    <row r="23">
      <c r="A23" s="15" t="inlineStr">
        <is>
          <t>Total</t>
        </is>
      </c>
      <c r="B23">
        <f>SUM(B4:B22)</f>
        <v/>
      </c>
      <c r="C23">
        <f>SUM(C4:C22)</f>
        <v/>
      </c>
      <c r="D23">
        <f>SUM(D4:D22)</f>
        <v/>
      </c>
      <c r="E23">
        <f>SUM(E4:E22)</f>
        <v/>
      </c>
      <c r="F23">
        <f>SUM(F4:F22)</f>
        <v/>
      </c>
      <c r="G23">
        <f>SUM(G4:G22)</f>
        <v/>
      </c>
      <c r="H23">
        <f>SUM(H4:H22)</f>
        <v/>
      </c>
      <c r="I23">
        <f>SUM(I4:I22)</f>
        <v/>
      </c>
      <c r="J23">
        <f>SUM(J4:J22)</f>
        <v/>
      </c>
      <c r="K23">
        <f>SUM(K4:K22)</f>
        <v/>
      </c>
      <c r="L23">
        <f>SUM(L4:L22)</f>
        <v/>
      </c>
      <c r="M23">
        <f>SUM(M4:M22)</f>
        <v/>
      </c>
      <c r="N23">
        <f>SUM(N4:N22)</f>
        <v/>
      </c>
      <c r="O23">
        <f>SUM(O4:O22)</f>
        <v/>
      </c>
      <c r="P23">
        <f>SUM(P4:P22)</f>
        <v/>
      </c>
      <c r="Q23">
        <f>SUM(Q4:Q22)</f>
        <v/>
      </c>
      <c r="R23">
        <f>SUM(R4:R22)</f>
        <v/>
      </c>
      <c r="S23">
        <f>SUM(S4:S22)</f>
        <v/>
      </c>
      <c r="T23">
        <f>SUM(T4:T22)</f>
        <v/>
      </c>
      <c r="U23">
        <f>SUM(U4:U22)</f>
        <v/>
      </c>
      <c r="V23">
        <f>SUM(V4:V22)</f>
        <v/>
      </c>
      <c r="W23">
        <f>SUM(W4:W22)</f>
        <v/>
      </c>
      <c r="X23">
        <f>SUM(X4:X22)</f>
        <v/>
      </c>
      <c r="Y23">
        <f>SUM(Y4:Y22)</f>
        <v/>
      </c>
      <c r="Z23">
        <f>SUM(Z4:Z22)</f>
        <v/>
      </c>
      <c r="AA23">
        <f>SUM(AA4:AA22)</f>
        <v/>
      </c>
      <c r="AB23">
        <f>SUM(AB4:AB22)</f>
        <v/>
      </c>
      <c r="AC23">
        <f>SUM(AC4:AC22)</f>
        <v/>
      </c>
      <c r="AD23">
        <f>SUM(AD4:AD22)</f>
        <v/>
      </c>
      <c r="AE23">
        <f>SUM(AE4:AE22)</f>
        <v/>
      </c>
      <c r="AF23">
        <f>SUM(AF4:AF22)</f>
        <v/>
      </c>
    </row>
    <row r="24">
      <c r="A24" s="15" t="inlineStr">
        <is>
          <t>Ruunning Total</t>
        </is>
      </c>
      <c r="B24">
        <f>SUM(B5:B23)</f>
        <v/>
      </c>
      <c r="C24">
        <f>B24+C23</f>
        <v/>
      </c>
      <c r="D24">
        <f>C24+D23</f>
        <v/>
      </c>
      <c r="E24">
        <f>D24+E23</f>
        <v/>
      </c>
      <c r="F24">
        <f>E24+F23</f>
        <v/>
      </c>
      <c r="G24">
        <f>F24+G23</f>
        <v/>
      </c>
      <c r="H24">
        <f>G24+H23</f>
        <v/>
      </c>
      <c r="I24">
        <f>H24+I23</f>
        <v/>
      </c>
      <c r="J24">
        <f>I24+J23</f>
        <v/>
      </c>
      <c r="K24">
        <f>J24+K23</f>
        <v/>
      </c>
      <c r="L24">
        <f>K24+L23</f>
        <v/>
      </c>
      <c r="M24">
        <f>L24+M23</f>
        <v/>
      </c>
      <c r="N24">
        <f>M24+N23</f>
        <v/>
      </c>
      <c r="O24">
        <f>N24+O23</f>
        <v/>
      </c>
      <c r="P24">
        <f>O24+P23</f>
        <v/>
      </c>
      <c r="Q24">
        <f>P24+Q23</f>
        <v/>
      </c>
      <c r="R24">
        <f>Q24+R23</f>
        <v/>
      </c>
      <c r="S24">
        <f>R24+S23</f>
        <v/>
      </c>
      <c r="T24">
        <f>S24+T23</f>
        <v/>
      </c>
      <c r="U24">
        <f>T24+U23</f>
        <v/>
      </c>
      <c r="V24">
        <f>U24+V23</f>
        <v/>
      </c>
      <c r="W24">
        <f>V24+W23</f>
        <v/>
      </c>
      <c r="X24">
        <f>W24+X23</f>
        <v/>
      </c>
      <c r="Y24">
        <f>X24+Y23</f>
        <v/>
      </c>
      <c r="Z24">
        <f>Y24+Z23</f>
        <v/>
      </c>
      <c r="AA24">
        <f>Z24+AA23</f>
        <v/>
      </c>
      <c r="AB24">
        <f>AA24+AB23</f>
        <v/>
      </c>
      <c r="AC24">
        <f>AB24+AC23</f>
        <v/>
      </c>
      <c r="AD24">
        <f>AC24+AD23</f>
        <v/>
      </c>
      <c r="AE24">
        <f>AD24+AE23</f>
        <v/>
      </c>
      <c r="AF24">
        <f>AE24+AF23</f>
        <v/>
      </c>
    </row>
    <row r="26">
      <c r="A26" s="30" t="inlineStr">
        <is>
          <t>CHASING</t>
        </is>
      </c>
    </row>
    <row r="27">
      <c r="A27" s="15" t="inlineStr">
        <is>
          <t>NHS Black country</t>
        </is>
      </c>
      <c r="B27" t="n">
        <v>16901</v>
      </c>
    </row>
    <row r="28">
      <c r="A28" s="15" t="inlineStr">
        <is>
          <t>Walsall</t>
        </is>
      </c>
      <c r="B28" t="n">
        <v>13438</v>
      </c>
    </row>
    <row r="29" ht="15.75" customHeight="1">
      <c r="A29" s="15" t="inlineStr">
        <is>
          <t>Nhs Birmingham</t>
        </is>
      </c>
      <c r="B29" s="9" t="n">
        <v>14224</v>
      </c>
    </row>
    <row r="30">
      <c r="A30" s="15" t="inlineStr">
        <is>
          <t>Sandwell</t>
        </is>
      </c>
      <c r="B30">
        <f>48298-26500</f>
        <v/>
      </c>
    </row>
    <row r="31" ht="15.75" customHeight="1" thickBot="1">
      <c r="A31" s="15" t="inlineStr">
        <is>
          <t>Total</t>
        </is>
      </c>
      <c r="B31" s="29">
        <f>SUM(B27:B30)</f>
        <v/>
      </c>
    </row>
    <row r="32" ht="15.75" customHeight="1" thickTop="1"/>
    <row r="39">
      <c r="A39" s="1" t="n"/>
      <c r="B39" s="2" t="inlineStr">
        <is>
          <t>July</t>
        </is>
      </c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2" t="n"/>
      <c r="AD39" s="2" t="n"/>
      <c r="AE39" s="1" t="n"/>
      <c r="AF39" s="1" t="n"/>
      <c r="AG39" s="1" t="n"/>
    </row>
    <row r="40">
      <c r="A40" s="1" t="n"/>
      <c r="B40" s="2" t="inlineStr">
        <is>
          <t>Saturday</t>
        </is>
      </c>
      <c r="C40" s="2" t="inlineStr">
        <is>
          <t>Sunday</t>
        </is>
      </c>
      <c r="D40" s="2" t="inlineStr">
        <is>
          <t>Monday</t>
        </is>
      </c>
      <c r="E40" s="2" t="inlineStr">
        <is>
          <t>Tuesday</t>
        </is>
      </c>
      <c r="F40" s="2" t="inlineStr">
        <is>
          <t>Wednesday</t>
        </is>
      </c>
      <c r="G40" s="2" t="inlineStr">
        <is>
          <t>Thursday</t>
        </is>
      </c>
      <c r="H40" s="2" t="inlineStr">
        <is>
          <t>Friday</t>
        </is>
      </c>
      <c r="I40" s="2" t="inlineStr">
        <is>
          <t>Saturday</t>
        </is>
      </c>
      <c r="J40" s="2" t="inlineStr">
        <is>
          <t>Sunday</t>
        </is>
      </c>
      <c r="K40" s="2" t="inlineStr">
        <is>
          <t>Monday</t>
        </is>
      </c>
      <c r="L40" s="2" t="inlineStr">
        <is>
          <t>Tuesday</t>
        </is>
      </c>
      <c r="M40" s="2" t="inlineStr">
        <is>
          <t>Wednesday</t>
        </is>
      </c>
      <c r="N40" s="2" t="inlineStr">
        <is>
          <t>Thursday</t>
        </is>
      </c>
      <c r="O40" s="2" t="inlineStr">
        <is>
          <t>Friday</t>
        </is>
      </c>
      <c r="P40" s="2" t="inlineStr">
        <is>
          <t>Saturday</t>
        </is>
      </c>
      <c r="Q40" s="2" t="inlineStr">
        <is>
          <t>Sunday</t>
        </is>
      </c>
      <c r="R40" s="2" t="inlineStr">
        <is>
          <t>Monday</t>
        </is>
      </c>
      <c r="S40" s="2" t="inlineStr">
        <is>
          <t>Tuesday</t>
        </is>
      </c>
      <c r="T40" s="2" t="inlineStr">
        <is>
          <t>Wednesday</t>
        </is>
      </c>
      <c r="U40" s="2" t="inlineStr">
        <is>
          <t>Thursday</t>
        </is>
      </c>
      <c r="V40" s="2" t="inlineStr">
        <is>
          <t>Friday</t>
        </is>
      </c>
      <c r="W40" s="2" t="inlineStr">
        <is>
          <t>Saturday</t>
        </is>
      </c>
      <c r="X40" s="2" t="inlineStr">
        <is>
          <t>Sunday</t>
        </is>
      </c>
      <c r="Y40" s="2" t="inlineStr">
        <is>
          <t>Monday</t>
        </is>
      </c>
      <c r="Z40" s="2" t="inlineStr">
        <is>
          <t>Tuesday</t>
        </is>
      </c>
      <c r="AA40" s="2" t="inlineStr">
        <is>
          <t>Wednesday</t>
        </is>
      </c>
      <c r="AB40" s="2" t="inlineStr">
        <is>
          <t>Thursday</t>
        </is>
      </c>
      <c r="AC40" s="2" t="inlineStr">
        <is>
          <t>Friday</t>
        </is>
      </c>
      <c r="AD40" s="2" t="inlineStr">
        <is>
          <t>Saturday</t>
        </is>
      </c>
      <c r="AE40" s="2" t="inlineStr">
        <is>
          <t>Sunday</t>
        </is>
      </c>
      <c r="AF40" s="2" t="inlineStr">
        <is>
          <t>Monday</t>
        </is>
      </c>
      <c r="AH40" s="2" t="inlineStr">
        <is>
          <t>Total</t>
        </is>
      </c>
    </row>
    <row r="41">
      <c r="A41" s="1" t="n"/>
      <c r="B41" s="3" t="inlineStr">
        <is>
          <t>1st</t>
        </is>
      </c>
      <c r="C41" s="3" t="inlineStr">
        <is>
          <t>2nd</t>
        </is>
      </c>
      <c r="D41" s="4" t="inlineStr">
        <is>
          <t>3rd</t>
        </is>
      </c>
      <c r="E41" s="4" t="inlineStr">
        <is>
          <t>4th</t>
        </is>
      </c>
      <c r="F41" s="4" t="inlineStr">
        <is>
          <t>5th</t>
        </is>
      </c>
      <c r="G41" s="4" t="inlineStr">
        <is>
          <t>6th</t>
        </is>
      </c>
      <c r="H41" s="4" t="inlineStr">
        <is>
          <t>7th</t>
        </is>
      </c>
      <c r="I41" s="4" t="inlineStr">
        <is>
          <t>8th</t>
        </is>
      </c>
      <c r="J41" s="4" t="inlineStr">
        <is>
          <t>9th</t>
        </is>
      </c>
      <c r="K41" s="5" t="inlineStr">
        <is>
          <t>10th</t>
        </is>
      </c>
      <c r="L41" s="5" t="inlineStr">
        <is>
          <t>11th</t>
        </is>
      </c>
      <c r="M41" s="5" t="inlineStr">
        <is>
          <t>12th</t>
        </is>
      </c>
      <c r="N41" s="5" t="inlineStr">
        <is>
          <t>13th</t>
        </is>
      </c>
      <c r="O41" s="5" t="inlineStr">
        <is>
          <t>14th</t>
        </is>
      </c>
      <c r="P41" s="5" t="inlineStr">
        <is>
          <t>15th</t>
        </is>
      </c>
      <c r="Q41" s="5" t="inlineStr">
        <is>
          <t>16th</t>
        </is>
      </c>
      <c r="R41" s="6" t="inlineStr">
        <is>
          <t>17th</t>
        </is>
      </c>
      <c r="S41" s="6" t="inlineStr">
        <is>
          <t>18th</t>
        </is>
      </c>
      <c r="T41" s="6" t="inlineStr">
        <is>
          <t>19th</t>
        </is>
      </c>
      <c r="U41" s="6" t="inlineStr">
        <is>
          <t>20th</t>
        </is>
      </c>
      <c r="V41" s="6" t="inlineStr">
        <is>
          <t>21st</t>
        </is>
      </c>
      <c r="W41" s="6" t="inlineStr">
        <is>
          <t>22nd</t>
        </is>
      </c>
      <c r="X41" s="6" t="inlineStr">
        <is>
          <t>23rd</t>
        </is>
      </c>
      <c r="Y41" s="7" t="inlineStr">
        <is>
          <t>24th</t>
        </is>
      </c>
      <c r="Z41" s="7" t="inlineStr">
        <is>
          <t>25th</t>
        </is>
      </c>
      <c r="AA41" s="7" t="inlineStr">
        <is>
          <t>26th</t>
        </is>
      </c>
      <c r="AB41" s="7" t="inlineStr">
        <is>
          <t>27th</t>
        </is>
      </c>
      <c r="AC41" s="7" t="inlineStr">
        <is>
          <t>28th</t>
        </is>
      </c>
      <c r="AD41" s="7" t="inlineStr">
        <is>
          <t>29th</t>
        </is>
      </c>
      <c r="AE41" s="7" t="inlineStr">
        <is>
          <t>30th</t>
        </is>
      </c>
      <c r="AF41" s="3" t="n">
        <v>31</v>
      </c>
      <c r="AH41" s="1" t="n"/>
    </row>
    <row r="42" ht="18.75" customHeight="1">
      <c r="A42" s="8" t="inlineStr">
        <is>
          <t>B-HAM CITY COUNCIL-200790-70489166</t>
        </is>
      </c>
      <c r="B42" s="9" t="n"/>
      <c r="C42" s="9" t="n"/>
      <c r="D42" s="9" t="n"/>
      <c r="E42" s="9" t="n"/>
      <c r="F42" s="9" t="n"/>
      <c r="H42" s="12" t="n"/>
      <c r="I42" s="12" t="n"/>
      <c r="J42" s="12" t="n"/>
      <c r="K42" s="12" t="n"/>
      <c r="L42" s="12" t="n"/>
      <c r="M42" s="12" t="n"/>
      <c r="N42" s="10" t="n"/>
      <c r="P42" s="12" t="n"/>
      <c r="Q42" s="9" t="n"/>
      <c r="R42" t="n">
        <v>64186.4</v>
      </c>
      <c r="S42" s="9" t="n"/>
      <c r="T42" s="12" t="n"/>
      <c r="U42" s="9" t="n"/>
      <c r="V42" s="12" t="n"/>
      <c r="W42" s="12" t="n"/>
      <c r="X42" s="10" t="n"/>
      <c r="Y42" s="11" t="n"/>
      <c r="AA42" t="n">
        <v>6261.64</v>
      </c>
      <c r="AB42" s="9" t="n"/>
      <c r="AC42" s="9" t="n"/>
      <c r="AD42" s="9" t="n"/>
      <c r="AE42" s="9" t="n"/>
      <c r="AF42" s="9" t="n"/>
      <c r="AH42" s="13">
        <f>SUM(B42:AF42)</f>
        <v/>
      </c>
    </row>
    <row r="43" ht="18.75" customHeight="1">
      <c r="A43" s="8" t="inlineStr">
        <is>
          <t>Accord/Age uk</t>
        </is>
      </c>
      <c r="B43" s="9" t="n"/>
      <c r="C43" s="9" t="n"/>
      <c r="D43" s="9" t="n"/>
      <c r="E43" s="9" t="n"/>
      <c r="F43" s="9" t="n"/>
      <c r="H43" s="12" t="n"/>
      <c r="I43" s="12" t="n"/>
      <c r="J43" s="12" t="n"/>
      <c r="K43" s="12" t="n"/>
      <c r="L43" s="12" t="n"/>
      <c r="M43" s="12" t="n"/>
      <c r="O43" s="9" t="n"/>
      <c r="P43" s="11" t="n"/>
      <c r="Q43" s="9" t="n"/>
      <c r="S43" s="9" t="n"/>
      <c r="T43" s="12" t="n"/>
      <c r="U43" s="11" t="n"/>
      <c r="V43" s="12" t="n"/>
      <c r="W43" s="11" t="n"/>
      <c r="X43" s="9" t="n"/>
      <c r="Y43" t="n">
        <v>16324.84</v>
      </c>
      <c r="Z43" s="9" t="n"/>
      <c r="AA43" s="12" t="n"/>
      <c r="AB43" s="9" t="n"/>
      <c r="AC43" s="9" t="n"/>
      <c r="AD43" s="9" t="n"/>
      <c r="AE43" s="9" t="n"/>
      <c r="AF43" s="9" t="n"/>
      <c r="AH43" s="13">
        <f>SUM(B43:AF43)</f>
        <v/>
      </c>
    </row>
    <row r="44" ht="15.75" customHeight="1">
      <c r="A44" s="8" t="inlineStr">
        <is>
          <t>Buckingham</t>
        </is>
      </c>
      <c r="B44" s="9" t="n"/>
      <c r="C44" s="9" t="n"/>
      <c r="D44" s="9" t="n"/>
      <c r="E44" s="9" t="n"/>
      <c r="F44" s="9" t="n"/>
      <c r="G44" s="9" t="n"/>
      <c r="H44" t="n">
        <v>4937.64</v>
      </c>
      <c r="I44" s="9" t="n"/>
      <c r="J44" s="9" t="n"/>
      <c r="K44" s="9" t="n"/>
      <c r="L44" s="9" t="n"/>
      <c r="M44" s="9" t="n"/>
      <c r="P44" s="9" t="n"/>
      <c r="Q44" s="9" t="n"/>
      <c r="R44" s="9" t="n"/>
      <c r="S44" s="9" t="n"/>
      <c r="T44" s="9" t="n"/>
      <c r="U44" s="9" t="n"/>
      <c r="V44" s="9" t="n"/>
      <c r="W44" s="9" t="n"/>
      <c r="X44" s="9" t="n"/>
      <c r="Y44" s="9" t="n"/>
      <c r="Z44" s="9" t="n"/>
      <c r="AA44" s="9" t="n"/>
      <c r="AB44" s="9" t="n"/>
      <c r="AC44" s="9" t="n"/>
      <c r="AD44" s="9" t="n"/>
      <c r="AE44" s="9" t="n"/>
      <c r="AF44" s="9" t="n"/>
      <c r="AH44" s="13">
        <f>SUM(B44:AF44)</f>
        <v/>
      </c>
    </row>
    <row r="45" ht="15.75" customHeight="1">
      <c r="A45" s="8" t="inlineStr">
        <is>
          <t>Sandwell respite est</t>
        </is>
      </c>
      <c r="B45" s="9" t="n"/>
      <c r="C45" s="9" t="n"/>
      <c r="D45" s="9" t="n"/>
      <c r="E45" s="9" t="n"/>
      <c r="F45" s="9" t="n"/>
      <c r="G45" s="9" t="n"/>
      <c r="H45" t="n">
        <v>14688</v>
      </c>
      <c r="I45" s="9" t="n"/>
      <c r="J45" s="9" t="n"/>
      <c r="K45" s="9" t="n"/>
      <c r="L45" s="9" t="n"/>
      <c r="M45" s="9" t="n"/>
      <c r="N45" s="9" t="n"/>
      <c r="O45" s="9" t="n"/>
      <c r="P45" s="9" t="n"/>
      <c r="Q45" s="9" t="n"/>
      <c r="R45" s="9" t="n"/>
      <c r="U45" s="9" t="n"/>
      <c r="V45" t="n">
        <v>13627.2</v>
      </c>
      <c r="W45" s="9" t="n"/>
      <c r="X45" s="9" t="n"/>
      <c r="Y45" s="9" t="n"/>
      <c r="Z45" s="9" t="n"/>
      <c r="AA45" s="9" t="n"/>
      <c r="AB45" s="9" t="n"/>
      <c r="AC45" s="9" t="n"/>
      <c r="AD45" s="9" t="n"/>
      <c r="AE45" s="9" t="n"/>
      <c r="AF45" s="9" t="n"/>
      <c r="AH45" s="13">
        <f>SUM(B45:AF45)</f>
        <v/>
      </c>
    </row>
    <row r="46" ht="15.75" customHeight="1">
      <c r="A46" s="8" t="inlineStr">
        <is>
          <t xml:space="preserve">Wolverhampton respite est </t>
        </is>
      </c>
      <c r="B46" s="9" t="n"/>
      <c r="C46" s="9" t="n"/>
      <c r="D46" s="9" t="n"/>
      <c r="E46" s="9" t="n"/>
      <c r="F46" s="9" t="n"/>
      <c r="G46" s="9" t="n"/>
      <c r="H46" s="9" t="n"/>
      <c r="I46" s="9" t="n"/>
      <c r="J46" s="9" t="n"/>
      <c r="K46" s="9" t="n"/>
      <c r="L46" s="9" t="n"/>
      <c r="M46" s="9" t="n"/>
      <c r="N46" s="9" t="n"/>
      <c r="O46" s="9" t="n"/>
      <c r="P46" s="9" t="n"/>
      <c r="Q46" s="9" t="n"/>
      <c r="R46" s="9" t="n"/>
      <c r="S46" s="9" t="n"/>
      <c r="T46" s="9" t="n"/>
      <c r="U46" s="9" t="n"/>
      <c r="V46" s="9" t="n"/>
      <c r="W46" s="9" t="n"/>
      <c r="X46" s="9" t="n"/>
      <c r="Y46" s="9" t="n"/>
      <c r="Z46" s="9" t="n"/>
      <c r="AA46" s="9" t="n"/>
      <c r="AB46" s="9" t="n"/>
      <c r="AC46" s="9" t="n"/>
      <c r="AD46" s="9" t="n"/>
      <c r="AE46" s="9" t="n"/>
      <c r="AF46" s="9" t="n"/>
      <c r="AH46" s="13">
        <f>SUM(B46:AF46)</f>
        <v/>
      </c>
    </row>
    <row r="47" ht="15.75" customHeight="1">
      <c r="A47" s="8" t="inlineStr">
        <is>
          <t>Walsall Respite</t>
        </is>
      </c>
      <c r="B47" s="9" t="n"/>
      <c r="C47" s="9" t="n"/>
      <c r="D47" s="9" t="n"/>
      <c r="E47" t="n">
        <v>15555.2</v>
      </c>
      <c r="F47" s="9" t="n"/>
      <c r="H47" s="9" t="n"/>
      <c r="I47" s="9" t="n"/>
      <c r="J47" s="9" t="n"/>
      <c r="K47" s="9" t="n"/>
      <c r="L47" s="9" t="n"/>
      <c r="M47" s="9" t="n"/>
      <c r="N47" s="9" t="n"/>
      <c r="O47" s="9" t="n"/>
      <c r="P47" s="9" t="n"/>
      <c r="Q47" s="9" t="n"/>
      <c r="R47" s="9" t="n"/>
      <c r="S47" s="9" t="n"/>
      <c r="T47" s="9" t="n"/>
      <c r="U47" s="9" t="n"/>
      <c r="V47" s="9" t="n"/>
      <c r="W47" s="9" t="n"/>
      <c r="X47" s="9" t="n"/>
      <c r="Y47" s="9" t="n"/>
      <c r="Z47" s="9" t="n"/>
      <c r="AA47" s="9" t="n"/>
      <c r="AB47" s="9" t="n"/>
      <c r="AC47" s="9" t="n"/>
      <c r="AD47" s="9" t="n"/>
      <c r="AE47" s="9" t="n"/>
      <c r="AF47" s="9" t="n"/>
      <c r="AH47" s="13">
        <f>SUM(B47:AF47)</f>
        <v/>
      </c>
    </row>
    <row r="48" ht="18.75" customHeight="1">
      <c r="A48" s="8" t="inlineStr">
        <is>
          <t>Ideal for All Ltd</t>
        </is>
      </c>
      <c r="B48" s="9" t="n"/>
      <c r="C48" s="9" t="n"/>
      <c r="D48" s="9" t="n"/>
      <c r="E48" s="9" t="n"/>
      <c r="F48" s="9" t="n"/>
      <c r="H48" s="9" t="n"/>
      <c r="I48" s="9" t="n"/>
      <c r="J48" s="9" t="n"/>
      <c r="K48" s="9" t="n"/>
      <c r="L48" s="9" t="n"/>
      <c r="M48" s="9" t="n"/>
      <c r="N48" t="n">
        <v>2108.6</v>
      </c>
      <c r="P48" s="11" t="n"/>
      <c r="Q48" s="9" t="n"/>
      <c r="R48" s="12" t="n"/>
      <c r="S48" s="11" t="n"/>
      <c r="T48" s="12" t="n"/>
      <c r="V48" t="n">
        <v>2516.8</v>
      </c>
      <c r="W48" s="9" t="n"/>
      <c r="X48" s="9" t="n"/>
      <c r="Y48" s="9" t="n"/>
      <c r="Z48" s="9" t="n"/>
      <c r="AA48" s="9" t="n"/>
      <c r="AB48" s="9" t="n"/>
      <c r="AC48" s="9" t="n"/>
      <c r="AD48" s="9" t="n"/>
      <c r="AE48" s="9" t="n"/>
      <c r="AF48" s="9" t="n"/>
      <c r="AH48" s="13">
        <f>SUM(B48:AF48)</f>
        <v/>
      </c>
    </row>
    <row r="49" ht="15.75" customHeight="1">
      <c r="A49" s="8" t="inlineStr">
        <is>
          <t>KIRKLEES COUNCIL-204312-63046958</t>
        </is>
      </c>
      <c r="B49" s="9" t="n"/>
      <c r="C49" s="9" t="n"/>
      <c r="D49" s="9" t="n"/>
      <c r="E49" s="9" t="n"/>
      <c r="F49" s="9" t="n"/>
      <c r="H49" s="9" t="n"/>
      <c r="I49" s="9" t="n"/>
      <c r="J49" s="9" t="n"/>
      <c r="K49" s="9" t="n"/>
      <c r="L49" s="9" t="n"/>
      <c r="M49" s="9" t="n"/>
      <c r="N49" s="9" t="n"/>
      <c r="O49" s="9" t="n"/>
      <c r="P49" s="9" t="n"/>
      <c r="Q49" s="9" t="n"/>
      <c r="R49" s="9" t="n"/>
      <c r="T49" s="9" t="n"/>
      <c r="U49" s="9" t="n"/>
      <c r="W49" s="9" t="n"/>
      <c r="X49" s="9" t="n"/>
      <c r="Y49" s="9" t="n"/>
      <c r="AA49" t="n">
        <v>5554.89</v>
      </c>
      <c r="AB49" s="9" t="n"/>
      <c r="AC49" s="9" t="n"/>
      <c r="AD49" s="9" t="n"/>
      <c r="AE49" s="9" t="n"/>
      <c r="AF49" s="12" t="n"/>
      <c r="AH49" s="13">
        <f>SUM(B49:AF49)</f>
        <v/>
      </c>
    </row>
    <row r="50" ht="15.75" customHeight="1">
      <c r="A50" s="8" t="inlineStr">
        <is>
          <t>LBH PAYMENTS BACS-602210-72430192</t>
        </is>
      </c>
      <c r="B50" s="9" t="n"/>
      <c r="C50" s="9" t="n"/>
      <c r="D50" s="9" t="n"/>
      <c r="E50" s="9" t="n"/>
      <c r="F50" s="9" t="n"/>
      <c r="H50" s="9" t="n"/>
      <c r="I50" s="9" t="n"/>
      <c r="J50" s="9" t="n"/>
      <c r="K50" s="9" t="n"/>
      <c r="L50" s="9" t="n"/>
      <c r="M50" s="9" t="n"/>
      <c r="N50" t="n">
        <v>5040</v>
      </c>
      <c r="O50" s="9" t="n"/>
      <c r="P50" s="9" t="n"/>
      <c r="Q50" s="9" t="n"/>
      <c r="R50" s="9" t="n"/>
      <c r="S50" s="9" t="n"/>
      <c r="T50" s="9" t="n"/>
      <c r="U50" s="9" t="n"/>
      <c r="V50" s="9" t="n"/>
      <c r="W50" s="9" t="n"/>
      <c r="X50" s="9" t="n"/>
      <c r="Y50" s="9" t="n"/>
      <c r="Z50" s="9" t="n"/>
      <c r="AA50" s="9" t="n"/>
      <c r="AB50" s="9" t="n"/>
      <c r="AC50" s="9" t="n"/>
      <c r="AD50" s="9" t="n"/>
      <c r="AE50" s="9" t="n"/>
      <c r="AF50" s="9" t="n"/>
      <c r="AH50" s="13">
        <f>SUM(B50:AF50)</f>
        <v/>
      </c>
    </row>
    <row r="51" ht="15.75" customHeight="1">
      <c r="A51" s="8" t="inlineStr">
        <is>
          <t>NHS BIRMINGHAM &amp; S-607080-10017097</t>
        </is>
      </c>
      <c r="B51" s="9" t="n"/>
      <c r="C51" s="9" t="n"/>
      <c r="D51" s="9" t="n"/>
      <c r="E51" s="9" t="n"/>
      <c r="F51" s="9" t="n"/>
      <c r="H51" s="9" t="n"/>
      <c r="I51" s="9" t="n"/>
      <c r="J51" s="9" t="n"/>
      <c r="K51" s="9" t="n"/>
      <c r="L51" s="9" t="n"/>
      <c r="M51" s="9" t="n"/>
      <c r="N51" s="9" t="n"/>
      <c r="O51" t="n">
        <v>14224.01</v>
      </c>
      <c r="P51" s="9" t="n"/>
      <c r="Q51" s="9" t="n"/>
      <c r="R51" s="9" t="n"/>
      <c r="S51" s="9" t="n"/>
      <c r="T51" s="9" t="n"/>
      <c r="U51" s="9" t="n"/>
      <c r="V51" s="9" t="n"/>
      <c r="W51" s="9" t="n"/>
      <c r="X51" s="9" t="n"/>
      <c r="Y51" s="9" t="n"/>
      <c r="Z51" s="9" t="n"/>
      <c r="AA51" s="9" t="n"/>
      <c r="AB51" s="9" t="n"/>
      <c r="AC51" s="9" t="n"/>
      <c r="AD51" s="9" t="n"/>
      <c r="AE51" s="9" t="n"/>
      <c r="AF51" s="9" t="n"/>
      <c r="AH51" s="13">
        <f>SUM(B51:AF51)</f>
        <v/>
      </c>
    </row>
    <row r="52" ht="15.75" customHeight="1">
      <c r="A52" s="8" t="inlineStr">
        <is>
          <t>NHS BLACK COUNTRY-607080-10015272</t>
        </is>
      </c>
      <c r="B52" s="9" t="n"/>
      <c r="C52" s="9" t="n"/>
      <c r="D52" s="9" t="n"/>
      <c r="E52" t="n">
        <v>1413.72</v>
      </c>
      <c r="F52" s="9" t="n"/>
      <c r="H52" s="9" t="n"/>
      <c r="I52" s="9" t="n"/>
      <c r="J52" s="9" t="n"/>
      <c r="K52" s="9" t="n"/>
      <c r="L52" t="n">
        <v>13625.17</v>
      </c>
      <c r="M52" s="9" t="n"/>
      <c r="N52" s="12" t="n"/>
      <c r="O52" s="9" t="n"/>
      <c r="P52" s="9" t="n"/>
      <c r="Q52" s="9" t="n"/>
      <c r="R52" s="9" t="n"/>
      <c r="S52" s="9" t="n"/>
      <c r="T52" s="9" t="n"/>
      <c r="U52" s="9" t="n"/>
      <c r="V52" s="9" t="n"/>
      <c r="W52" s="9" t="n"/>
      <c r="X52" s="9" t="n"/>
      <c r="Y52" s="9" t="n"/>
      <c r="Z52" s="9" t="n"/>
      <c r="AA52" s="9" t="n"/>
      <c r="AB52" s="9" t="n"/>
      <c r="AC52" s="9" t="n"/>
      <c r="AD52" s="9" t="n"/>
      <c r="AE52" s="9" t="n"/>
      <c r="AF52" t="n">
        <v>8073.21</v>
      </c>
      <c r="AH52" s="13">
        <f>SUM(B52:AF52)</f>
        <v/>
      </c>
    </row>
    <row r="53" ht="15.75" customHeight="1">
      <c r="A53" s="14" t="inlineStr">
        <is>
          <t>SANDWELL MBC  BEN-601539-69624151</t>
        </is>
      </c>
      <c r="B53" s="9" t="n"/>
      <c r="C53" s="9" t="n"/>
      <c r="D53" s="9" t="n"/>
      <c r="E53" s="9" t="n"/>
      <c r="F53" s="9" t="n"/>
      <c r="H53" s="9" t="n"/>
      <c r="I53" s="9" t="n"/>
      <c r="J53" s="9" t="n"/>
      <c r="K53" s="9" t="n"/>
      <c r="L53" s="9" t="n"/>
      <c r="M53" s="9" t="n"/>
      <c r="N53" s="9" t="n"/>
      <c r="O53" s="9" t="n"/>
      <c r="P53" s="9" t="n"/>
      <c r="Q53" s="9" t="n"/>
      <c r="R53" s="9" t="n"/>
      <c r="S53" s="9" t="n"/>
      <c r="T53" s="9" t="n"/>
      <c r="U53" s="9" t="n"/>
      <c r="V53" s="9" t="n"/>
      <c r="W53" s="9" t="n"/>
      <c r="X53" s="9" t="n"/>
      <c r="Y53" t="n">
        <v>3685.52</v>
      </c>
      <c r="Z53" s="9" t="n"/>
      <c r="AA53" s="9" t="n"/>
      <c r="AB53" s="9" t="n"/>
      <c r="AC53" s="9" t="n"/>
      <c r="AD53" s="9" t="n"/>
      <c r="AE53" s="9" t="n"/>
      <c r="AF53" s="9" t="n"/>
      <c r="AH53" s="13">
        <f>SUM(B53:AF53)</f>
        <v/>
      </c>
    </row>
    <row r="54" ht="15.75" customHeight="1">
      <c r="A54" s="14" t="inlineStr">
        <is>
          <t>SANDWELL MBC-601539-69624135</t>
        </is>
      </c>
      <c r="B54" s="9" t="n"/>
      <c r="C54" s="9" t="n"/>
      <c r="D54" s="9" t="n"/>
      <c r="E54" s="9" t="n"/>
      <c r="F54" s="9" t="n"/>
      <c r="H54" s="9" t="n"/>
      <c r="I54" s="9" t="n"/>
      <c r="J54" s="9" t="n"/>
      <c r="K54" t="n">
        <v>117411.63</v>
      </c>
      <c r="L54" s="9" t="n"/>
      <c r="M54" s="9" t="n"/>
      <c r="N54" s="9" t="n"/>
      <c r="O54" s="9" t="n"/>
      <c r="P54" s="9" t="n"/>
      <c r="Q54" s="9" t="n"/>
      <c r="R54" s="9" t="n"/>
      <c r="S54" s="9" t="n"/>
      <c r="T54" s="9" t="n"/>
      <c r="U54" s="9" t="n"/>
      <c r="V54" s="9" t="n"/>
      <c r="W54" s="9" t="n"/>
      <c r="X54" s="9" t="n"/>
      <c r="Y54" t="n">
        <v>117902.44</v>
      </c>
      <c r="Z54" s="9" t="n"/>
      <c r="AA54" s="9" t="n"/>
      <c r="AB54" s="9" t="n"/>
      <c r="AC54" s="9" t="n"/>
      <c r="AD54" s="9" t="n"/>
      <c r="AE54" s="9" t="n"/>
      <c r="AF54" s="9" t="n"/>
      <c r="AH54" s="13">
        <f>SUM(B54:AF54)</f>
        <v/>
      </c>
    </row>
    <row r="55" ht="15.75" customHeight="1">
      <c r="A55" s="15" t="inlineStr">
        <is>
          <t>SOLIHULL MBC EXP.-200771-00561525</t>
        </is>
      </c>
      <c r="B55" s="9" t="n"/>
      <c r="C55" s="9" t="n"/>
      <c r="D55" s="9" t="n"/>
      <c r="E55" s="9" t="n"/>
      <c r="F55" s="9" t="n"/>
      <c r="H55" s="9" t="n"/>
      <c r="I55" s="9" t="n"/>
      <c r="J55" s="9" t="n"/>
      <c r="K55" s="9" t="n"/>
      <c r="L55" s="9" t="n"/>
      <c r="M55" s="9" t="n"/>
      <c r="N55" s="9" t="n"/>
      <c r="O55" s="9" t="n"/>
      <c r="P55" s="9" t="n"/>
      <c r="Q55" s="9" t="n"/>
      <c r="R55" s="31" t="n">
        <v>30000.6</v>
      </c>
      <c r="S55" s="9" t="n"/>
      <c r="T55" s="9" t="n"/>
      <c r="U55" s="9" t="n"/>
      <c r="V55" s="9" t="n"/>
      <c r="W55" s="9" t="n"/>
      <c r="X55" s="9" t="n"/>
      <c r="Y55" s="9" t="n"/>
      <c r="Z55" s="9" t="n"/>
      <c r="AA55" s="9" t="n"/>
      <c r="AB55" s="9" t="n"/>
      <c r="AC55" s="9" t="n"/>
      <c r="AD55" s="9" t="n"/>
      <c r="AE55" s="9" t="n"/>
      <c r="AF55" s="9" t="n"/>
      <c r="AH55" s="13">
        <f>SUM(B55:AF55)</f>
        <v/>
      </c>
    </row>
    <row r="56" ht="15.75" customHeight="1">
      <c r="A56" s="15" t="inlineStr">
        <is>
          <t>WALSALL COUNCIL AL-209073-20503495</t>
        </is>
      </c>
      <c r="B56" s="9" t="n"/>
      <c r="C56" s="9" t="n"/>
      <c r="D56" s="9" t="n"/>
      <c r="E56" s="9" t="n"/>
      <c r="F56" s="9" t="n"/>
      <c r="H56" s="9" t="n"/>
      <c r="I56" s="9" t="n"/>
      <c r="J56" s="9" t="n"/>
      <c r="K56" s="9" t="n"/>
      <c r="L56" s="9" t="n"/>
      <c r="M56" s="9" t="n"/>
      <c r="N56" s="9" t="n"/>
      <c r="O56" s="9" t="n"/>
      <c r="P56" s="9" t="n"/>
      <c r="Q56" s="9" t="n"/>
      <c r="R56" s="9" t="n"/>
      <c r="S56" s="9" t="n"/>
      <c r="T56" s="9" t="n"/>
      <c r="U56" s="9" t="n"/>
      <c r="V56" s="9" t="n"/>
      <c r="W56" s="9" t="n"/>
      <c r="X56" s="9" t="n"/>
      <c r="Y56" s="9" t="n"/>
      <c r="Z56" s="9" t="n"/>
      <c r="AA56" s="9" t="n"/>
      <c r="AB56" s="9" t="n"/>
      <c r="AC56" s="9" t="n"/>
      <c r="AD56" s="9" t="n"/>
      <c r="AE56" s="9" t="n"/>
      <c r="AF56" s="12" t="n"/>
      <c r="AH56" s="13">
        <f>SUM(B56:AF56)</f>
        <v/>
      </c>
    </row>
    <row r="57" ht="15.75" customHeight="1">
      <c r="A57" s="15" t="inlineStr">
        <is>
          <t>WALSALL MBC BARC-209073-10731692</t>
        </is>
      </c>
      <c r="B57" s="9" t="n"/>
      <c r="C57" s="9" t="n"/>
      <c r="D57" s="9" t="n"/>
      <c r="E57" t="n">
        <v>163536.92</v>
      </c>
      <c r="F57" s="9" t="n"/>
      <c r="H57" s="9" t="n"/>
      <c r="I57" s="9" t="n"/>
      <c r="J57" s="9" t="n"/>
      <c r="K57" s="9" t="n"/>
      <c r="L57" s="9" t="n"/>
      <c r="M57" s="9" t="n"/>
      <c r="N57" s="9" t="n"/>
      <c r="O57" t="n">
        <v>3030.53</v>
      </c>
      <c r="P57" s="9" t="n"/>
      <c r="Q57" s="9" t="n"/>
      <c r="R57" s="9" t="n"/>
      <c r="S57" s="9" t="n"/>
      <c r="T57" s="9" t="n"/>
      <c r="U57" s="9" t="n"/>
      <c r="V57" s="9" t="n"/>
      <c r="W57" s="9" t="n"/>
      <c r="X57" s="9" t="n"/>
      <c r="Y57" s="9" t="n"/>
      <c r="Z57" s="9" t="n"/>
      <c r="AA57" s="9" t="n"/>
      <c r="AB57" s="9" t="n"/>
      <c r="AC57" s="9" t="n"/>
      <c r="AD57" s="9" t="n"/>
      <c r="AE57" s="9" t="n"/>
      <c r="AF57" s="9" t="n"/>
      <c r="AH57" s="13">
        <f>SUM(B57:AF57)</f>
        <v/>
      </c>
    </row>
    <row r="58" ht="15.75" customHeight="1">
      <c r="A58" s="15" t="inlineStr">
        <is>
          <t>WOLVERHAMPTON CC-560069-44470320</t>
        </is>
      </c>
      <c r="B58" s="9" t="n"/>
      <c r="C58" s="9" t="n"/>
      <c r="D58" s="9" t="n"/>
      <c r="E58" s="9" t="n"/>
      <c r="F58" s="9" t="n"/>
      <c r="G58" s="26" t="n">
        <v>104421</v>
      </c>
      <c r="H58" s="9" t="n"/>
      <c r="I58" s="9" t="n"/>
      <c r="J58" s="9" t="n"/>
      <c r="K58" s="9" t="n"/>
      <c r="L58" s="9" t="n"/>
      <c r="M58" s="9" t="n"/>
      <c r="N58" t="n">
        <v>106339.88</v>
      </c>
      <c r="O58" s="9" t="n"/>
      <c r="P58" s="9" t="n"/>
      <c r="Q58" s="9" t="n"/>
      <c r="R58" s="9" t="n"/>
      <c r="S58" s="9" t="n"/>
      <c r="T58" s="9" t="n"/>
      <c r="U58" s="26" t="n">
        <v>103267.88</v>
      </c>
      <c r="V58" s="9" t="n"/>
      <c r="W58" s="9" t="n"/>
      <c r="X58" s="9" t="n"/>
      <c r="Y58" t="n">
        <v>12147.95</v>
      </c>
      <c r="Z58" s="9" t="n"/>
      <c r="AB58" t="n">
        <v>103970.82</v>
      </c>
      <c r="AC58" t="n">
        <v>5813.76</v>
      </c>
      <c r="AD58" s="9" t="n"/>
      <c r="AE58" s="9" t="n"/>
      <c r="AF58" s="9" t="n"/>
      <c r="AH58" s="13">
        <f>SUM(B58:AF58)</f>
        <v/>
      </c>
    </row>
    <row r="59" ht="15.75" customHeight="1">
      <c r="A59" s="15" t="inlineStr">
        <is>
          <t>TLC</t>
        </is>
      </c>
      <c r="B59" s="9" t="n"/>
      <c r="C59" s="9" t="n"/>
      <c r="F59" s="9" t="n"/>
      <c r="G59" s="9" t="n"/>
      <c r="H59" s="9" t="n"/>
      <c r="I59" s="9" t="n"/>
      <c r="J59" s="9" t="n"/>
      <c r="K59" t="n">
        <v>7975</v>
      </c>
      <c r="L59" s="9" t="n"/>
      <c r="M59" s="12" t="n"/>
      <c r="N59" t="n">
        <v>1220</v>
      </c>
      <c r="O59" s="12" t="n"/>
      <c r="P59" s="12" t="n"/>
      <c r="Q59" s="9" t="n"/>
      <c r="S59" s="9" t="n"/>
      <c r="T59" s="9" t="n"/>
      <c r="U59" t="n">
        <v>7460</v>
      </c>
      <c r="W59" s="9" t="n"/>
      <c r="X59" s="9" t="n"/>
      <c r="Y59" t="n">
        <v>1444.52</v>
      </c>
      <c r="Z59" s="9" t="n"/>
      <c r="AB59" s="26" t="n">
        <v>12077</v>
      </c>
      <c r="AC59" s="12" t="n"/>
      <c r="AD59" s="9" t="n"/>
      <c r="AE59" s="9" t="n"/>
      <c r="AF59" s="9" t="n"/>
      <c r="AH59" s="13">
        <f>SUM(B59:AF59)</f>
        <v/>
      </c>
    </row>
    <row r="60" ht="15.75" customHeight="1">
      <c r="A60" s="15" t="inlineStr">
        <is>
          <t>HB SC</t>
        </is>
      </c>
      <c r="B60" s="16" t="n">
        <v>0</v>
      </c>
      <c r="C60" s="16" t="n">
        <v>0</v>
      </c>
      <c r="D60" s="16" t="n">
        <v>4460.05</v>
      </c>
      <c r="E60" s="16">
        <f>4566.84-E52</f>
        <v/>
      </c>
      <c r="F60" s="16" t="n">
        <v>3937.58</v>
      </c>
      <c r="G60" s="16" t="n">
        <v>1241.86</v>
      </c>
      <c r="H60" s="16" t="n">
        <v>2726.43</v>
      </c>
      <c r="I60" s="16" t="n">
        <v>0</v>
      </c>
      <c r="J60" s="16" t="n">
        <v>150</v>
      </c>
      <c r="K60" s="16" t="n">
        <v>3930.88</v>
      </c>
      <c r="L60" s="16" t="n">
        <v>7572.040000000003</v>
      </c>
      <c r="M60" s="16" t="n">
        <v>2025.72</v>
      </c>
      <c r="N60" s="16" t="n">
        <v>3801.980000000002</v>
      </c>
      <c r="O60" s="16" t="n">
        <v>4960.359999999999</v>
      </c>
      <c r="P60" s="16" t="n">
        <v>645</v>
      </c>
      <c r="Q60" s="16" t="n">
        <v>0</v>
      </c>
      <c r="R60" s="16" t="n">
        <v>9485.419999999976</v>
      </c>
      <c r="S60" s="16" t="n">
        <v>1510.49</v>
      </c>
      <c r="T60" s="16" t="n">
        <v>2563.55</v>
      </c>
      <c r="U60" s="16" t="n">
        <v>459.14</v>
      </c>
      <c r="V60" s="16" t="n">
        <v>3800.38</v>
      </c>
      <c r="W60" s="16" t="n">
        <v>417.02</v>
      </c>
      <c r="X60" s="16" t="n">
        <v>150</v>
      </c>
      <c r="Y60" s="16" t="n">
        <v>6476.08</v>
      </c>
      <c r="Z60" s="16" t="n">
        <v>2306.89</v>
      </c>
      <c r="AA60" s="16" t="n">
        <v>5217.27</v>
      </c>
      <c r="AB60" s="16" t="n">
        <v>5051.38</v>
      </c>
      <c r="AC60" s="16">
        <f>40858.53</f>
        <v/>
      </c>
      <c r="AD60" s="16" t="n">
        <v>100</v>
      </c>
      <c r="AE60" s="16" t="n">
        <v>150</v>
      </c>
      <c r="AF60" s="16" t="n">
        <v>6984.56</v>
      </c>
      <c r="AH60" s="13">
        <f>SUM(B60:AF60)</f>
        <v/>
      </c>
    </row>
    <row r="61" ht="16.5" customHeight="1" thickBot="1">
      <c r="A61" s="15" t="inlineStr">
        <is>
          <t>Total</t>
        </is>
      </c>
      <c r="B61">
        <f>SUM(B42:B60)</f>
        <v/>
      </c>
      <c r="C61">
        <f>SUM(C42:C60)</f>
        <v/>
      </c>
      <c r="D61">
        <f>SUM(D42:D60)</f>
        <v/>
      </c>
      <c r="E61">
        <f>SUM(E42:E60)</f>
        <v/>
      </c>
      <c r="F61">
        <f>SUM(F42:F60)</f>
        <v/>
      </c>
      <c r="G61">
        <f>SUM(G42:G60)</f>
        <v/>
      </c>
      <c r="H61">
        <f>SUM(H42:H60)</f>
        <v/>
      </c>
      <c r="I61">
        <f>SUM(I42:I60)</f>
        <v/>
      </c>
      <c r="J61">
        <f>SUM(J42:J60)</f>
        <v/>
      </c>
      <c r="K61">
        <f>SUM(K42:K60)</f>
        <v/>
      </c>
      <c r="L61">
        <f>SUM(L42:L60)</f>
        <v/>
      </c>
      <c r="M61">
        <f>SUM(M42:M60)</f>
        <v/>
      </c>
      <c r="N61">
        <f>SUM(N42:N60)</f>
        <v/>
      </c>
      <c r="O61">
        <f>SUM(O42:O60)</f>
        <v/>
      </c>
      <c r="P61">
        <f>SUM(P42:P60)</f>
        <v/>
      </c>
      <c r="Q61">
        <f>SUM(Q42:Q60)</f>
        <v/>
      </c>
      <c r="R61">
        <f>SUM(R42:R60)</f>
        <v/>
      </c>
      <c r="S61">
        <f>SUM(S42:S60)</f>
        <v/>
      </c>
      <c r="T61">
        <f>SUM(T42:T60)</f>
        <v/>
      </c>
      <c r="U61">
        <f>SUM(U42:U60)</f>
        <v/>
      </c>
      <c r="V61">
        <f>SUM(V42:V60)</f>
        <v/>
      </c>
      <c r="W61">
        <f>SUM(W42:W60)</f>
        <v/>
      </c>
      <c r="X61">
        <f>SUM(X42:X60)</f>
        <v/>
      </c>
      <c r="Y61">
        <f>SUM(Y42:Y60)</f>
        <v/>
      </c>
      <c r="Z61">
        <f>SUM(Z42:Z60)</f>
        <v/>
      </c>
      <c r="AA61">
        <f>SUM(AA42:AA60)</f>
        <v/>
      </c>
      <c r="AB61">
        <f>SUM(AB42:AB60)</f>
        <v/>
      </c>
      <c r="AC61">
        <f>SUM(AC42:AC60)</f>
        <v/>
      </c>
      <c r="AD61">
        <f>SUM(AD42:AD60)</f>
        <v/>
      </c>
      <c r="AE61">
        <f>SUM(AE42:AE60)</f>
        <v/>
      </c>
      <c r="AF61">
        <f>SUM(AF42:AF60)</f>
        <v/>
      </c>
      <c r="AH61" s="22">
        <f>SUM(AH42:AH60)-30000</f>
        <v/>
      </c>
    </row>
    <row r="62" ht="15.75" customHeight="1" thickTop="1">
      <c r="A62" s="15" t="inlineStr">
        <is>
          <t>Ruunning Total</t>
        </is>
      </c>
      <c r="B62">
        <f>B61</f>
        <v/>
      </c>
      <c r="C62">
        <f>B62+C61</f>
        <v/>
      </c>
      <c r="D62">
        <f>C62+D61</f>
        <v/>
      </c>
      <c r="E62">
        <f>D62+E61</f>
        <v/>
      </c>
      <c r="F62">
        <f>E62+F61</f>
        <v/>
      </c>
      <c r="G62">
        <f>F62+G61</f>
        <v/>
      </c>
      <c r="H62">
        <f>G62+H61</f>
        <v/>
      </c>
      <c r="I62">
        <f>H62+I61</f>
        <v/>
      </c>
      <c r="J62">
        <f>I62+J61</f>
        <v/>
      </c>
      <c r="K62">
        <f>J62+K61</f>
        <v/>
      </c>
      <c r="L62">
        <f>K62+L61</f>
        <v/>
      </c>
      <c r="M62">
        <f>L62+M61</f>
        <v/>
      </c>
      <c r="N62">
        <f>M62+N61</f>
        <v/>
      </c>
      <c r="O62">
        <f>N62+O61</f>
        <v/>
      </c>
      <c r="P62">
        <f>O62+P61</f>
        <v/>
      </c>
      <c r="Q62">
        <f>P62+Q61</f>
        <v/>
      </c>
      <c r="R62">
        <f>Q62+R61</f>
        <v/>
      </c>
      <c r="S62">
        <f>R62+S61</f>
        <v/>
      </c>
      <c r="T62">
        <f>S62+T61</f>
        <v/>
      </c>
      <c r="U62">
        <f>T62+U61</f>
        <v/>
      </c>
      <c r="V62">
        <f>U62+V61</f>
        <v/>
      </c>
      <c r="W62">
        <f>V62+W61</f>
        <v/>
      </c>
      <c r="X62">
        <f>W62+X61</f>
        <v/>
      </c>
      <c r="Y62">
        <f>X62+Y61</f>
        <v/>
      </c>
      <c r="Z62">
        <f>Y62+Z61</f>
        <v/>
      </c>
      <c r="AA62">
        <f>Z62+AA61</f>
        <v/>
      </c>
      <c r="AB62">
        <f>AA62+AB61</f>
        <v/>
      </c>
      <c r="AC62">
        <f>AB62+AC61</f>
        <v/>
      </c>
      <c r="AD62">
        <f>AC62+AD61</f>
        <v/>
      </c>
      <c r="AE62">
        <f>AD62+AE61</f>
        <v/>
      </c>
      <c r="AF62">
        <f>AE62+AF61</f>
        <v/>
      </c>
    </row>
    <row r="63" ht="15.75" customHeight="1">
      <c r="A63" s="8" t="inlineStr">
        <is>
          <t>Above or Bellow forecast Total</t>
        </is>
      </c>
      <c r="B63" s="17">
        <f>B62-B24</f>
        <v/>
      </c>
      <c r="C63" s="17">
        <f>C62-C24</f>
        <v/>
      </c>
      <c r="D63" s="17">
        <f>D62-D24</f>
        <v/>
      </c>
      <c r="E63" s="17">
        <f>E62-E24</f>
        <v/>
      </c>
      <c r="F63" s="17">
        <f>F62-F24</f>
        <v/>
      </c>
      <c r="G63" s="17">
        <f>G62-G24</f>
        <v/>
      </c>
      <c r="H63" s="17">
        <f>H62-H24</f>
        <v/>
      </c>
      <c r="I63" s="17">
        <f>I62-I24</f>
        <v/>
      </c>
      <c r="J63" s="17">
        <f>J62-J24</f>
        <v/>
      </c>
      <c r="K63" s="17">
        <f>K62-K24</f>
        <v/>
      </c>
      <c r="L63" s="17">
        <f>L62-L24</f>
        <v/>
      </c>
      <c r="M63" s="17">
        <f>M62-M24</f>
        <v/>
      </c>
      <c r="N63" s="17">
        <f>N62-N24</f>
        <v/>
      </c>
      <c r="O63" s="17" t="n">
        <v>343718.05</v>
      </c>
      <c r="P63" s="17" t="n">
        <v>343718.05</v>
      </c>
      <c r="Q63" s="17" t="n">
        <v>343718.05</v>
      </c>
      <c r="R63" s="17" t="n">
        <v>343718.05</v>
      </c>
      <c r="S63" s="17" t="n">
        <v>343718.05</v>
      </c>
      <c r="T63" s="17" t="n">
        <v>343718.05</v>
      </c>
      <c r="U63" s="17" t="n">
        <v>343718.05</v>
      </c>
      <c r="V63" s="17" t="n">
        <v>343718.05</v>
      </c>
      <c r="W63" s="17" t="n">
        <v>343718.05</v>
      </c>
      <c r="X63" s="17" t="n">
        <v>343718.05</v>
      </c>
      <c r="Y63" s="17" t="n">
        <v>343718.05</v>
      </c>
      <c r="Z63" s="17" t="n">
        <v>343718.05</v>
      </c>
      <c r="AA63" s="17" t="n">
        <v>343718.05</v>
      </c>
      <c r="AB63" s="17" t="n">
        <v>343718.05</v>
      </c>
      <c r="AC63" s="17" t="n">
        <v>343718.05</v>
      </c>
      <c r="AD63" s="17" t="n">
        <v>343718.05</v>
      </c>
      <c r="AE63" s="17" t="n">
        <v>343718.05</v>
      </c>
      <c r="AF63" s="17" t="n">
        <v>343718.05</v>
      </c>
    </row>
    <row r="64" ht="18.75" customHeight="1">
      <c r="A64" s="8" t="inlineStr">
        <is>
          <t>Money out</t>
        </is>
      </c>
      <c r="B64" s="18" t="n">
        <v>0</v>
      </c>
      <c r="C64" s="18" t="n">
        <v>0</v>
      </c>
      <c r="D64" s="18" t="n">
        <v>-65334.59</v>
      </c>
      <c r="E64" s="18" t="n">
        <v>-194024.89</v>
      </c>
      <c r="F64" s="18" t="n">
        <v>-600.05</v>
      </c>
      <c r="G64" s="18" t="n">
        <v>-95072.52</v>
      </c>
      <c r="H64" s="18" t="n">
        <v>-8054.28</v>
      </c>
      <c r="I64" s="18" t="n">
        <v>0</v>
      </c>
      <c r="J64" s="18" t="n">
        <v>0</v>
      </c>
      <c r="K64" s="18" t="n">
        <v>-659.0500000000001</v>
      </c>
      <c r="L64" s="18" t="n">
        <v>-40758.15000000001</v>
      </c>
      <c r="M64" s="18" t="n">
        <v>-8713.769999999999</v>
      </c>
      <c r="N64" s="18" t="n">
        <v>-3931.01</v>
      </c>
      <c r="O64" s="18" t="n">
        <v>-1901.13</v>
      </c>
      <c r="P64" s="18" t="n">
        <v>0</v>
      </c>
      <c r="Q64" s="18" t="n">
        <v>0</v>
      </c>
      <c r="R64" s="18" t="n">
        <v>-26651.35</v>
      </c>
      <c r="S64" s="18" t="n">
        <v>-18453.57</v>
      </c>
      <c r="T64" s="18" t="n">
        <v>-176.84</v>
      </c>
      <c r="U64" s="18" t="n">
        <v>-3761.9</v>
      </c>
      <c r="V64" s="19" t="n">
        <v>-9479.210000000001</v>
      </c>
      <c r="W64" s="13" t="n">
        <v>0</v>
      </c>
      <c r="X64" s="18" t="n">
        <v>0</v>
      </c>
      <c r="Y64" s="18" t="n">
        <v>-21951.97</v>
      </c>
      <c r="Z64" s="18" t="n">
        <v>-11226.88</v>
      </c>
      <c r="AA64" s="18" t="n">
        <v>-59067.8</v>
      </c>
      <c r="AB64" s="18" t="n">
        <v>-884.96</v>
      </c>
      <c r="AC64" s="18" t="n">
        <v>-8933.959999999999</v>
      </c>
      <c r="AD64" s="18" t="n">
        <v>0</v>
      </c>
      <c r="AE64" s="13" t="n">
        <v>0</v>
      </c>
      <c r="AF64" s="13" t="n">
        <v>-782579.0899999999</v>
      </c>
      <c r="AG64" s="25" t="n"/>
      <c r="AH64" s="25">
        <f>SUM(B64:AF64)</f>
        <v/>
      </c>
    </row>
    <row r="65" ht="15.75" customHeight="1" thickBot="1">
      <c r="A65" s="20" t="inlineStr">
        <is>
          <t>Balance in Bank at the end of the day</t>
        </is>
      </c>
      <c r="B65" s="21" t="n">
        <v>151181.3</v>
      </c>
      <c r="C65" s="21">
        <f>B65+C61+C64</f>
        <v/>
      </c>
      <c r="D65" s="21">
        <f>C65+D61+D64</f>
        <v/>
      </c>
      <c r="E65" s="21">
        <f>D65+E61+E64</f>
        <v/>
      </c>
      <c r="F65" s="21">
        <f>E65+F61+F64</f>
        <v/>
      </c>
      <c r="G65" s="21">
        <f>F65+G61+G64</f>
        <v/>
      </c>
      <c r="H65" s="21">
        <f>G65+H61+H64</f>
        <v/>
      </c>
      <c r="I65" s="21">
        <f>H65+I61+I64</f>
        <v/>
      </c>
      <c r="J65" s="21">
        <f>I65+J61+J64</f>
        <v/>
      </c>
      <c r="K65" s="21">
        <f>J65+K61+K64</f>
        <v/>
      </c>
      <c r="L65" s="21">
        <f>K65+L61+L64</f>
        <v/>
      </c>
      <c r="M65" s="21">
        <f>L65+M61+M64</f>
        <v/>
      </c>
      <c r="N65" s="21">
        <f>M65+N61+N64</f>
        <v/>
      </c>
      <c r="O65" s="21">
        <f>N65+O61+O64</f>
        <v/>
      </c>
      <c r="P65" s="21">
        <f>O65+P61+P64</f>
        <v/>
      </c>
      <c r="Q65" s="21">
        <f>P65+Q61+Q64</f>
        <v/>
      </c>
      <c r="R65" s="21">
        <f>Q65+R61+R64</f>
        <v/>
      </c>
      <c r="S65" s="21">
        <f>R65+S61+S64</f>
        <v/>
      </c>
      <c r="T65" s="21">
        <f>S65+T61+T64</f>
        <v/>
      </c>
      <c r="U65" s="21">
        <f>T65+U61+U64</f>
        <v/>
      </c>
      <c r="V65" s="21">
        <f>U65+V61+V64</f>
        <v/>
      </c>
      <c r="W65" s="21">
        <f>V65+W61+W64</f>
        <v/>
      </c>
      <c r="X65" s="21">
        <f>W65+X61+X64</f>
        <v/>
      </c>
      <c r="Y65" s="21">
        <f>X65+Y61+Y64</f>
        <v/>
      </c>
      <c r="Z65" s="21">
        <f>Y65+Z61+Z64</f>
        <v/>
      </c>
      <c r="AA65" s="21">
        <f>Z65+AA61+AA64</f>
        <v/>
      </c>
      <c r="AB65" s="21">
        <f>AA65+AB61+AB64</f>
        <v/>
      </c>
      <c r="AC65" s="21">
        <f>AB65+AC61+AC64</f>
        <v/>
      </c>
      <c r="AD65" s="21">
        <f>AC65+AD61+AD64</f>
        <v/>
      </c>
      <c r="AE65" s="21">
        <f>AD65+AE61+AE64</f>
        <v/>
      </c>
      <c r="AF65" s="21">
        <f>AE65+AF61+AF64</f>
        <v/>
      </c>
    </row>
    <row r="66" ht="15.75" customHeight="1" thickTop="1">
      <c r="AG66" s="25" t="n"/>
    </row>
    <row r="67">
      <c r="AG67" s="25" t="n"/>
    </row>
    <row r="68">
      <c r="F68" s="25" t="n"/>
    </row>
  </sheetData>
  <conditionalFormatting sqref="B63:AF63">
    <cfRule type="cellIs" priority="3" operator="greaterThan" dxfId="2">
      <formula>0</formula>
    </cfRule>
    <cfRule type="cellIs" priority="4" operator="lessThan" dxfId="0">
      <formula>0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H62"/>
  <sheetViews>
    <sheetView topLeftCell="A26" zoomScale="85" zoomScaleNormal="85" workbookViewId="0">
      <pane xSplit="1" topLeftCell="K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12.5703125" bestFit="1" customWidth="1" min="2" max="2"/>
    <col width="11.85546875" bestFit="1" customWidth="1" min="3" max="4"/>
    <col width="12.5703125" bestFit="1" customWidth="1" min="5" max="5"/>
    <col width="11.85546875" bestFit="1" customWidth="1" min="6" max="7"/>
    <col width="11.85546875" customWidth="1" min="8" max="8"/>
    <col width="11.85546875" bestFit="1" customWidth="1" min="9" max="16"/>
    <col width="10.140625" bestFit="1" customWidth="1" min="17" max="17"/>
    <col width="11.28515625" bestFit="1" customWidth="1" min="18" max="18"/>
    <col width="11.85546875" bestFit="1" customWidth="1" min="19" max="19"/>
    <col width="11.28515625" bestFit="1" customWidth="1" min="20" max="32"/>
    <col width="12.85546875" bestFit="1" customWidth="1" min="33" max="33"/>
    <col width="12.5703125" bestFit="1" customWidth="1" min="34" max="34"/>
  </cols>
  <sheetData>
    <row r="1">
      <c r="A1" s="1" t="n"/>
      <c r="B1" s="2" t="inlineStr">
        <is>
          <t>Aug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Tuesday</t>
        </is>
      </c>
      <c r="C2" s="2" t="inlineStr">
        <is>
          <t>Wednesday</t>
        </is>
      </c>
      <c r="D2" s="2" t="inlineStr">
        <is>
          <t>Thursday</t>
        </is>
      </c>
      <c r="E2" s="2" t="inlineStr">
        <is>
          <t>Friday</t>
        </is>
      </c>
      <c r="F2" s="2" t="inlineStr">
        <is>
          <t>Saturday</t>
        </is>
      </c>
      <c r="G2" s="2" t="inlineStr">
        <is>
          <t>Sunday</t>
        </is>
      </c>
      <c r="H2" s="2" t="inlineStr">
        <is>
          <t>Monday</t>
        </is>
      </c>
      <c r="I2" s="2" t="inlineStr">
        <is>
          <t>Tuesday</t>
        </is>
      </c>
      <c r="J2" s="2" t="inlineStr">
        <is>
          <t>Wednesday</t>
        </is>
      </c>
      <c r="K2" s="2" t="inlineStr">
        <is>
          <t>Thursday</t>
        </is>
      </c>
      <c r="L2" s="2" t="inlineStr">
        <is>
          <t>Friday</t>
        </is>
      </c>
      <c r="M2" s="2" t="inlineStr">
        <is>
          <t>Saturday</t>
        </is>
      </c>
      <c r="N2" s="2" t="inlineStr">
        <is>
          <t>Sunday</t>
        </is>
      </c>
      <c r="O2" s="2" t="inlineStr">
        <is>
          <t>Monday</t>
        </is>
      </c>
      <c r="P2" s="2" t="inlineStr">
        <is>
          <t>Tuesday</t>
        </is>
      </c>
      <c r="Q2" s="2" t="inlineStr">
        <is>
          <t>Wednesday</t>
        </is>
      </c>
      <c r="R2" s="2" t="inlineStr">
        <is>
          <t>Thursday</t>
        </is>
      </c>
      <c r="S2" s="2" t="inlineStr">
        <is>
          <t>Friday</t>
        </is>
      </c>
      <c r="T2" s="2" t="inlineStr">
        <is>
          <t>Saturday</t>
        </is>
      </c>
      <c r="U2" s="2" t="inlineStr">
        <is>
          <t>Sunday</t>
        </is>
      </c>
      <c r="V2" s="2" t="inlineStr">
        <is>
          <t>Monday</t>
        </is>
      </c>
      <c r="W2" s="2" t="inlineStr">
        <is>
          <t>Tuesday</t>
        </is>
      </c>
      <c r="X2" s="2" t="inlineStr">
        <is>
          <t>Wednesday</t>
        </is>
      </c>
      <c r="Y2" s="2" t="inlineStr">
        <is>
          <t>Thursday</t>
        </is>
      </c>
      <c r="Z2" s="2" t="inlineStr">
        <is>
          <t>Friday</t>
        </is>
      </c>
      <c r="AA2" s="2" t="inlineStr">
        <is>
          <t>Saturday</t>
        </is>
      </c>
      <c r="AB2" s="2" t="inlineStr">
        <is>
          <t>Sunday</t>
        </is>
      </c>
      <c r="AC2" s="2" t="inlineStr">
        <is>
          <t>Monday</t>
        </is>
      </c>
      <c r="AD2" s="2" t="inlineStr">
        <is>
          <t>Tuesday</t>
        </is>
      </c>
      <c r="AE2" s="2" t="inlineStr">
        <is>
          <t>Wednesday</t>
        </is>
      </c>
      <c r="AF2" s="2" t="inlineStr">
        <is>
          <t>Thursday</t>
        </is>
      </c>
      <c r="AG2" s="2" t="inlineStr">
        <is>
          <t>Total</t>
        </is>
      </c>
    </row>
    <row r="3">
      <c r="A3" s="1" t="n"/>
      <c r="B3" s="3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n">
        <v>31</v>
      </c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9" t="n"/>
      <c r="E4" s="9" t="n"/>
      <c r="F4" s="9" t="n"/>
      <c r="G4" s="12" t="n"/>
      <c r="H4" s="12" t="n"/>
      <c r="I4" s="12" t="n"/>
      <c r="J4" s="12" t="n"/>
      <c r="K4" s="12" t="n"/>
      <c r="L4" s="12" t="n"/>
      <c r="M4" s="12" t="n"/>
      <c r="N4" s="10" t="n"/>
      <c r="O4" s="12" t="n"/>
      <c r="P4" s="12" t="n"/>
      <c r="Q4" s="9" t="n"/>
      <c r="R4" s="12" t="n">
        <v>64186.4</v>
      </c>
      <c r="S4" s="9" t="n"/>
      <c r="T4" s="12" t="n"/>
      <c r="U4" s="9" t="n"/>
      <c r="V4" s="12" t="n"/>
      <c r="W4" s="12" t="n"/>
      <c r="X4" s="10" t="n"/>
      <c r="Y4" s="11" t="n"/>
      <c r="Z4" s="9" t="n"/>
      <c r="AA4" s="12" t="n">
        <v>5041.28</v>
      </c>
      <c r="AB4" s="9" t="n"/>
      <c r="AC4" s="9" t="n"/>
      <c r="AD4" s="9" t="n"/>
      <c r="AE4" s="9" t="n"/>
      <c r="AF4" s="9" t="n"/>
      <c r="AG4" s="13">
        <f>SUM(B4:AF4)</f>
        <v/>
      </c>
    </row>
    <row r="5" ht="18.75" customHeight="1">
      <c r="A5" s="8" t="inlineStr">
        <is>
          <t>Accord/Age uk</t>
        </is>
      </c>
      <c r="B5" s="9" t="n"/>
      <c r="C5" s="9" t="n"/>
      <c r="D5" s="9" t="n"/>
      <c r="E5" s="9" t="n"/>
      <c r="F5" s="9" t="n"/>
      <c r="G5" s="12" t="n"/>
      <c r="H5" s="12" t="n"/>
      <c r="I5" s="12" t="n"/>
      <c r="J5" s="12" t="n"/>
      <c r="K5" s="12" t="n"/>
      <c r="L5" s="12" t="n"/>
      <c r="M5" s="12" t="n"/>
      <c r="N5" s="12" t="n"/>
      <c r="O5" s="9" t="n"/>
      <c r="P5" s="11" t="n"/>
      <c r="Q5" s="9" t="n"/>
      <c r="R5" s="12" t="n"/>
      <c r="S5" s="9" t="n"/>
      <c r="T5" s="12" t="n"/>
      <c r="U5" s="11" t="n"/>
      <c r="V5" s="12" t="n"/>
      <c r="W5" s="11" t="n"/>
      <c r="X5" s="9" t="n"/>
      <c r="Y5" s="12" t="n">
        <v>1792.31</v>
      </c>
      <c r="Z5" s="9" t="n"/>
      <c r="AA5" s="12" t="n">
        <v>2003.17</v>
      </c>
      <c r="AB5" s="9" t="n"/>
      <c r="AC5" s="9" t="n"/>
      <c r="AD5" s="9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9" t="n"/>
      <c r="C6" s="9" t="n"/>
      <c r="D6" s="9" t="n"/>
      <c r="E6" s="9" t="n"/>
      <c r="F6" s="9" t="n"/>
      <c r="G6" s="9" t="n"/>
      <c r="H6" s="12" t="n">
        <v>4937.64</v>
      </c>
      <c r="I6" s="9" t="n"/>
      <c r="J6" s="9" t="n"/>
      <c r="K6" s="9" t="n"/>
      <c r="L6" s="9" t="n"/>
      <c r="M6" s="9" t="n"/>
      <c r="N6" s="12" t="n"/>
      <c r="O6" s="12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>
        <v>5000</v>
      </c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5000</v>
      </c>
      <c r="AG8" s="13">
        <f>SUM(B8:AF8)</f>
        <v/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>
        <v>5000</v>
      </c>
      <c r="AG9" s="13">
        <f>SUM(B9:AF9)</f>
        <v/>
      </c>
    </row>
    <row r="10" ht="18.75" customHeight="1">
      <c r="A10" s="8" t="inlineStr">
        <is>
          <t>Ideal for All Ltd</t>
        </is>
      </c>
      <c r="B10" s="9" t="n"/>
      <c r="C10" s="9" t="n"/>
      <c r="D10" s="9" t="n"/>
      <c r="E10" s="9" t="n"/>
      <c r="F10" s="9" t="n"/>
      <c r="G10" s="9" t="n"/>
      <c r="H10" s="9" t="n"/>
      <c r="I10" s="9" t="n"/>
      <c r="J10" s="9" t="n"/>
      <c r="K10" s="12" t="n">
        <v>2108.6</v>
      </c>
      <c r="L10" s="12" t="n"/>
      <c r="M10" s="11" t="n"/>
      <c r="N10" s="9" t="n"/>
      <c r="O10" s="12" t="n"/>
      <c r="P10" s="11" t="n"/>
      <c r="Q10" s="12" t="n"/>
      <c r="R10" s="11" t="n"/>
      <c r="S10" s="12" t="n">
        <v>1553.28</v>
      </c>
      <c r="T10" s="9" t="n"/>
      <c r="U10" s="11" t="n"/>
      <c r="V10" s="12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12" t="n"/>
      <c r="Q11" s="9" t="n"/>
      <c r="R11" s="9" t="n"/>
      <c r="S11" s="12" t="n">
        <v>5375.7</v>
      </c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12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12" t="n">
        <v>5040</v>
      </c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" t="n">
        <v>14224.01</v>
      </c>
      <c r="P13" s="9" t="n"/>
      <c r="Q13" s="9" t="n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12" t="n">
        <v>13625.17</v>
      </c>
      <c r="M14" s="9" t="n"/>
      <c r="N14" s="12" t="n"/>
      <c r="O14" s="9" t="n"/>
      <c r="P14" s="9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12" t="n">
        <v>3685.52</v>
      </c>
      <c r="W15" s="9" t="n"/>
      <c r="X15" s="9" t="n"/>
      <c r="Y15" s="12" t="n"/>
      <c r="Z15" s="9" t="n"/>
      <c r="AA15" s="9" t="n"/>
      <c r="AB15" s="9" t="n"/>
      <c r="AC15" s="9" t="n"/>
      <c r="AD15" s="9" t="n"/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9" t="n"/>
      <c r="C16" s="9" t="n"/>
      <c r="D16" s="12" t="n"/>
      <c r="E16" s="9" t="n"/>
      <c r="F16" s="9" t="n"/>
      <c r="G16" s="9" t="n"/>
      <c r="H16" s="9" t="n">
        <v>110000</v>
      </c>
      <c r="I16" t="n">
        <v>26500</v>
      </c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  <c r="V16" s="9" t="n"/>
      <c r="W16" s="9" t="n">
        <v>110000</v>
      </c>
      <c r="X16" s="9" t="n"/>
      <c r="Y16" s="9" t="n"/>
      <c r="Z16" s="9" t="n"/>
      <c r="AA16" s="9" t="n"/>
      <c r="AB16" s="9" t="n"/>
      <c r="AC16" s="9" t="n"/>
      <c r="AD16" s="9" t="n"/>
      <c r="AE16" s="9" t="n"/>
      <c r="AF16" s="9" t="n"/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12" t="n"/>
      <c r="F17" s="9" t="n"/>
      <c r="G17" s="9" t="n"/>
      <c r="H17" s="9" t="n"/>
      <c r="I17" s="9" t="n"/>
      <c r="J17" s="9" t="n"/>
      <c r="K17" s="9" t="n"/>
      <c r="L17" s="12" t="n">
        <v>3030.53</v>
      </c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9" t="n">
        <v>115117</v>
      </c>
      <c r="C18" s="9" t="n"/>
      <c r="D18" s="12" t="n"/>
      <c r="E18" s="12" t="n"/>
      <c r="F18" s="9" t="n"/>
      <c r="G18" s="12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12" t="n"/>
      <c r="Z18" s="9" t="n"/>
      <c r="AA18" s="9" t="n"/>
      <c r="AB18" s="9" t="n"/>
      <c r="AD18" s="9" t="n"/>
      <c r="AE18" s="9" t="n">
        <v>115117</v>
      </c>
      <c r="AF18" s="12" t="n"/>
      <c r="AG18" s="13">
        <f>SUM(B18:AE18)</f>
        <v/>
      </c>
    </row>
    <row r="19" ht="15.75" customHeight="1">
      <c r="A19" s="15" t="inlineStr">
        <is>
          <t>WOLVERHAMPTON CC-560069-44470320</t>
        </is>
      </c>
      <c r="B19" s="9" t="n"/>
      <c r="C19" s="9" t="n"/>
      <c r="D19" s="9" t="n">
        <v>103000</v>
      </c>
      <c r="E19" s="9" t="n"/>
      <c r="F19" s="9" t="n"/>
      <c r="G19" s="9" t="n"/>
      <c r="H19" s="9" t="n"/>
      <c r="I19" s="9" t="n"/>
      <c r="J19" s="9" t="n"/>
      <c r="K19" s="9" t="n">
        <v>103000</v>
      </c>
      <c r="L19" s="9" t="n"/>
      <c r="M19" s="9" t="n"/>
      <c r="N19" s="9" t="n"/>
      <c r="O19" s="9" t="n"/>
      <c r="P19" s="9" t="n"/>
      <c r="Q19" s="9" t="n"/>
      <c r="R19" s="9" t="n">
        <v>103000</v>
      </c>
      <c r="S19" s="9" t="n"/>
      <c r="T19" s="9" t="n"/>
      <c r="U19" s="9" t="n"/>
      <c r="V19" s="9" t="n"/>
      <c r="W19" s="9" t="n"/>
      <c r="X19" s="9" t="n"/>
      <c r="Y19" s="9" t="n">
        <v>103000</v>
      </c>
      <c r="Z19" s="9" t="n"/>
      <c r="AA19" s="9" t="n"/>
      <c r="AB19" s="9" t="n"/>
      <c r="AC19" s="9" t="n"/>
      <c r="AD19" s="9" t="n"/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B20" s="9" t="n"/>
      <c r="C20" s="9" t="n"/>
      <c r="D20" s="12" t="n"/>
      <c r="E20" s="12" t="n"/>
      <c r="F20" s="9" t="n"/>
      <c r="G20" s="9" t="n"/>
      <c r="H20" s="9" t="n"/>
      <c r="I20" s="9" t="n"/>
      <c r="J20" s="9" t="n"/>
      <c r="K20" s="9" t="n"/>
      <c r="L20" s="12" t="n">
        <v>7320</v>
      </c>
      <c r="M20" s="12" t="n"/>
      <c r="N20" s="9" t="n"/>
      <c r="O20" s="12" t="n"/>
      <c r="P20" s="12" t="n"/>
      <c r="Q20" s="9" t="n"/>
      <c r="R20" s="9" t="n"/>
      <c r="S20" s="12" t="n">
        <v>7440</v>
      </c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12" t="n"/>
      <c r="AD20" s="9" t="n"/>
      <c r="AE20" s="9" t="n"/>
      <c r="AF20" s="9" t="n"/>
      <c r="AG20" s="13">
        <f>SUM(B20:AF20)</f>
        <v/>
      </c>
    </row>
    <row r="21" ht="15.75" customHeight="1">
      <c r="A21" s="15" t="inlineStr">
        <is>
          <t>HB SC</t>
        </is>
      </c>
      <c r="B21" s="16" t="n">
        <v>2350</v>
      </c>
      <c r="C21" s="16" t="n">
        <v>2350</v>
      </c>
      <c r="D21" s="16" t="n">
        <v>2350</v>
      </c>
      <c r="E21" s="16" t="n">
        <v>2350</v>
      </c>
      <c r="F21" s="16" t="n">
        <v>2350</v>
      </c>
      <c r="G21" s="16" t="n">
        <v>2350</v>
      </c>
      <c r="H21" s="16" t="n">
        <v>2350</v>
      </c>
      <c r="I21" s="16" t="n">
        <v>2350</v>
      </c>
      <c r="J21" s="16" t="n">
        <v>2350</v>
      </c>
      <c r="K21" s="16" t="n">
        <v>2350</v>
      </c>
      <c r="L21" s="16" t="n">
        <v>2350</v>
      </c>
      <c r="M21" s="16" t="n">
        <v>2350</v>
      </c>
      <c r="N21" s="16" t="n">
        <v>2350</v>
      </c>
      <c r="O21" s="16" t="n">
        <v>2350</v>
      </c>
      <c r="P21" s="16" t="n">
        <v>2350</v>
      </c>
      <c r="Q21" s="16" t="n">
        <v>2350</v>
      </c>
      <c r="R21" s="16" t="n">
        <v>2350</v>
      </c>
      <c r="S21" s="16" t="n">
        <v>2350</v>
      </c>
      <c r="T21" s="16" t="n">
        <v>2350</v>
      </c>
      <c r="U21" s="16" t="n">
        <v>2350</v>
      </c>
      <c r="V21" s="16" t="n">
        <v>2350</v>
      </c>
      <c r="W21" s="16" t="n">
        <v>2350</v>
      </c>
      <c r="X21" s="16" t="n">
        <v>2350</v>
      </c>
      <c r="Y21" s="16" t="n">
        <v>2350</v>
      </c>
      <c r="Z21" s="16" t="n">
        <v>2350</v>
      </c>
      <c r="AA21" s="16" t="n">
        <v>2350</v>
      </c>
      <c r="AB21" s="16" t="n">
        <v>2350</v>
      </c>
      <c r="AC21" s="16" t="n">
        <v>2350</v>
      </c>
      <c r="AD21" s="16" t="n">
        <v>2350</v>
      </c>
      <c r="AE21" s="16" t="n">
        <v>2350</v>
      </c>
      <c r="AF21" s="16" t="n">
        <v>2350</v>
      </c>
      <c r="AG21" s="13">
        <f>SUM(B21:AF21)</f>
        <v/>
      </c>
    </row>
    <row r="22" ht="15.7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>
        <f>SUM(E4:E21)</f>
        <v/>
      </c>
      <c r="F22">
        <f>SUM(F4:F21)</f>
        <v/>
      </c>
      <c r="G22">
        <f>SUM(G4:G21)</f>
        <v/>
      </c>
      <c r="H22">
        <f>SUM(H4:H21)</f>
        <v/>
      </c>
      <c r="I22">
        <f>SUM(I4:I21)</f>
        <v/>
      </c>
      <c r="J22">
        <f>SUM(J4:J21)</f>
        <v/>
      </c>
      <c r="K22">
        <f>SUM(K4:K21)</f>
        <v/>
      </c>
      <c r="L22">
        <f>SUM(L4:L21)</f>
        <v/>
      </c>
      <c r="M22">
        <f>SUM(M4:M21)</f>
        <v/>
      </c>
      <c r="N22">
        <f>SUM(N4:N21)</f>
        <v/>
      </c>
      <c r="O22">
        <f>SUM(O4:O21)</f>
        <v/>
      </c>
      <c r="P22">
        <f>SUM(P4:P21)</f>
        <v/>
      </c>
      <c r="Q22">
        <f>SUM(Q4:Q21)</f>
        <v/>
      </c>
      <c r="R22">
        <f>SUM(R4:R21)</f>
        <v/>
      </c>
      <c r="S22">
        <f>SUM(S4:S21)</f>
        <v/>
      </c>
      <c r="T22">
        <f>SUM(T4:T21)</f>
        <v/>
      </c>
      <c r="U22">
        <f>SUM(U4:U21)</f>
        <v/>
      </c>
      <c r="V22">
        <f>SUM(V4:V21)</f>
        <v/>
      </c>
      <c r="W22">
        <f>SUM(W4:W21)</f>
        <v/>
      </c>
      <c r="X22">
        <f>SUM(X4:X21)</f>
        <v/>
      </c>
      <c r="Y22">
        <f>SUM(Y4:Y21)</f>
        <v/>
      </c>
      <c r="Z22">
        <f>SUM(Z4:Z21)</f>
        <v/>
      </c>
      <c r="AA22">
        <f>SUM(AA4:AA21)</f>
        <v/>
      </c>
      <c r="AB22">
        <f>SUM(AB4:AB21)</f>
        <v/>
      </c>
      <c r="AC22">
        <f>SUM(AC4:AC21)</f>
        <v/>
      </c>
      <c r="AD22">
        <f>SUM(AD4:AD21)</f>
        <v/>
      </c>
      <c r="AE22">
        <f>SUM(AE4:AE21)</f>
        <v/>
      </c>
      <c r="AF22">
        <f>SUM(AF4:AF21)</f>
        <v/>
      </c>
      <c r="AG22" s="29">
        <f>SUM(AG4:AG21)</f>
        <v/>
      </c>
    </row>
    <row r="23" ht="15.75" customHeight="1" thickTop="1">
      <c r="A23" s="15" t="inlineStr">
        <is>
          <t>Ruunning Total</t>
        </is>
      </c>
      <c r="B23">
        <f>B22</f>
        <v/>
      </c>
      <c r="C23">
        <f>B23+C22</f>
        <v/>
      </c>
      <c r="D23">
        <f>C23+D22</f>
        <v/>
      </c>
      <c r="E23">
        <f>D23+E22</f>
        <v/>
      </c>
      <c r="F23">
        <f>E23+F22</f>
        <v/>
      </c>
      <c r="G23">
        <f>F23+G22</f>
        <v/>
      </c>
      <c r="H23">
        <f>G23+H22</f>
        <v/>
      </c>
      <c r="I23">
        <f>H23+I22</f>
        <v/>
      </c>
      <c r="J23">
        <f>I23+J22</f>
        <v/>
      </c>
      <c r="K23">
        <f>J23+K22</f>
        <v/>
      </c>
      <c r="L23">
        <f>K23+L22</f>
        <v/>
      </c>
      <c r="M23">
        <f>L23+M22</f>
        <v/>
      </c>
      <c r="N23">
        <f>M23+N22</f>
        <v/>
      </c>
      <c r="O23">
        <f>N23+O22</f>
        <v/>
      </c>
      <c r="P23">
        <f>O23+P22</f>
        <v/>
      </c>
      <c r="Q23">
        <f>P23+Q22</f>
        <v/>
      </c>
      <c r="R23">
        <f>Q23+R22</f>
        <v/>
      </c>
      <c r="S23">
        <f>R23+S22</f>
        <v/>
      </c>
      <c r="T23">
        <f>S23+T22</f>
        <v/>
      </c>
      <c r="U23">
        <f>T23+U22</f>
        <v/>
      </c>
      <c r="V23">
        <f>U23+V22</f>
        <v/>
      </c>
      <c r="W23">
        <f>V23+W22</f>
        <v/>
      </c>
      <c r="X23">
        <f>W23+X22</f>
        <v/>
      </c>
      <c r="Y23">
        <f>X23+Y22</f>
        <v/>
      </c>
      <c r="Z23">
        <f>Y23+Z22</f>
        <v/>
      </c>
      <c r="AA23">
        <f>Z23+AA22</f>
        <v/>
      </c>
      <c r="AB23">
        <f>AA23+AB22</f>
        <v/>
      </c>
      <c r="AC23">
        <f>AB23+AC22</f>
        <v/>
      </c>
      <c r="AD23">
        <f>AC23+AD22</f>
        <v/>
      </c>
      <c r="AE23">
        <f>AD23+AE22</f>
        <v/>
      </c>
      <c r="AF23">
        <f>AE23+AF22</f>
        <v/>
      </c>
    </row>
    <row r="26">
      <c r="A26" s="30" t="inlineStr">
        <is>
          <t>CHASING</t>
        </is>
      </c>
    </row>
    <row r="27">
      <c r="A27" s="15" t="inlineStr">
        <is>
          <t>NHS Black country</t>
        </is>
      </c>
      <c r="B27" t="n">
        <v>30000</v>
      </c>
    </row>
    <row r="28" ht="15.75" customHeight="1">
      <c r="A28" s="15" t="inlineStr">
        <is>
          <t>Walsall</t>
        </is>
      </c>
      <c r="B28" t="n">
        <v>29528</v>
      </c>
      <c r="AC28" t="inlineStr">
        <is>
          <t>Andrew Hands</t>
        </is>
      </c>
      <c r="AD28" s="9" t="n">
        <v>31431.65</v>
      </c>
    </row>
    <row r="29" ht="15.75" customHeight="1">
      <c r="A29" s="15" t="inlineStr">
        <is>
          <t>Nhs Birmingham</t>
        </is>
      </c>
      <c r="B29" s="26" t="n">
        <v>14698</v>
      </c>
    </row>
    <row r="30">
      <c r="A30" s="15" t="inlineStr">
        <is>
          <t>Sandwell</t>
        </is>
      </c>
      <c r="B30" t="n">
        <v>48395.18</v>
      </c>
    </row>
    <row r="31" ht="15.75" customHeight="1" thickBot="1">
      <c r="A31" s="15" t="inlineStr">
        <is>
          <t>Total</t>
        </is>
      </c>
      <c r="B31" s="29">
        <f>SUM(B27:B30)</f>
        <v/>
      </c>
    </row>
    <row r="32" ht="15.75" customHeight="1" thickTop="1"/>
    <row r="33">
      <c r="A33" s="1" t="n"/>
      <c r="B33" s="2" t="inlineStr">
        <is>
          <t>Aug</t>
        </is>
      </c>
      <c r="C33" s="2" t="n"/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  <c r="M33" s="2" t="n"/>
      <c r="N33" s="2" t="n"/>
      <c r="O33" s="2" t="n"/>
      <c r="P33" s="2" t="n"/>
      <c r="Q33" s="2" t="n"/>
      <c r="R33" s="2" t="n"/>
      <c r="S33" s="2" t="n"/>
      <c r="T33" s="2" t="n"/>
      <c r="U33" s="2" t="n"/>
      <c r="V33" s="2" t="n"/>
      <c r="W33" s="2" t="n"/>
      <c r="X33" s="2" t="n"/>
      <c r="Y33" s="2" t="n"/>
      <c r="Z33" s="2" t="n"/>
      <c r="AA33" s="2" t="n"/>
      <c r="AB33" s="2" t="n"/>
      <c r="AC33" s="2" t="n"/>
      <c r="AD33" s="2" t="n"/>
      <c r="AE33" s="1" t="n"/>
      <c r="AF33" s="1" t="n"/>
      <c r="AG33" s="1" t="n"/>
    </row>
    <row r="34">
      <c r="A34" s="1" t="n"/>
      <c r="B34" s="2" t="inlineStr">
        <is>
          <t>Tuesday</t>
        </is>
      </c>
      <c r="C34" s="2" t="inlineStr">
        <is>
          <t>Wednesday</t>
        </is>
      </c>
      <c r="D34" s="2" t="inlineStr">
        <is>
          <t>Thursday</t>
        </is>
      </c>
      <c r="E34" s="2" t="inlineStr">
        <is>
          <t>Friday</t>
        </is>
      </c>
      <c r="F34" s="2" t="inlineStr">
        <is>
          <t>Saturday</t>
        </is>
      </c>
      <c r="G34" s="2" t="inlineStr">
        <is>
          <t>Sunday</t>
        </is>
      </c>
      <c r="H34" s="2" t="inlineStr">
        <is>
          <t>Monday</t>
        </is>
      </c>
      <c r="I34" s="2" t="inlineStr">
        <is>
          <t>Tuesday</t>
        </is>
      </c>
      <c r="J34" s="2" t="inlineStr">
        <is>
          <t>Wednesday</t>
        </is>
      </c>
      <c r="K34" s="2" t="inlineStr">
        <is>
          <t>Thursday</t>
        </is>
      </c>
      <c r="L34" s="2" t="inlineStr">
        <is>
          <t>Friday</t>
        </is>
      </c>
      <c r="M34" s="2" t="inlineStr">
        <is>
          <t>Saturday</t>
        </is>
      </c>
      <c r="N34" s="2" t="inlineStr">
        <is>
          <t>Sunday</t>
        </is>
      </c>
      <c r="O34" s="2" t="inlineStr">
        <is>
          <t>Monday</t>
        </is>
      </c>
      <c r="P34" s="2" t="inlineStr">
        <is>
          <t>Tuesday</t>
        </is>
      </c>
      <c r="Q34" s="2" t="inlineStr">
        <is>
          <t>Wednesday</t>
        </is>
      </c>
      <c r="R34" s="2" t="inlineStr">
        <is>
          <t>Thursday</t>
        </is>
      </c>
      <c r="S34" s="2" t="inlineStr">
        <is>
          <t>Friday</t>
        </is>
      </c>
      <c r="T34" s="2" t="inlineStr">
        <is>
          <t>Saturday</t>
        </is>
      </c>
      <c r="U34" s="2" t="inlineStr">
        <is>
          <t>Sunday</t>
        </is>
      </c>
      <c r="V34" s="2" t="inlineStr">
        <is>
          <t>Monday</t>
        </is>
      </c>
      <c r="W34" s="2" t="inlineStr">
        <is>
          <t>Tuesday</t>
        </is>
      </c>
      <c r="X34" s="2" t="inlineStr">
        <is>
          <t>Wednesday</t>
        </is>
      </c>
      <c r="Y34" s="2" t="inlineStr">
        <is>
          <t>Thursday</t>
        </is>
      </c>
      <c r="Z34" s="2" t="inlineStr">
        <is>
          <t>Friday</t>
        </is>
      </c>
      <c r="AA34" s="2" t="inlineStr">
        <is>
          <t>Saturday</t>
        </is>
      </c>
      <c r="AB34" s="2" t="inlineStr">
        <is>
          <t>Sunday</t>
        </is>
      </c>
      <c r="AC34" s="2" t="inlineStr">
        <is>
          <t>Monday</t>
        </is>
      </c>
      <c r="AD34" s="2" t="inlineStr">
        <is>
          <t>Tuesday</t>
        </is>
      </c>
      <c r="AE34" s="2" t="inlineStr">
        <is>
          <t>Wednesday</t>
        </is>
      </c>
      <c r="AF34" s="2" t="inlineStr">
        <is>
          <t>Thursday</t>
        </is>
      </c>
      <c r="AG34" s="2" t="inlineStr">
        <is>
          <t>Total</t>
        </is>
      </c>
    </row>
    <row r="35">
      <c r="A35" s="1" t="n"/>
      <c r="B35" s="3" t="inlineStr">
        <is>
          <t>1st</t>
        </is>
      </c>
      <c r="C35" s="3" t="inlineStr">
        <is>
          <t>2nd</t>
        </is>
      </c>
      <c r="D35" s="3" t="inlineStr">
        <is>
          <t>3rd</t>
        </is>
      </c>
      <c r="E35" s="3" t="inlineStr">
        <is>
          <t>4th</t>
        </is>
      </c>
      <c r="F35" s="3" t="inlineStr">
        <is>
          <t>5th</t>
        </is>
      </c>
      <c r="G35" s="3" t="inlineStr">
        <is>
          <t>6th</t>
        </is>
      </c>
      <c r="H35" s="4" t="inlineStr">
        <is>
          <t>7th</t>
        </is>
      </c>
      <c r="I35" s="4" t="inlineStr">
        <is>
          <t>8th</t>
        </is>
      </c>
      <c r="J35" s="4" t="inlineStr">
        <is>
          <t>9th</t>
        </is>
      </c>
      <c r="K35" s="4" t="inlineStr">
        <is>
          <t>10th</t>
        </is>
      </c>
      <c r="L35" s="4" t="inlineStr">
        <is>
          <t>11th</t>
        </is>
      </c>
      <c r="M35" s="4" t="inlineStr">
        <is>
          <t>12th</t>
        </is>
      </c>
      <c r="N35" s="4" t="inlineStr">
        <is>
          <t>13th</t>
        </is>
      </c>
      <c r="O35" s="5" t="inlineStr">
        <is>
          <t>14th</t>
        </is>
      </c>
      <c r="P35" s="5" t="inlineStr">
        <is>
          <t>15th</t>
        </is>
      </c>
      <c r="Q35" s="5" t="inlineStr">
        <is>
          <t>16th</t>
        </is>
      </c>
      <c r="R35" s="5" t="inlineStr">
        <is>
          <t>17th</t>
        </is>
      </c>
      <c r="S35" s="5" t="inlineStr">
        <is>
          <t>18th</t>
        </is>
      </c>
      <c r="T35" s="5" t="inlineStr">
        <is>
          <t>19th</t>
        </is>
      </c>
      <c r="U35" s="5" t="inlineStr">
        <is>
          <t>20th</t>
        </is>
      </c>
      <c r="V35" s="6" t="inlineStr">
        <is>
          <t>21st</t>
        </is>
      </c>
      <c r="W35" s="6" t="inlineStr">
        <is>
          <t>22nd</t>
        </is>
      </c>
      <c r="X35" s="6" t="inlineStr">
        <is>
          <t>23rd</t>
        </is>
      </c>
      <c r="Y35" s="6" t="inlineStr">
        <is>
          <t>24th</t>
        </is>
      </c>
      <c r="Z35" s="6" t="inlineStr">
        <is>
          <t>25th</t>
        </is>
      </c>
      <c r="AA35" s="6" t="inlineStr">
        <is>
          <t>26th</t>
        </is>
      </c>
      <c r="AB35" s="6" t="inlineStr">
        <is>
          <t>27th</t>
        </is>
      </c>
      <c r="AC35" s="7" t="inlineStr">
        <is>
          <t>28th</t>
        </is>
      </c>
      <c r="AD35" s="7" t="inlineStr">
        <is>
          <t>29th</t>
        </is>
      </c>
      <c r="AE35" s="7" t="inlineStr">
        <is>
          <t>30th</t>
        </is>
      </c>
      <c r="AF35" s="7" t="n">
        <v>31</v>
      </c>
      <c r="AG35" s="1" t="n"/>
    </row>
    <row r="36" ht="18.75" customHeight="1">
      <c r="A36" s="8" t="inlineStr">
        <is>
          <t>B-HAM CITY COUNCIL-200790-70489166</t>
        </is>
      </c>
      <c r="B36" s="9" t="n"/>
      <c r="C36" s="9" t="n"/>
      <c r="D36" s="9" t="n"/>
      <c r="E36" s="9" t="n"/>
      <c r="F36" s="9" t="n"/>
      <c r="G36" s="12" t="n"/>
      <c r="H36" s="12" t="n"/>
      <c r="I36" s="12" t="n"/>
      <c r="J36" s="12" t="n"/>
      <c r="K36" s="12" t="n"/>
      <c r="L36" s="12" t="n"/>
      <c r="M36" s="12" t="n"/>
      <c r="N36" s="10" t="n"/>
      <c r="O36" s="12" t="n"/>
      <c r="P36" t="n">
        <v>66705.44</v>
      </c>
      <c r="Q36" s="9" t="n"/>
      <c r="R36" s="12" t="n"/>
      <c r="S36" s="9" t="n"/>
      <c r="T36" s="12" t="n"/>
      <c r="U36" s="9" t="n"/>
      <c r="V36" s="12" t="n"/>
      <c r="W36" s="12" t="n"/>
      <c r="X36" s="10" t="n"/>
      <c r="Y36" s="11" t="n"/>
      <c r="Z36" s="9" t="n"/>
      <c r="AB36" s="9" t="n"/>
      <c r="AC36" s="9" t="n"/>
      <c r="AD36" s="9" t="n"/>
      <c r="AE36" s="9" t="n"/>
      <c r="AF36" t="n">
        <v>5041.28</v>
      </c>
      <c r="AG36" s="13">
        <f>SUM(B36:AF36)</f>
        <v/>
      </c>
    </row>
    <row r="37" ht="18.75" customHeight="1">
      <c r="A37" s="8" t="inlineStr">
        <is>
          <t>Accord/Age uk</t>
        </is>
      </c>
      <c r="B37" s="9" t="n"/>
      <c r="C37" s="9" t="n"/>
      <c r="D37" s="9" t="n"/>
      <c r="E37" s="9" t="n"/>
      <c r="F37" s="9" t="n"/>
      <c r="G37" s="12" t="n"/>
      <c r="H37" s="12" t="n"/>
      <c r="I37" s="12" t="n"/>
      <c r="J37" s="12" t="n"/>
      <c r="K37" s="12" t="n"/>
      <c r="L37" s="12" t="n"/>
      <c r="M37" s="12" t="n"/>
      <c r="N37" s="12" t="n"/>
      <c r="O37" s="9" t="n"/>
      <c r="P37" s="11" t="n"/>
      <c r="Q37" s="9" t="n"/>
      <c r="R37" s="12" t="n"/>
      <c r="S37" s="26" t="n">
        <v>2402.4</v>
      </c>
      <c r="T37" s="12" t="n"/>
      <c r="U37" s="11" t="n"/>
      <c r="V37" s="12" t="n"/>
      <c r="W37" s="11" t="n"/>
      <c r="X37" s="9" t="n"/>
      <c r="Y37" s="12" t="n"/>
      <c r="Z37" s="9" t="n"/>
      <c r="AA37" s="12" t="n"/>
      <c r="AB37" s="9" t="n"/>
      <c r="AC37" s="9" t="n"/>
      <c r="AD37" s="9" t="n"/>
      <c r="AE37" s="9" t="n"/>
      <c r="AF37" s="9" t="n"/>
      <c r="AG37" s="13">
        <f>SUM(B37:AF37)</f>
        <v/>
      </c>
    </row>
    <row r="38" ht="15.75" customHeight="1">
      <c r="A38" s="8" t="inlineStr">
        <is>
          <t>Buckingham</t>
        </is>
      </c>
      <c r="B38" s="9" t="n"/>
      <c r="C38" s="9" t="n"/>
      <c r="D38" s="9" t="n"/>
      <c r="E38" t="n">
        <v>4937.64</v>
      </c>
      <c r="F38" s="9" t="n"/>
      <c r="G38" s="9" t="n"/>
      <c r="H38" s="12" t="n"/>
      <c r="I38" s="9" t="n"/>
      <c r="J38" s="9" t="n"/>
      <c r="K38" s="9" t="n"/>
      <c r="L38" s="9" t="n"/>
      <c r="M38" s="9" t="n"/>
      <c r="N38" s="12" t="n"/>
      <c r="O38" s="12" t="n"/>
      <c r="P38" s="9" t="n"/>
      <c r="Q38" s="9" t="n"/>
      <c r="R38" s="9" t="n"/>
      <c r="S38" s="9" t="n"/>
      <c r="T38" s="9" t="n"/>
      <c r="U38" s="9" t="n"/>
      <c r="V38" s="9" t="n"/>
      <c r="W38" s="9" t="n"/>
      <c r="X38" s="9" t="n"/>
      <c r="Y38" s="9" t="n"/>
      <c r="Z38" s="9" t="n"/>
      <c r="AA38" s="9" t="n"/>
      <c r="AB38" s="9" t="n"/>
      <c r="AC38" s="9" t="n"/>
      <c r="AD38" s="9" t="n"/>
      <c r="AE38" s="9" t="n"/>
      <c r="AF38" s="9" t="n"/>
      <c r="AG38" s="13">
        <f>SUM(B38:AF38)</f>
        <v/>
      </c>
    </row>
    <row r="39" ht="15.75" customHeight="1">
      <c r="A39" s="8" t="inlineStr">
        <is>
          <t>Sandwell respite est</t>
        </is>
      </c>
      <c r="B39" s="9" t="n"/>
      <c r="C39" s="9" t="n"/>
      <c r="D39" s="9" t="n"/>
      <c r="E39" t="n">
        <v>9737.6</v>
      </c>
      <c r="F39" s="9" t="n"/>
      <c r="G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9" t="n"/>
      <c r="R39" s="9" t="n"/>
      <c r="S39" s="9" t="n"/>
      <c r="T39" s="9" t="n"/>
      <c r="U39" s="9" t="n"/>
      <c r="V39" s="9" t="n"/>
      <c r="W39" s="9" t="n"/>
      <c r="X39" s="9" t="n"/>
      <c r="Y39" s="9" t="n"/>
      <c r="Z39" s="9" t="n"/>
      <c r="AA39" s="9" t="n"/>
      <c r="AB39" s="9" t="n"/>
      <c r="AC39" s="9" t="n"/>
      <c r="AD39" s="9" t="n"/>
      <c r="AE39" s="9" t="n"/>
      <c r="AF39" s="9" t="n"/>
      <c r="AG39" s="13">
        <f>SUM(B39:AF39)</f>
        <v/>
      </c>
    </row>
    <row r="40" ht="15.75" customHeight="1">
      <c r="A40" s="8" t="inlineStr">
        <is>
          <t xml:space="preserve">Wolverhampton respite est </t>
        </is>
      </c>
      <c r="B40" s="9" t="n"/>
      <c r="C40" s="9" t="n"/>
      <c r="D40" s="9" t="n"/>
      <c r="E40" s="9" t="n"/>
      <c r="F40" s="9" t="n"/>
      <c r="G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9" t="n"/>
      <c r="R40" s="9" t="n"/>
      <c r="S40" s="9" t="n"/>
      <c r="T40" s="9" t="n"/>
      <c r="U40" s="9" t="n"/>
      <c r="V40" s="26" t="n">
        <v>12111.35</v>
      </c>
      <c r="W40" s="9" t="n"/>
      <c r="X40" s="26" t="n">
        <v>3648</v>
      </c>
      <c r="Y40" s="9" t="n"/>
      <c r="Z40" s="26" t="n">
        <v>2201.6</v>
      </c>
      <c r="AA40" s="9" t="n"/>
      <c r="AB40" s="9" t="n"/>
      <c r="AC40" s="9" t="n"/>
      <c r="AD40" s="9" t="n"/>
      <c r="AE40" s="9" t="n"/>
      <c r="AF40" s="9" t="n"/>
      <c r="AG40" s="13">
        <f>SUM(B40:AF40)</f>
        <v/>
      </c>
    </row>
    <row r="41" ht="15.75" customHeight="1">
      <c r="A41" s="8" t="inlineStr">
        <is>
          <t>Walsall Respite</t>
        </is>
      </c>
      <c r="B41" s="9" t="n"/>
      <c r="C41" s="9" t="n"/>
      <c r="D41" s="9" t="n"/>
      <c r="E41" s="9" t="n"/>
      <c r="F41" s="9" t="n"/>
      <c r="G41" s="12" t="n"/>
      <c r="H41" s="9" t="n"/>
      <c r="I41" s="9" t="n"/>
      <c r="J41" t="n">
        <v>1142.4</v>
      </c>
      <c r="K41" s="9" t="n"/>
      <c r="L41" t="n">
        <v>3454.42</v>
      </c>
      <c r="M41" s="9" t="n"/>
      <c r="N41" s="9" t="n"/>
      <c r="O41" s="9" t="n"/>
      <c r="P41" s="9" t="n"/>
      <c r="Q41" s="9" t="n"/>
      <c r="R41" s="9" t="n"/>
      <c r="S41" s="9" t="n"/>
      <c r="T41" s="9" t="n"/>
      <c r="U41" s="9" t="n"/>
      <c r="V41" s="9" t="n"/>
      <c r="W41" s="9" t="n"/>
      <c r="X41" s="9" t="n"/>
      <c r="Y41" s="9" t="n"/>
      <c r="Z41" s="9" t="n"/>
      <c r="AA41" s="9" t="n"/>
      <c r="AB41" s="9" t="n"/>
      <c r="AC41" s="9" t="n"/>
      <c r="AD41" s="26" t="n">
        <v>15351.2</v>
      </c>
      <c r="AE41" s="9" t="n"/>
      <c r="AF41" s="9" t="n"/>
      <c r="AG41" s="13">
        <f>SUM(B41:AF41)</f>
        <v/>
      </c>
    </row>
    <row r="42" ht="18.75" customHeight="1">
      <c r="A42" s="8" t="inlineStr">
        <is>
          <t>Ideal for All Ltd</t>
        </is>
      </c>
      <c r="B42" s="9" t="n"/>
      <c r="C42" s="9" t="n"/>
      <c r="D42" s="9" t="n"/>
      <c r="E42" s="9" t="n"/>
      <c r="F42" s="9" t="n"/>
      <c r="G42" s="9" t="n"/>
      <c r="H42" s="9" t="n"/>
      <c r="I42" s="9" t="n"/>
      <c r="J42" s="9" t="n"/>
      <c r="L42" s="12" t="n"/>
      <c r="M42" s="11" t="n"/>
      <c r="N42" s="9" t="n"/>
      <c r="O42" t="n">
        <v>3661.88</v>
      </c>
      <c r="R42" s="11" t="n"/>
      <c r="S42" s="12" t="n"/>
      <c r="T42" s="9" t="n"/>
      <c r="U42" s="11" t="n"/>
      <c r="V42" s="12" t="n"/>
      <c r="W42" s="9" t="n"/>
      <c r="X42" s="9" t="n"/>
      <c r="Y42" s="9" t="n"/>
      <c r="Z42" s="9" t="n"/>
      <c r="AA42" s="9" t="n"/>
      <c r="AB42" s="9" t="n"/>
      <c r="AC42" s="9" t="n"/>
      <c r="AD42" s="26" t="n"/>
      <c r="AE42" s="9" t="n"/>
      <c r="AF42" s="9" t="n"/>
      <c r="AG42" s="13">
        <f>SUM(B42:AF42)</f>
        <v/>
      </c>
    </row>
    <row r="43" ht="15.75" customHeight="1">
      <c r="A43" s="8" t="inlineStr">
        <is>
          <t>KIRKLEES COUNCIL-204312-63046958</t>
        </is>
      </c>
      <c r="B43" s="9" t="n"/>
      <c r="C43" s="9" t="n"/>
      <c r="D43" s="9" t="n"/>
      <c r="E43" s="9" t="n"/>
      <c r="F43" s="9" t="n"/>
      <c r="G43" s="9" t="n"/>
      <c r="H43" s="9" t="n"/>
      <c r="I43" s="9" t="n"/>
      <c r="J43" s="9" t="n"/>
      <c r="K43" s="9" t="n"/>
      <c r="L43" s="9" t="n"/>
      <c r="M43" s="9" t="n"/>
      <c r="N43" s="9" t="n"/>
      <c r="Q43" s="9" t="n"/>
      <c r="R43" s="9" t="n"/>
      <c r="T43" s="9" t="n"/>
      <c r="U43" s="9" t="n"/>
      <c r="V43" s="9" t="n"/>
      <c r="W43" s="12" t="n"/>
      <c r="X43" s="9" t="n"/>
      <c r="Y43" t="n">
        <v>5554.89</v>
      </c>
      <c r="Z43" s="9" t="n"/>
      <c r="AA43" s="9" t="n"/>
      <c r="AB43" s="9" t="n"/>
      <c r="AC43" s="9" t="n"/>
      <c r="AD43" s="26" t="n"/>
      <c r="AE43" s="9" t="n"/>
      <c r="AF43" s="12" t="n"/>
      <c r="AG43" s="13">
        <f>SUM(B43:AF43)</f>
        <v/>
      </c>
    </row>
    <row r="44" ht="15.75" customHeight="1">
      <c r="A44" s="8" t="inlineStr">
        <is>
          <t>LBH PAYMENTS BACS-602210-72430192</t>
        </is>
      </c>
      <c r="B44" s="9" t="n"/>
      <c r="C44" s="9" t="n"/>
      <c r="D44" s="9" t="n"/>
      <c r="E44" s="9" t="n"/>
      <c r="F44" s="9" t="n"/>
      <c r="G44" s="9" t="n"/>
      <c r="H44" s="9" t="n"/>
      <c r="I44" s="9" t="n"/>
      <c r="J44" s="9" t="n"/>
      <c r="L44" s="9" t="n"/>
      <c r="M44" s="9" t="n"/>
      <c r="N44" s="9" t="n"/>
      <c r="P44" s="9" t="n"/>
      <c r="Q44" t="n">
        <v>5040</v>
      </c>
      <c r="R44" s="9" t="n"/>
      <c r="S44" s="9" t="n"/>
      <c r="T44" s="9" t="n"/>
      <c r="U44" s="9" t="n"/>
      <c r="V44" s="9" t="n"/>
      <c r="W44" s="9" t="n"/>
      <c r="X44" s="9" t="n"/>
      <c r="Y44" s="9" t="n"/>
      <c r="Z44" s="9" t="n"/>
      <c r="AA44" s="9" t="n"/>
      <c r="AB44" s="9" t="n"/>
      <c r="AC44" s="9" t="n"/>
      <c r="AD44" s="26" t="n"/>
      <c r="AE44" s="9" t="n"/>
      <c r="AF44" s="9" t="n"/>
      <c r="AG44" s="13">
        <f>SUM(B44:AF44)</f>
        <v/>
      </c>
    </row>
    <row r="45" ht="15.75" customHeight="1">
      <c r="A45" s="8" t="inlineStr">
        <is>
          <t>NHS BIRMINGHAM &amp; S-607080-10017097</t>
        </is>
      </c>
      <c r="B45" s="9" t="n"/>
      <c r="C45" s="9" t="n"/>
      <c r="D45" s="9" t="n"/>
      <c r="E45" s="9" t="n"/>
      <c r="F45" s="9" t="n"/>
      <c r="G45" s="9" t="n"/>
      <c r="H45" s="9" t="n"/>
      <c r="I45" s="9" t="n"/>
      <c r="J45" s="9" t="n"/>
      <c r="K45" t="n">
        <v>14698.15</v>
      </c>
      <c r="L45" s="9" t="n"/>
      <c r="M45" s="9" t="n"/>
      <c r="N45" s="9" t="n"/>
      <c r="P45" s="9" t="n"/>
      <c r="Q45" s="12" t="n"/>
      <c r="R45" s="9" t="n"/>
      <c r="S45" s="9" t="n"/>
      <c r="T45" s="9" t="n"/>
      <c r="U45" s="9" t="n"/>
      <c r="V45" s="9" t="n"/>
      <c r="W45" s="9" t="n"/>
      <c r="X45" s="9" t="n"/>
      <c r="Y45" s="9" t="n"/>
      <c r="Z45" s="9" t="n"/>
      <c r="AA45" s="9" t="n"/>
      <c r="AB45" s="9" t="n"/>
      <c r="AC45" s="9" t="n"/>
      <c r="AD45" s="26" t="n"/>
      <c r="AE45" s="9" t="n"/>
      <c r="AF45" s="9" t="n"/>
      <c r="AG45" s="13">
        <f>SUM(B45:AF45)</f>
        <v/>
      </c>
    </row>
    <row r="46" ht="15.75" customHeight="1">
      <c r="A46" s="8" t="inlineStr">
        <is>
          <t>NHS BLACK COUNTRY-607080-10015272</t>
        </is>
      </c>
      <c r="B46" s="9" t="n"/>
      <c r="C46" s="9" t="n"/>
      <c r="D46" s="9" t="n"/>
      <c r="E46" s="9" t="n"/>
      <c r="F46" s="9" t="n"/>
      <c r="G46" s="9" t="n"/>
      <c r="H46" s="9" t="n"/>
      <c r="I46" s="9" t="n"/>
      <c r="J46" s="9" t="n"/>
      <c r="K46" s="9" t="n"/>
      <c r="M46" s="9" t="n"/>
      <c r="N46" s="12" t="n"/>
      <c r="P46" t="n">
        <v>13625.17</v>
      </c>
      <c r="Q46" s="12" t="n"/>
      <c r="R46" s="9" t="n"/>
      <c r="S46" s="9" t="n"/>
      <c r="T46" s="9" t="n"/>
      <c r="U46" s="9" t="n"/>
      <c r="V46" s="9" t="n"/>
      <c r="W46" s="9" t="n"/>
      <c r="X46" s="9" t="n"/>
      <c r="Y46" s="9" t="n"/>
      <c r="Z46" t="n">
        <v>16415.53</v>
      </c>
      <c r="AA46" s="9" t="n"/>
      <c r="AB46" s="9" t="n"/>
      <c r="AC46" s="9" t="n"/>
      <c r="AD46" s="26" t="n"/>
      <c r="AE46" s="9" t="n"/>
      <c r="AF46" s="9" t="n"/>
      <c r="AG46" s="13">
        <f>SUM(B46:AF46)</f>
        <v/>
      </c>
    </row>
    <row r="47" ht="15.75" customHeight="1">
      <c r="A47" s="14" t="inlineStr">
        <is>
          <t>SANDWELL MBC  BEN-601539-69624151</t>
        </is>
      </c>
      <c r="B47" s="9" t="n"/>
      <c r="C47" s="9" t="n"/>
      <c r="D47" s="9" t="n"/>
      <c r="E47" s="9" t="n"/>
      <c r="F47" s="9" t="n"/>
      <c r="G47" s="9" t="n"/>
      <c r="H47" s="9" t="n"/>
      <c r="I47" s="9" t="n"/>
      <c r="J47" s="9" t="n"/>
      <c r="K47" s="9" t="n"/>
      <c r="L47" s="9" t="n"/>
      <c r="M47" s="9" t="n"/>
      <c r="N47" s="9" t="n"/>
      <c r="O47" s="9" t="n"/>
      <c r="P47" s="9" t="n"/>
      <c r="Q47" s="9" t="n"/>
      <c r="R47" s="9" t="n"/>
      <c r="S47" s="9" t="n"/>
      <c r="V47" s="26" t="n">
        <v>3318.24</v>
      </c>
      <c r="W47" s="9" t="n"/>
      <c r="X47" s="9" t="n"/>
      <c r="Y47" s="12" t="n"/>
      <c r="Z47" s="9" t="n"/>
      <c r="AA47" s="9" t="n"/>
      <c r="AB47" s="9" t="n"/>
      <c r="AC47" s="9" t="n"/>
      <c r="AD47" s="26" t="n"/>
      <c r="AE47" s="9" t="n"/>
      <c r="AF47" s="9" t="n"/>
      <c r="AG47" s="13">
        <f>SUM(B47:AF47)</f>
        <v/>
      </c>
    </row>
    <row r="48" ht="15.75" customHeight="1">
      <c r="A48" s="14" t="inlineStr">
        <is>
          <t>SANDWELL MBC-601539-69624135</t>
        </is>
      </c>
      <c r="B48" s="9" t="n"/>
      <c r="C48" s="9" t="n"/>
      <c r="D48" s="12" t="n"/>
      <c r="F48" s="9" t="n"/>
      <c r="G48" s="9" t="n"/>
      <c r="H48" t="n">
        <v>115446.21</v>
      </c>
      <c r="J48" s="9" t="n"/>
      <c r="K48" s="9" t="n"/>
      <c r="L48" s="9" t="n"/>
      <c r="M48" s="9" t="n"/>
      <c r="N48" s="9" t="n"/>
      <c r="O48" s="9" t="n"/>
      <c r="P48" s="9" t="n"/>
      <c r="Q48" s="9" t="n"/>
      <c r="R48" t="n">
        <v>11043.2</v>
      </c>
      <c r="S48" t="n">
        <v>112298.72</v>
      </c>
      <c r="T48" s="9" t="n"/>
      <c r="U48" s="9" t="n"/>
      <c r="V48" s="9" t="n"/>
      <c r="W48" s="9" t="n"/>
      <c r="X48" s="9" t="n"/>
      <c r="Y48" s="9" t="n"/>
      <c r="Z48" s="9" t="n"/>
      <c r="AA48" s="9" t="n"/>
      <c r="AB48" s="9" t="n"/>
      <c r="AC48" s="9" t="n"/>
      <c r="AD48" s="26" t="n"/>
      <c r="AE48" s="9" t="n"/>
      <c r="AF48" s="9" t="n"/>
      <c r="AG48" s="13">
        <f>SUM(B48:AF48)</f>
        <v/>
      </c>
    </row>
    <row r="49" ht="15.75" customHeight="1">
      <c r="A49" s="15" t="inlineStr">
        <is>
          <t>SOLIHULL MBC EXP.-200771-00561525</t>
        </is>
      </c>
      <c r="B49" s="9" t="n"/>
      <c r="C49" s="9" t="n"/>
      <c r="D49" s="9" t="n"/>
      <c r="E49" s="12" t="n"/>
      <c r="F49" s="9" t="n"/>
      <c r="G49" s="9" t="n"/>
      <c r="H49" s="9" t="n"/>
      <c r="I49" s="9" t="n"/>
      <c r="J49" s="9" t="n"/>
      <c r="K49" s="9" t="n"/>
      <c r="M49" s="9" t="n"/>
      <c r="N49" s="9" t="n"/>
      <c r="O49" t="n">
        <v>30000.6</v>
      </c>
      <c r="P49" s="9" t="n"/>
      <c r="Q49" s="9" t="n"/>
      <c r="R49" s="12" t="n"/>
      <c r="S49" s="9" t="n"/>
      <c r="T49" s="9" t="n"/>
      <c r="U49" s="9" t="n"/>
      <c r="V49" s="9" t="n"/>
      <c r="W49" s="9" t="n"/>
      <c r="X49" s="9" t="n"/>
      <c r="Y49" s="9" t="n"/>
      <c r="Z49" s="9" t="n"/>
      <c r="AA49" s="9" t="n"/>
      <c r="AB49" s="9" t="n"/>
      <c r="AC49" s="9" t="n"/>
      <c r="AD49" s="26" t="n"/>
      <c r="AE49" s="9" t="n"/>
      <c r="AF49" s="9" t="n"/>
      <c r="AG49" s="13">
        <f>SUM(B49:AF49)</f>
        <v/>
      </c>
    </row>
    <row r="50" ht="15.75" customHeight="1">
      <c r="A50" s="15" t="inlineStr">
        <is>
          <t>WALSALL MBC BARC-209073-10731692</t>
        </is>
      </c>
      <c r="B50" t="n">
        <v>176253.36</v>
      </c>
      <c r="C50" s="9" t="n"/>
      <c r="D50" s="12" t="n"/>
      <c r="E50" s="12" t="n"/>
      <c r="F50" s="9" t="n"/>
      <c r="G50" s="12" t="n"/>
      <c r="H50" s="9" t="n"/>
      <c r="I50" s="9" t="n"/>
      <c r="J50" s="9" t="n"/>
      <c r="K50" s="9" t="n"/>
      <c r="L50" s="9" t="n"/>
      <c r="M50" s="9" t="n"/>
      <c r="N50" s="9" t="n"/>
      <c r="O50" s="9" t="n"/>
      <c r="P50" s="9" t="n"/>
      <c r="Q50" s="9" t="n"/>
      <c r="R50" s="9" t="n"/>
      <c r="S50" s="9" t="n"/>
      <c r="U50" s="9" t="n"/>
      <c r="V50" s="9" t="n"/>
      <c r="W50" s="9" t="n"/>
      <c r="X50" s="9" t="n"/>
      <c r="Y50" s="12" t="n"/>
      <c r="Z50" s="9" t="n"/>
      <c r="AA50" s="9" t="n"/>
      <c r="AB50" s="9" t="n"/>
      <c r="AD50" s="31" t="n">
        <v>197972.21</v>
      </c>
      <c r="AE50" s="9" t="n"/>
      <c r="AG50" s="13">
        <f>SUM(B50:AF50)</f>
        <v/>
      </c>
    </row>
    <row r="51" ht="15.75" customHeight="1">
      <c r="A51" s="15" t="inlineStr">
        <is>
          <t>WOLVERHAMPTON CC-560069-44470320</t>
        </is>
      </c>
      <c r="B51" s="9" t="n"/>
      <c r="C51" s="9" t="n"/>
      <c r="D51" s="9" t="n"/>
      <c r="E51" t="n">
        <v>103582.88</v>
      </c>
      <c r="F51" s="9" t="n"/>
      <c r="G51" s="9" t="n"/>
      <c r="H51" s="9" t="n"/>
      <c r="I51" s="9" t="n"/>
      <c r="J51" s="9" t="n"/>
      <c r="K51" t="n">
        <v>103970.82</v>
      </c>
      <c r="L51" s="9" t="n"/>
      <c r="M51" s="9" t="n"/>
      <c r="N51" s="9" t="n"/>
      <c r="O51" s="9" t="n"/>
      <c r="P51" s="9" t="n"/>
      <c r="Q51" s="9" t="n"/>
      <c r="R51" t="n">
        <v>102456.94</v>
      </c>
      <c r="S51" s="9" t="n"/>
      <c r="U51" s="9" t="n"/>
      <c r="W51" s="9" t="n"/>
      <c r="Y51" s="26" t="n">
        <v>104747.82</v>
      </c>
      <c r="AA51" s="9" t="n"/>
      <c r="AB51" s="9" t="n"/>
      <c r="AC51" s="9" t="n"/>
      <c r="AD51" s="26" t="n"/>
      <c r="AE51" s="9" t="n"/>
      <c r="AF51" s="9" t="n"/>
      <c r="AG51" s="13">
        <f>SUM(B51:AF51)</f>
        <v/>
      </c>
    </row>
    <row r="52" ht="15.75" customHeight="1">
      <c r="A52" s="15" t="inlineStr">
        <is>
          <t>TLC</t>
        </is>
      </c>
      <c r="B52" s="9" t="n"/>
      <c r="C52" s="9" t="n"/>
      <c r="D52" s="12" t="n"/>
      <c r="E52" s="12" t="n"/>
      <c r="F52" s="9" t="n"/>
      <c r="G52" s="9" t="n"/>
      <c r="H52" s="9" t="n"/>
      <c r="I52" s="9" t="n"/>
      <c r="J52" t="n">
        <v>10611.83</v>
      </c>
      <c r="K52" s="9" t="n"/>
      <c r="L52" s="12" t="n"/>
      <c r="M52" s="12" t="n"/>
      <c r="N52" s="9" t="n"/>
      <c r="O52" s="12" t="n"/>
      <c r="P52" s="12" t="n"/>
      <c r="Q52" s="9" t="n"/>
      <c r="R52" s="9" t="n"/>
      <c r="S52" t="n">
        <v>14214.68</v>
      </c>
      <c r="T52" s="9" t="n"/>
      <c r="U52" s="9" t="n"/>
      <c r="V52" s="9" t="n"/>
      <c r="W52" s="12" t="n"/>
      <c r="X52" s="9" t="n"/>
      <c r="Y52" s="9" t="n"/>
      <c r="Z52" s="9" t="n"/>
      <c r="AA52" s="9" t="n"/>
      <c r="AB52" s="9" t="n"/>
      <c r="AC52" t="n">
        <v>6188</v>
      </c>
      <c r="AD52" s="9" t="n"/>
      <c r="AE52" s="9" t="n"/>
      <c r="AF52" s="9" t="n"/>
      <c r="AG52" s="13">
        <f>SUM(B52:AF52)</f>
        <v/>
      </c>
    </row>
    <row r="53" ht="15.75" customHeight="1">
      <c r="A53" s="15" t="inlineStr">
        <is>
          <t>HB SC</t>
        </is>
      </c>
      <c r="B53" s="16" t="n">
        <v>149169.6</v>
      </c>
      <c r="C53" s="16" t="n">
        <v>2682.58</v>
      </c>
      <c r="D53" s="16" t="n">
        <v>7403.42</v>
      </c>
      <c r="E53" s="16" t="n">
        <v>215948.5399999999</v>
      </c>
      <c r="F53" s="16" t="n">
        <v>0</v>
      </c>
      <c r="G53" s="16" t="n">
        <v>0</v>
      </c>
      <c r="H53" s="16" t="n">
        <v>4911.26</v>
      </c>
      <c r="I53" s="16" t="n">
        <v>2342.27</v>
      </c>
      <c r="J53" s="16" t="n">
        <v>879.85</v>
      </c>
      <c r="K53" s="16" t="n">
        <v>1615.81</v>
      </c>
      <c r="L53" s="16" t="n">
        <v>2734.73</v>
      </c>
      <c r="M53" s="16" t="n">
        <v>20</v>
      </c>
      <c r="N53" s="16" t="n">
        <v>0</v>
      </c>
      <c r="O53" s="16" t="n">
        <v>7077.19</v>
      </c>
      <c r="P53" s="16" t="n">
        <v>4016.68</v>
      </c>
      <c r="Q53" s="16" t="n">
        <v>3231.09</v>
      </c>
      <c r="R53" s="16" t="n">
        <v>2146.54</v>
      </c>
      <c r="S53" s="16" t="n">
        <v>5776.04</v>
      </c>
      <c r="T53" s="16" t="n">
        <v>0</v>
      </c>
      <c r="U53" s="16" t="n">
        <v>0</v>
      </c>
      <c r="V53" s="16" t="n">
        <v>2746.92</v>
      </c>
      <c r="W53" s="16" t="n">
        <v>2349.66</v>
      </c>
      <c r="X53" s="16" t="n">
        <v>4203.98</v>
      </c>
      <c r="Y53" s="16" t="n">
        <v>1358.17</v>
      </c>
      <c r="Z53" s="16" t="n">
        <v>7719.5</v>
      </c>
      <c r="AA53" s="16" t="n">
        <v>0</v>
      </c>
      <c r="AB53" s="16" t="n">
        <v>150</v>
      </c>
      <c r="AC53" s="16" t="n">
        <v>0</v>
      </c>
      <c r="AD53" s="16" t="n">
        <v>6646.55</v>
      </c>
      <c r="AE53" s="16" t="n">
        <v>6308.6</v>
      </c>
      <c r="AF53" s="16" t="n">
        <v>652.3200000000001</v>
      </c>
      <c r="AG53" s="13">
        <f>SUM(B53:AF53)</f>
        <v/>
      </c>
    </row>
    <row r="54" ht="15.75" customHeight="1" thickBot="1">
      <c r="A54" s="15" t="inlineStr">
        <is>
          <t>Total</t>
        </is>
      </c>
      <c r="B54">
        <f>SUM(B36:B53)</f>
        <v/>
      </c>
      <c r="C54">
        <f>SUM(C36:C53)</f>
        <v/>
      </c>
      <c r="D54">
        <f>SUM(D36:D53)</f>
        <v/>
      </c>
      <c r="E54">
        <f>SUM(E36:E53)</f>
        <v/>
      </c>
      <c r="F54">
        <f>SUM(F36:F53)</f>
        <v/>
      </c>
      <c r="G54">
        <f>SUM(G36:G53)</f>
        <v/>
      </c>
      <c r="H54">
        <f>SUM(H36:H53)</f>
        <v/>
      </c>
      <c r="I54">
        <f>SUM(I36:I53)</f>
        <v/>
      </c>
      <c r="J54">
        <f>SUM(J36:J53)</f>
        <v/>
      </c>
      <c r="K54">
        <f>SUM(K36:K53)</f>
        <v/>
      </c>
      <c r="L54">
        <f>SUM(L36:L53)</f>
        <v/>
      </c>
      <c r="M54">
        <f>SUM(M36:M53)</f>
        <v/>
      </c>
      <c r="N54">
        <f>SUM(N36:N53)</f>
        <v/>
      </c>
      <c r="O54">
        <f>SUM(O36:O53)</f>
        <v/>
      </c>
      <c r="P54">
        <f>SUM(P36:P53)</f>
        <v/>
      </c>
      <c r="Q54">
        <f>SUM(Q36:Q53)</f>
        <v/>
      </c>
      <c r="R54">
        <f>SUM(R36:R53)</f>
        <v/>
      </c>
      <c r="S54">
        <f>SUM(S36:S53)</f>
        <v/>
      </c>
      <c r="T54">
        <f>SUM(T36:T53)</f>
        <v/>
      </c>
      <c r="U54">
        <f>SUM(U36:U53)</f>
        <v/>
      </c>
      <c r="V54">
        <f>SUM(V36:V53)</f>
        <v/>
      </c>
      <c r="W54">
        <f>SUM(W36:W53)</f>
        <v/>
      </c>
      <c r="X54">
        <f>SUM(X36:X53)</f>
        <v/>
      </c>
      <c r="Y54">
        <f>SUM(Y36:Y53)</f>
        <v/>
      </c>
      <c r="Z54">
        <f>SUM(Z36:Z53)</f>
        <v/>
      </c>
      <c r="AA54">
        <f>SUM(AA36:AA53)</f>
        <v/>
      </c>
      <c r="AB54">
        <f>SUM(AB36:AB53)</f>
        <v/>
      </c>
      <c r="AC54">
        <f>SUM(AC36:AC53)</f>
        <v/>
      </c>
      <c r="AD54">
        <f>SUM(AD36:AD53)</f>
        <v/>
      </c>
      <c r="AE54">
        <f>SUM(AE36:AE53)</f>
        <v/>
      </c>
      <c r="AF54">
        <f>SUM(AF36:AF53)</f>
        <v/>
      </c>
      <c r="AG54" s="29">
        <f>SUM(AG36:AG53)+B60+E60</f>
        <v/>
      </c>
    </row>
    <row r="55" ht="15.75" customHeight="1" thickTop="1">
      <c r="A55" s="15" t="inlineStr">
        <is>
          <t>Ruunning Total</t>
        </is>
      </c>
      <c r="B55">
        <f>B54</f>
        <v/>
      </c>
      <c r="C55">
        <f>B55+C54</f>
        <v/>
      </c>
      <c r="D55">
        <f>C55+D54</f>
        <v/>
      </c>
      <c r="E55">
        <f>D55+E54</f>
        <v/>
      </c>
      <c r="F55">
        <f>E55+F54</f>
        <v/>
      </c>
      <c r="G55">
        <f>F55+G54</f>
        <v/>
      </c>
      <c r="H55">
        <f>G55+H54</f>
        <v/>
      </c>
      <c r="I55">
        <f>H55+I54</f>
        <v/>
      </c>
      <c r="J55">
        <f>I55+J54</f>
        <v/>
      </c>
      <c r="K55">
        <f>J55+K54</f>
        <v/>
      </c>
      <c r="L55">
        <f>K55+L54</f>
        <v/>
      </c>
      <c r="M55">
        <f>L55+M54</f>
        <v/>
      </c>
      <c r="N55">
        <f>M55+N54</f>
        <v/>
      </c>
      <c r="O55">
        <f>N55+O54</f>
        <v/>
      </c>
      <c r="P55">
        <f>O55+P54</f>
        <v/>
      </c>
      <c r="Q55">
        <f>P55+Q54</f>
        <v/>
      </c>
      <c r="R55">
        <f>Q55+R54</f>
        <v/>
      </c>
      <c r="S55">
        <f>R55+S54</f>
        <v/>
      </c>
      <c r="T55">
        <f>S55+T54</f>
        <v/>
      </c>
      <c r="U55">
        <f>T55+U54</f>
        <v/>
      </c>
      <c r="V55">
        <f>U55+V54</f>
        <v/>
      </c>
      <c r="W55">
        <f>V55+W54</f>
        <v/>
      </c>
      <c r="X55">
        <f>W55+X54</f>
        <v/>
      </c>
      <c r="Y55">
        <f>X55+Y54</f>
        <v/>
      </c>
      <c r="Z55">
        <f>Y55+Z54</f>
        <v/>
      </c>
      <c r="AA55">
        <f>Z55+AA54</f>
        <v/>
      </c>
      <c r="AB55">
        <f>AA55+AB54</f>
        <v/>
      </c>
      <c r="AC55">
        <f>AB55+AC54</f>
        <v/>
      </c>
      <c r="AD55">
        <f>AC55+AD54</f>
        <v/>
      </c>
      <c r="AE55">
        <f>AD55+AE54</f>
        <v/>
      </c>
      <c r="AF55">
        <f>AE55+AF54</f>
        <v/>
      </c>
    </row>
    <row r="56" ht="15.75" customHeight="1">
      <c r="A56" s="8" t="inlineStr">
        <is>
          <t>Above or Bellow forecast Total</t>
        </is>
      </c>
      <c r="B56" s="17">
        <f>B55-B23</f>
        <v/>
      </c>
      <c r="C56" s="17">
        <f>C55-C23</f>
        <v/>
      </c>
      <c r="D56" s="17">
        <f>D55-D23</f>
        <v/>
      </c>
      <c r="E56" s="17">
        <f>E55-E23</f>
        <v/>
      </c>
      <c r="F56" s="17">
        <f>F55-F23</f>
        <v/>
      </c>
      <c r="G56" s="17">
        <f>G55-G23</f>
        <v/>
      </c>
      <c r="H56" s="17">
        <f>H55-H23</f>
        <v/>
      </c>
      <c r="I56" s="17">
        <f>I55-I23</f>
        <v/>
      </c>
      <c r="J56" s="17">
        <f>J55-J23</f>
        <v/>
      </c>
      <c r="K56" s="17">
        <f>K55-K23</f>
        <v/>
      </c>
      <c r="L56" s="17">
        <f>L55-L23</f>
        <v/>
      </c>
      <c r="M56" s="17">
        <f>M55-M23</f>
        <v/>
      </c>
      <c r="N56" s="17">
        <f>N55-N23</f>
        <v/>
      </c>
      <c r="O56" s="17">
        <f>O55-O23</f>
        <v/>
      </c>
      <c r="P56" s="17">
        <f>P55-P23</f>
        <v/>
      </c>
      <c r="Q56" s="17">
        <f>Q55-Q23</f>
        <v/>
      </c>
      <c r="R56" s="17">
        <f>R55-R23</f>
        <v/>
      </c>
      <c r="S56" s="17">
        <f>S55-S23</f>
        <v/>
      </c>
      <c r="T56" s="17">
        <f>T55-T23</f>
        <v/>
      </c>
      <c r="U56" s="17">
        <f>U55-U23</f>
        <v/>
      </c>
      <c r="V56" s="17">
        <f>V55-V23</f>
        <v/>
      </c>
      <c r="W56" s="17">
        <f>W55-W23</f>
        <v/>
      </c>
      <c r="X56" s="17">
        <f>X55-X23</f>
        <v/>
      </c>
      <c r="Y56" s="17">
        <f>Y55-Y23</f>
        <v/>
      </c>
      <c r="Z56" s="17">
        <f>Z55-Z23</f>
        <v/>
      </c>
      <c r="AA56" s="17">
        <f>AA55-AA23</f>
        <v/>
      </c>
      <c r="AB56" s="17">
        <f>AB55-AB23</f>
        <v/>
      </c>
      <c r="AC56" s="17">
        <f>AC55-AC23</f>
        <v/>
      </c>
      <c r="AD56" s="17">
        <f>AD55-AD23</f>
        <v/>
      </c>
      <c r="AE56" s="17">
        <f>AE55-AE23</f>
        <v/>
      </c>
      <c r="AF56" s="17">
        <f>AF55-AF23</f>
        <v/>
      </c>
    </row>
    <row r="57" ht="18.75" customHeight="1">
      <c r="A57" s="8" t="inlineStr">
        <is>
          <t>Money out</t>
        </is>
      </c>
      <c r="B57" s="18" t="n">
        <v>-223750.15</v>
      </c>
      <c r="C57" s="18" t="n">
        <v>-21554.2</v>
      </c>
      <c r="D57" s="18" t="n">
        <v>-3943.92</v>
      </c>
      <c r="E57" s="18" t="n">
        <v>-360409.4</v>
      </c>
      <c r="F57" s="18" t="n">
        <v>0</v>
      </c>
      <c r="G57" s="18" t="n">
        <v>0</v>
      </c>
      <c r="H57" s="18" t="n">
        <v>-56143.08000000001</v>
      </c>
      <c r="I57" s="18" t="n">
        <v>-389.71</v>
      </c>
      <c r="J57" s="18" t="n">
        <v>-26.88</v>
      </c>
      <c r="K57" s="18" t="n">
        <v>-1310</v>
      </c>
      <c r="L57" s="18" t="n">
        <v>-62362.77</v>
      </c>
      <c r="M57" s="18" t="n">
        <v>0</v>
      </c>
      <c r="N57" s="18" t="n">
        <v>0</v>
      </c>
      <c r="O57" s="18" t="n">
        <v>-15246.78</v>
      </c>
      <c r="P57" s="18" t="n">
        <v>-23951.86</v>
      </c>
      <c r="Q57" s="18" t="n">
        <v>-3335.84</v>
      </c>
      <c r="R57" s="18" t="n">
        <v>-21893.71</v>
      </c>
      <c r="S57" s="18" t="n">
        <v>-18520.34</v>
      </c>
      <c r="T57" s="18" t="n">
        <v>0</v>
      </c>
      <c r="U57" s="18" t="n">
        <v>0</v>
      </c>
      <c r="V57" s="19" t="n">
        <v>-10253.69</v>
      </c>
      <c r="W57" s="13" t="n">
        <v>-7693.92</v>
      </c>
      <c r="X57" s="18" t="n">
        <v>-14856.66</v>
      </c>
      <c r="Y57" s="18" t="n">
        <v>-14679.31</v>
      </c>
      <c r="Z57" s="18" t="n">
        <v>-9657.400000000001</v>
      </c>
      <c r="AA57" s="18" t="n">
        <v>0</v>
      </c>
      <c r="AB57" s="18" t="n">
        <v>0</v>
      </c>
      <c r="AC57" s="18" t="n">
        <v>-571.25</v>
      </c>
      <c r="AD57" s="18" t="n">
        <v>-104125.91</v>
      </c>
      <c r="AE57" s="13" t="n">
        <v>-6628.94</v>
      </c>
      <c r="AF57" s="13" t="n">
        <v>-731699.3100000001</v>
      </c>
      <c r="AH57" s="25">
        <f>SUM(B57:AG57)-B60-E60</f>
        <v/>
      </c>
    </row>
    <row r="58" ht="16.5" customHeight="1" thickBot="1">
      <c r="A58" s="20" t="inlineStr">
        <is>
          <t>Balance in Bank at the end of the day</t>
        </is>
      </c>
      <c r="B58" s="21">
        <f>2942.83+B54+B57</f>
        <v/>
      </c>
      <c r="C58" s="21">
        <f>B58+C54+C57</f>
        <v/>
      </c>
      <c r="D58" s="21">
        <f>C58+D54+D57</f>
        <v/>
      </c>
      <c r="E58" s="21">
        <f>D58+E54+E57</f>
        <v/>
      </c>
      <c r="F58" s="21">
        <f>E58+F54+F57</f>
        <v/>
      </c>
      <c r="G58" s="21">
        <f>F58+G54+G57</f>
        <v/>
      </c>
      <c r="H58" s="21">
        <f>G58+H54+H57</f>
        <v/>
      </c>
      <c r="I58" s="21">
        <f>H58+I54+I57</f>
        <v/>
      </c>
      <c r="J58" s="21">
        <f>I58+J54+J57</f>
        <v/>
      </c>
      <c r="K58" s="21">
        <f>J58+K54+K57</f>
        <v/>
      </c>
      <c r="L58" s="21">
        <f>K58+L54+L57</f>
        <v/>
      </c>
      <c r="M58" s="21">
        <f>L58+M54+M57</f>
        <v/>
      </c>
      <c r="N58" s="21">
        <f>M58+N54+N57</f>
        <v/>
      </c>
      <c r="O58" s="21">
        <f>N58+O54+O57</f>
        <v/>
      </c>
      <c r="P58" s="21">
        <f>O58+P54+P57</f>
        <v/>
      </c>
      <c r="Q58" s="21">
        <f>P58+Q54+Q57</f>
        <v/>
      </c>
      <c r="R58" s="21">
        <f>Q58+R54+R57</f>
        <v/>
      </c>
      <c r="S58" s="21">
        <f>R58+S54+S57</f>
        <v/>
      </c>
      <c r="T58" s="21">
        <f>S58+T54+T57</f>
        <v/>
      </c>
      <c r="U58" s="21">
        <f>T58+U54+U57</f>
        <v/>
      </c>
      <c r="V58" s="21">
        <f>U58+V54+V57</f>
        <v/>
      </c>
      <c r="W58" s="21">
        <f>V58+W54+W57</f>
        <v/>
      </c>
      <c r="X58" s="21">
        <f>W58+X54+X57</f>
        <v/>
      </c>
      <c r="Y58" s="21">
        <f>X58+Y54+Y57</f>
        <v/>
      </c>
      <c r="Z58" s="21">
        <f>Y58+Z54+Z57</f>
        <v/>
      </c>
      <c r="AA58" s="21">
        <f>Z58+AA54+AA57</f>
        <v/>
      </c>
      <c r="AB58" s="21">
        <f>AA58+AB54+AB57</f>
        <v/>
      </c>
      <c r="AC58" s="21">
        <f>AB58+AC54+AC57</f>
        <v/>
      </c>
      <c r="AD58" s="21">
        <f>AC58+AD54+AD57</f>
        <v/>
      </c>
      <c r="AE58" s="21">
        <f>AD58+AE54+AE57</f>
        <v/>
      </c>
      <c r="AF58" s="21">
        <f>AE58+AF54+AF57</f>
        <v/>
      </c>
      <c r="AG58" s="22">
        <f>SUM(AG35:AG57)</f>
        <v/>
      </c>
    </row>
    <row r="59" ht="15.75" customHeight="1" thickTop="1"/>
    <row r="60">
      <c r="B60" t="n">
        <v>-144298.65</v>
      </c>
      <c r="E60" t="n">
        <v>-174428.36</v>
      </c>
    </row>
    <row r="62">
      <c r="AD62">
        <f>H62</f>
        <v/>
      </c>
    </row>
  </sheetData>
  <conditionalFormatting sqref="B56:AF56">
    <cfRule type="cellIs" priority="1" operator="greaterThan" dxfId="2">
      <formula>0</formula>
    </cfRule>
    <cfRule type="cellIs" priority="2" operator="lessThan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2">
    <outlinePr summaryBelow="1" summaryRight="1"/>
    <pageSetUpPr fitToPage="1"/>
  </sheetPr>
  <dimension ref="A1:AG64"/>
  <sheetViews>
    <sheetView zoomScale="70" zoomScaleNormal="70" workbookViewId="0">
      <pane xSplit="1" topLeftCell="I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2.5703125" bestFit="1" customWidth="1" min="2" max="4"/>
    <col width="13" bestFit="1" customWidth="1" min="5" max="5"/>
    <col width="13.42578125" bestFit="1" customWidth="1" min="6" max="6"/>
    <col width="13.140625" bestFit="1" customWidth="1" min="7" max="7"/>
    <col width="13.5703125" bestFit="1" customWidth="1" min="8" max="18"/>
    <col width="14.85546875" bestFit="1" customWidth="1" min="19" max="19"/>
    <col width="12.5703125" bestFit="1" customWidth="1" min="20" max="20"/>
    <col width="13.140625" bestFit="1" customWidth="1" min="21" max="21"/>
    <col width="12.5703125" bestFit="1" customWidth="1" min="22" max="26"/>
    <col width="13.5703125" bestFit="1" customWidth="1" min="27" max="32"/>
    <col width="14.85546875" bestFit="1" customWidth="1" min="33" max="33"/>
  </cols>
  <sheetData>
    <row r="1">
      <c r="A1" s="1" t="n"/>
      <c r="B1" s="2" t="inlineStr">
        <is>
          <t>Sept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</row>
    <row r="2">
      <c r="A2" s="1" t="n"/>
      <c r="B2" s="2" t="inlineStr">
        <is>
          <t>Friday</t>
        </is>
      </c>
      <c r="C2" s="2" t="inlineStr">
        <is>
          <t>Saturday</t>
        </is>
      </c>
      <c r="D2" s="2" t="inlineStr">
        <is>
          <t>Sunday</t>
        </is>
      </c>
      <c r="E2" s="2" t="inlineStr">
        <is>
          <t>Monday</t>
        </is>
      </c>
      <c r="F2" s="2" t="inlineStr">
        <is>
          <t>Tuesday</t>
        </is>
      </c>
      <c r="G2" s="2" t="inlineStr">
        <is>
          <t>Wednesday</t>
        </is>
      </c>
      <c r="H2" s="2" t="inlineStr">
        <is>
          <t>Thursday</t>
        </is>
      </c>
      <c r="I2" s="2" t="inlineStr">
        <is>
          <t>Friday</t>
        </is>
      </c>
      <c r="J2" s="2" t="inlineStr">
        <is>
          <t>Saturday</t>
        </is>
      </c>
      <c r="K2" s="2" t="inlineStr">
        <is>
          <t>Sunday</t>
        </is>
      </c>
      <c r="L2" s="2" t="inlineStr">
        <is>
          <t>Monday</t>
        </is>
      </c>
      <c r="M2" s="2" t="inlineStr">
        <is>
          <t>Tuesday</t>
        </is>
      </c>
      <c r="N2" s="2" t="inlineStr">
        <is>
          <t>Wednesday</t>
        </is>
      </c>
      <c r="O2" s="2" t="inlineStr">
        <is>
          <t>Thursday</t>
        </is>
      </c>
      <c r="P2" s="2" t="inlineStr">
        <is>
          <t>Friday</t>
        </is>
      </c>
      <c r="Q2" s="2" t="inlineStr">
        <is>
          <t>Saturday</t>
        </is>
      </c>
      <c r="R2" s="2" t="inlineStr">
        <is>
          <t>Sunday</t>
        </is>
      </c>
      <c r="S2" s="2" t="inlineStr">
        <is>
          <t>Monday</t>
        </is>
      </c>
      <c r="T2" s="2" t="inlineStr">
        <is>
          <t>Tuesday</t>
        </is>
      </c>
      <c r="U2" s="2" t="inlineStr">
        <is>
          <t>Wednesday</t>
        </is>
      </c>
      <c r="V2" s="2" t="inlineStr">
        <is>
          <t>Thursday</t>
        </is>
      </c>
      <c r="W2" s="2" t="inlineStr">
        <is>
          <t>Friday</t>
        </is>
      </c>
      <c r="X2" s="2" t="inlineStr">
        <is>
          <t>Saturday</t>
        </is>
      </c>
      <c r="Y2" s="2" t="inlineStr">
        <is>
          <t>Sunday</t>
        </is>
      </c>
      <c r="Z2" s="2" t="inlineStr">
        <is>
          <t>Monday</t>
        </is>
      </c>
      <c r="AA2" s="2" t="inlineStr">
        <is>
          <t>Tuesday</t>
        </is>
      </c>
      <c r="AB2" s="2" t="inlineStr">
        <is>
          <t>Wednesday</t>
        </is>
      </c>
      <c r="AC2" s="2" t="inlineStr">
        <is>
          <t>Thursday</t>
        </is>
      </c>
      <c r="AD2" s="2" t="inlineStr">
        <is>
          <t>Friday</t>
        </is>
      </c>
      <c r="AE2" s="2" t="inlineStr">
        <is>
          <t>Saturday</t>
        </is>
      </c>
      <c r="AF2" s="2" t="n"/>
      <c r="AG2" s="2" t="inlineStr">
        <is>
          <t>Total</t>
        </is>
      </c>
    </row>
    <row r="3">
      <c r="A3" s="1" t="n"/>
      <c r="B3" s="7" t="inlineStr">
        <is>
          <t>1st</t>
        </is>
      </c>
      <c r="C3" s="7" t="inlineStr">
        <is>
          <t>2nd</t>
        </is>
      </c>
      <c r="D3" s="7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3" t="inlineStr">
        <is>
          <t>25th</t>
        </is>
      </c>
      <c r="AA3" s="3" t="inlineStr">
        <is>
          <t>26th</t>
        </is>
      </c>
      <c r="AB3" s="3" t="inlineStr">
        <is>
          <t>27th</t>
        </is>
      </c>
      <c r="AC3" s="3" t="inlineStr">
        <is>
          <t>28th</t>
        </is>
      </c>
      <c r="AD3" s="3" t="inlineStr">
        <is>
          <t>29th</t>
        </is>
      </c>
      <c r="AE3" s="3" t="inlineStr">
        <is>
          <t>30th</t>
        </is>
      </c>
      <c r="AF3" s="3" t="n"/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9" t="n"/>
      <c r="E4" s="9" t="n"/>
      <c r="F4" s="9" t="n"/>
      <c r="G4" s="12" t="n"/>
      <c r="H4" s="12" t="n"/>
      <c r="I4" s="12" t="n"/>
      <c r="J4" s="12" t="n"/>
      <c r="K4" s="12" t="n"/>
      <c r="L4" s="12" t="n"/>
      <c r="M4" t="n">
        <v>66705.44</v>
      </c>
      <c r="N4" s="9" t="n"/>
      <c r="O4" s="12" t="n"/>
      <c r="P4" s="9" t="n"/>
      <c r="Q4" s="12" t="n"/>
      <c r="R4" s="9" t="n"/>
      <c r="S4" s="12" t="n"/>
      <c r="T4" s="12" t="n"/>
      <c r="U4" s="10" t="n"/>
      <c r="V4" s="11" t="n"/>
      <c r="W4" s="9" t="n"/>
      <c r="Y4" s="9" t="n"/>
      <c r="Z4" s="9" t="n"/>
      <c r="AA4" s="9" t="n"/>
      <c r="AB4" s="9" t="n"/>
      <c r="AC4" t="n">
        <v>5041.28</v>
      </c>
      <c r="AD4" s="9" t="n"/>
      <c r="AE4" s="9" t="n"/>
      <c r="AF4" s="9" t="n"/>
      <c r="AG4" s="13">
        <f>SUM(B4:AF4)</f>
        <v/>
      </c>
    </row>
    <row r="5" ht="18.75" customHeight="1">
      <c r="A5" s="8" t="inlineStr">
        <is>
          <t>Accord/Age uk</t>
        </is>
      </c>
      <c r="B5" s="9" t="n"/>
      <c r="C5" s="9" t="n"/>
      <c r="D5" s="9" t="n"/>
      <c r="E5" s="9" t="n"/>
      <c r="F5" s="9" t="n"/>
      <c r="G5" s="12" t="n"/>
      <c r="H5" s="12" t="n"/>
      <c r="I5" s="12" t="n"/>
      <c r="J5" s="12" t="n"/>
      <c r="K5" s="12" t="n"/>
      <c r="L5" s="12" t="n"/>
      <c r="M5" s="11" t="n"/>
      <c r="N5" s="9" t="n"/>
      <c r="O5" s="12" t="n"/>
      <c r="P5" s="26" t="n">
        <v>2402.4</v>
      </c>
      <c r="Q5" s="12" t="n"/>
      <c r="R5" s="11" t="n"/>
      <c r="S5" s="12" t="n"/>
      <c r="T5" s="11" t="n"/>
      <c r="U5" s="9" t="n"/>
      <c r="V5" s="12" t="n"/>
      <c r="W5" s="9" t="n"/>
      <c r="X5" s="12" t="n"/>
      <c r="Y5" s="9" t="n"/>
      <c r="Z5" s="9" t="n"/>
      <c r="AA5" s="9" t="n"/>
      <c r="AB5" s="9" t="n"/>
      <c r="AC5" s="9" t="n"/>
      <c r="AD5" s="12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9" t="n"/>
      <c r="C6" s="9" t="n"/>
      <c r="D6" s="9" t="n"/>
      <c r="E6" t="n">
        <v>4937.64</v>
      </c>
      <c r="F6" s="9" t="n"/>
      <c r="G6" s="9" t="n"/>
      <c r="I6" s="9" t="n"/>
      <c r="J6" s="9" t="n"/>
      <c r="K6" s="9" t="n"/>
      <c r="L6" s="9" t="n"/>
      <c r="M6" s="9" t="n"/>
      <c r="N6" s="12" t="n"/>
      <c r="O6" s="12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>
        <v>9737.6</v>
      </c>
      <c r="AG7" s="13">
        <f>SUM(B7:AE7)</f>
        <v/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>
        <v>17960.95</v>
      </c>
      <c r="AG8" s="13">
        <f>SUM(B8:AE8)</f>
        <v/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G9" s="13">
        <f>SUM(B9:AE9)</f>
        <v/>
      </c>
    </row>
    <row r="10" ht="18.75" customHeight="1">
      <c r="A10" s="8" t="inlineStr">
        <is>
          <t>Ideal for All Ltd</t>
        </is>
      </c>
      <c r="B10" s="9" t="n"/>
      <c r="C10" s="9" t="n"/>
      <c r="D10" s="9" t="n"/>
      <c r="E10" s="9" t="n"/>
      <c r="F10" s="9" t="n"/>
      <c r="G10" s="9" t="n"/>
      <c r="H10" s="12" t="n"/>
      <c r="I10" s="12" t="n"/>
      <c r="J10" s="11" t="n"/>
      <c r="K10" s="9" t="n"/>
      <c r="L10" t="n">
        <v>3661.88</v>
      </c>
      <c r="M10" s="11" t="n"/>
      <c r="N10" s="12" t="n"/>
      <c r="O10" s="11" t="n"/>
      <c r="P10" s="12" t="n">
        <v>1553.28</v>
      </c>
      <c r="Q10" s="12" t="n"/>
      <c r="R10" s="11" t="n"/>
      <c r="S10" s="12" t="n"/>
      <c r="T10" s="9" t="n"/>
      <c r="U10" s="11" t="n"/>
      <c r="V10" s="12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12" t="n"/>
      <c r="N11" s="9" t="n"/>
      <c r="O11" s="9" t="n"/>
      <c r="P11" s="12" t="n"/>
      <c r="Q11" s="9" t="n"/>
      <c r="R11" s="9" t="n"/>
      <c r="S11" s="12" t="n"/>
      <c r="T11" s="9" t="n"/>
      <c r="U11" s="9" t="n"/>
      <c r="V11" t="n">
        <v>5554.89</v>
      </c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12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9" t="n"/>
      <c r="C12" s="9" t="n"/>
      <c r="D12" s="9" t="n"/>
      <c r="E12" s="9" t="n"/>
      <c r="F12" s="9" t="n"/>
      <c r="G12" s="9" t="n"/>
      <c r="H12" s="12" t="n"/>
      <c r="I12" s="9" t="n"/>
      <c r="J12" s="9" t="n"/>
      <c r="K12" s="9" t="n"/>
      <c r="L12" s="9" t="n"/>
      <c r="M12" s="9" t="n"/>
      <c r="N12" t="n">
        <v>5040</v>
      </c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12" t="n">
        <v>14224.01</v>
      </c>
      <c r="M13" s="9" t="n"/>
      <c r="N13" s="9" t="n"/>
      <c r="O13" s="9" t="n"/>
      <c r="P13" s="9" t="n"/>
      <c r="Q13" s="9" t="n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E14" s="9" t="n"/>
      <c r="F14" s="9" t="n"/>
      <c r="G14" s="9" t="n"/>
      <c r="H14" s="9" t="n"/>
      <c r="J14" s="9" t="n"/>
      <c r="K14" s="12" t="n"/>
      <c r="L14" s="9" t="n"/>
      <c r="M14" s="9" t="n"/>
      <c r="N14" s="9" t="n"/>
      <c r="O14" s="12" t="n">
        <v>13625.17</v>
      </c>
      <c r="P14" s="9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12" t="n">
        <v>3685.52</v>
      </c>
      <c r="T15" s="9" t="n"/>
      <c r="U15" s="9" t="n"/>
      <c r="V15" s="12" t="n"/>
      <c r="W15" s="9" t="n"/>
      <c r="X15" s="9" t="n"/>
      <c r="Y15" s="12" t="n"/>
      <c r="Z15" s="9" t="n"/>
      <c r="AA15" s="9" t="n"/>
      <c r="AB15" s="9" t="n"/>
      <c r="AC15" s="9" t="n"/>
      <c r="AD15" s="9" t="n"/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9" t="n"/>
      <c r="C16" s="9" t="n"/>
      <c r="D16" s="12" t="n"/>
      <c r="E16" s="9" t="n">
        <v>193352.55</v>
      </c>
      <c r="F16" s="9" t="n"/>
      <c r="H16" s="9" t="n"/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>
        <f>115000-35000</f>
        <v/>
      </c>
      <c r="T16" s="9" t="n"/>
      <c r="U16" s="9" t="n"/>
      <c r="V16" s="9" t="n"/>
      <c r="X16" s="9" t="n"/>
      <c r="Y16" s="9" t="n"/>
      <c r="Z16" s="9" t="n">
        <v>40000</v>
      </c>
      <c r="AA16" s="9" t="n"/>
      <c r="AB16" s="9" t="n"/>
      <c r="AC16" s="9" t="n"/>
      <c r="AD16" s="9" t="n"/>
      <c r="AE16" s="9" t="n"/>
      <c r="AF16" s="9" t="n"/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12" t="n"/>
      <c r="F17" s="9" t="n"/>
      <c r="G17" s="9" t="n"/>
      <c r="H17" s="9" t="n"/>
      <c r="I17" s="9" t="n"/>
      <c r="J17" s="9" t="n"/>
      <c r="K17" s="9" t="n"/>
      <c r="L17" s="12" t="n">
        <v>3030.53</v>
      </c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9" t="n"/>
      <c r="C18" s="9" t="n"/>
      <c r="D18" s="12" t="n"/>
      <c r="E18" s="12" t="n"/>
      <c r="F18" s="9" t="n"/>
      <c r="G18" s="12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12" t="n"/>
      <c r="Z18" s="9" t="n">
        <v>19948.02</v>
      </c>
      <c r="AA18" s="9" t="n">
        <v>158000</v>
      </c>
      <c r="AB18" s="9" t="n"/>
      <c r="AD18" s="9" t="n"/>
      <c r="AE18" s="9" t="n"/>
      <c r="AF18" s="12" t="n"/>
      <c r="AG18" s="13">
        <f>SUM(B18:AF18)</f>
        <v/>
      </c>
    </row>
    <row r="19" ht="15.75" customHeight="1">
      <c r="A19" s="15" t="inlineStr">
        <is>
          <t>WOLVERHAMPTON CC-560069-44470320</t>
        </is>
      </c>
      <c r="B19" s="9" t="n">
        <v>103000</v>
      </c>
      <c r="C19" s="9" t="n"/>
      <c r="D19" s="9" t="n"/>
      <c r="E19" s="9" t="n"/>
      <c r="F19" s="9" t="n"/>
      <c r="G19" s="9" t="n"/>
      <c r="H19" s="9" t="n">
        <v>103000</v>
      </c>
      <c r="I19" s="9" t="n"/>
      <c r="J19" s="9" t="n"/>
      <c r="K19" s="9" t="n"/>
      <c r="L19" s="9" t="n"/>
      <c r="M19" s="9" t="n"/>
      <c r="N19" s="9" t="n"/>
      <c r="O19" s="9" t="n">
        <v>103000</v>
      </c>
      <c r="P19" s="9" t="n"/>
      <c r="Q19" s="9" t="n"/>
      <c r="R19" s="9" t="n"/>
      <c r="S19" s="9" t="n"/>
      <c r="T19" s="9" t="n"/>
      <c r="U19" s="9" t="n"/>
      <c r="V19" s="9" t="n">
        <v>103000</v>
      </c>
      <c r="W19" s="9" t="n"/>
      <c r="X19" s="9" t="n"/>
      <c r="Y19" s="9" t="n"/>
      <c r="Z19" s="9" t="n"/>
      <c r="AA19" s="9" t="n"/>
      <c r="AB19" s="9" t="n"/>
      <c r="AC19" s="9" t="n">
        <v>103000</v>
      </c>
      <c r="AD19" s="9" t="n">
        <v>45000</v>
      </c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B20" s="9" t="n"/>
      <c r="C20" s="9" t="n"/>
      <c r="D20" s="12" t="n"/>
      <c r="E20" s="12" t="n">
        <v>1300</v>
      </c>
      <c r="F20" s="9" t="n"/>
      <c r="G20" s="9" t="n"/>
      <c r="H20" s="9" t="n"/>
      <c r="I20" s="9" t="n"/>
      <c r="J20" s="9" t="n"/>
      <c r="K20" s="9" t="n"/>
      <c r="L20" s="12" t="n">
        <v>7320</v>
      </c>
      <c r="M20" s="12" t="n"/>
      <c r="N20" s="9" t="n"/>
      <c r="O20" s="12" t="n"/>
      <c r="P20" s="12" t="n"/>
      <c r="Q20" s="9" t="n"/>
      <c r="R20" s="9" t="n"/>
      <c r="S20" s="12" t="n">
        <v>7440</v>
      </c>
      <c r="T20" s="9" t="n"/>
      <c r="U20" s="9" t="n"/>
      <c r="V20" s="9" t="n"/>
      <c r="W20" s="9" t="n">
        <v>256</v>
      </c>
      <c r="X20" s="9" t="n"/>
      <c r="Y20" s="9" t="n"/>
      <c r="Z20" s="9" t="n"/>
      <c r="AA20" s="9" t="n"/>
      <c r="AB20" s="9" t="n"/>
      <c r="AC20" s="12" t="n"/>
      <c r="AD20" s="9" t="n"/>
      <c r="AE20" s="9" t="n"/>
      <c r="AF20" s="9" t="n"/>
      <c r="AG20" s="13">
        <f>SUM(B20:AF20)</f>
        <v/>
      </c>
    </row>
    <row r="21" ht="15.75" customHeight="1">
      <c r="A21" s="15" t="inlineStr">
        <is>
          <t>HB SC</t>
        </is>
      </c>
      <c r="B21" s="16" t="n">
        <v>2350</v>
      </c>
      <c r="C21" s="16" t="n">
        <v>2350</v>
      </c>
      <c r="D21" s="16" t="n">
        <v>2350</v>
      </c>
      <c r="E21" s="16" t="n">
        <v>2350</v>
      </c>
      <c r="F21" s="16" t="n">
        <v>2350</v>
      </c>
      <c r="G21" s="16" t="n">
        <v>2350</v>
      </c>
      <c r="H21" s="16" t="n">
        <v>2350</v>
      </c>
      <c r="I21" s="16" t="n">
        <v>2350</v>
      </c>
      <c r="J21" s="16" t="n">
        <v>2350</v>
      </c>
      <c r="K21" s="16" t="n">
        <v>2350</v>
      </c>
      <c r="L21" s="16" t="n">
        <v>2350</v>
      </c>
      <c r="M21" s="16" t="n">
        <v>2350</v>
      </c>
      <c r="N21" s="16" t="n">
        <v>2350</v>
      </c>
      <c r="O21" s="16" t="n">
        <v>2350</v>
      </c>
      <c r="P21" s="16" t="n">
        <v>2350</v>
      </c>
      <c r="Q21" s="16" t="n">
        <v>2350</v>
      </c>
      <c r="R21" s="16" t="n">
        <v>2350</v>
      </c>
      <c r="S21" s="16" t="n">
        <v>2350</v>
      </c>
      <c r="T21" s="16" t="n">
        <v>2350</v>
      </c>
      <c r="U21" s="16" t="n">
        <v>2350</v>
      </c>
      <c r="V21" s="16" t="n">
        <v>2350</v>
      </c>
      <c r="W21" s="16" t="n">
        <v>2350</v>
      </c>
      <c r="X21" s="16" t="n">
        <v>2350</v>
      </c>
      <c r="Y21" s="16" t="n">
        <v>2350</v>
      </c>
      <c r="Z21" s="16" t="n">
        <v>2350</v>
      </c>
      <c r="AA21" s="16" t="n">
        <v>2350</v>
      </c>
      <c r="AB21" s="16" t="n">
        <v>2350</v>
      </c>
      <c r="AC21" s="16" t="n">
        <v>2350</v>
      </c>
      <c r="AD21" s="16" t="n">
        <v>2350</v>
      </c>
      <c r="AE21" s="16" t="n">
        <v>2350</v>
      </c>
      <c r="AF21" s="16" t="n"/>
      <c r="AG21" s="13">
        <f>SUM(B21:AF21)</f>
        <v/>
      </c>
    </row>
    <row r="22" ht="15.7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>
        <f>SUM(E4:E21)</f>
        <v/>
      </c>
      <c r="F22">
        <f>SUM(F4:F21)</f>
        <v/>
      </c>
      <c r="G22">
        <f>SUM(G4:G21)</f>
        <v/>
      </c>
      <c r="H22">
        <f>SUM(H4:H21)</f>
        <v/>
      </c>
      <c r="I22">
        <f>SUM(I4:I21)</f>
        <v/>
      </c>
      <c r="J22">
        <f>SUM(J4:J21)</f>
        <v/>
      </c>
      <c r="K22">
        <f>SUM(K4:K21)</f>
        <v/>
      </c>
      <c r="L22">
        <f>SUM(L4:L21)</f>
        <v/>
      </c>
      <c r="M22">
        <f>SUM(M4:M21)</f>
        <v/>
      </c>
      <c r="N22">
        <f>SUM(N4:N21)</f>
        <v/>
      </c>
      <c r="O22">
        <f>SUM(O4:O21)</f>
        <v/>
      </c>
      <c r="P22">
        <f>SUM(P4:P21)</f>
        <v/>
      </c>
      <c r="Q22">
        <f>SUM(Q4:Q21)</f>
        <v/>
      </c>
      <c r="R22">
        <f>SUM(R4:R21)</f>
        <v/>
      </c>
      <c r="S22">
        <f>SUM(S4:S21)</f>
        <v/>
      </c>
      <c r="T22">
        <f>SUM(T4:T21)</f>
        <v/>
      </c>
      <c r="U22">
        <f>SUM(U4:U21)</f>
        <v/>
      </c>
      <c r="V22">
        <f>SUM(V4:V21)</f>
        <v/>
      </c>
      <c r="W22">
        <f>SUM(W4:W21)</f>
        <v/>
      </c>
      <c r="X22">
        <f>SUM(X4:X21)</f>
        <v/>
      </c>
      <c r="Y22">
        <f>SUM(Y4:Y21)</f>
        <v/>
      </c>
      <c r="Z22">
        <f>SUM(Z4:Z21)</f>
        <v/>
      </c>
      <c r="AA22">
        <f>SUM(AA4:AA21)</f>
        <v/>
      </c>
      <c r="AB22">
        <f>SUM(AB4:AB21)</f>
        <v/>
      </c>
      <c r="AC22">
        <f>SUM(AC4:AC21)</f>
        <v/>
      </c>
      <c r="AD22">
        <f>SUM(AD4:AD21)</f>
        <v/>
      </c>
      <c r="AE22">
        <f>SUM(AE4:AE21)</f>
        <v/>
      </c>
      <c r="AF22">
        <f>SUM(AF4:AF21)</f>
        <v/>
      </c>
      <c r="AG22" s="29">
        <f>SUM(AG4:AG21)</f>
        <v/>
      </c>
    </row>
    <row r="23" ht="15.75" customHeight="1" thickTop="1">
      <c r="A23" s="15" t="inlineStr">
        <is>
          <t>Ruunning Total</t>
        </is>
      </c>
      <c r="B23">
        <f>B22</f>
        <v/>
      </c>
      <c r="C23">
        <f>B23+C22</f>
        <v/>
      </c>
      <c r="D23">
        <f>C23+D22</f>
        <v/>
      </c>
      <c r="E23">
        <f>D23+E22</f>
        <v/>
      </c>
      <c r="F23">
        <f>E23+F22</f>
        <v/>
      </c>
      <c r="G23">
        <f>F23+G22</f>
        <v/>
      </c>
      <c r="H23">
        <f>G23+H22</f>
        <v/>
      </c>
      <c r="I23">
        <f>H23+I22</f>
        <v/>
      </c>
      <c r="J23">
        <f>I23+J22</f>
        <v/>
      </c>
      <c r="K23">
        <f>J23+K22</f>
        <v/>
      </c>
      <c r="L23">
        <f>K23+L22</f>
        <v/>
      </c>
      <c r="M23">
        <f>L23+M22</f>
        <v/>
      </c>
      <c r="N23">
        <f>M23+N22</f>
        <v/>
      </c>
      <c r="O23">
        <f>N23+O22</f>
        <v/>
      </c>
      <c r="P23">
        <f>O23+P22</f>
        <v/>
      </c>
      <c r="Q23">
        <f>P23+Q22</f>
        <v/>
      </c>
      <c r="R23">
        <f>Q23+R22</f>
        <v/>
      </c>
      <c r="S23">
        <f>R23+S22</f>
        <v/>
      </c>
      <c r="T23">
        <f>S23+T22</f>
        <v/>
      </c>
      <c r="U23">
        <f>T23+U22</f>
        <v/>
      </c>
      <c r="V23">
        <f>U23+V22</f>
        <v/>
      </c>
      <c r="W23">
        <f>V23+W22</f>
        <v/>
      </c>
      <c r="X23">
        <f>W23+X22</f>
        <v/>
      </c>
      <c r="Y23">
        <f>X23+Y22</f>
        <v/>
      </c>
      <c r="Z23">
        <f>Y23+Z22</f>
        <v/>
      </c>
      <c r="AA23">
        <f>Z23+AA22</f>
        <v/>
      </c>
      <c r="AB23">
        <f>AA23+AB22</f>
        <v/>
      </c>
      <c r="AC23">
        <f>AB23+AC22</f>
        <v/>
      </c>
      <c r="AD23">
        <f>AC23+AD22</f>
        <v/>
      </c>
      <c r="AE23">
        <f>AD23+AE22</f>
        <v/>
      </c>
      <c r="AF23">
        <f>AE23+AF22</f>
        <v/>
      </c>
    </row>
    <row r="26">
      <c r="A26" s="1" t="n"/>
      <c r="B26" s="2" t="inlineStr">
        <is>
          <t>Sept</t>
        </is>
      </c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1" t="n"/>
      <c r="AF26" s="1" t="n"/>
    </row>
    <row r="27">
      <c r="A27" s="1" t="n"/>
      <c r="B27" s="2" t="inlineStr">
        <is>
          <t>Friday</t>
        </is>
      </c>
      <c r="C27" s="2" t="inlineStr">
        <is>
          <t>Saturday</t>
        </is>
      </c>
      <c r="D27" s="2" t="inlineStr">
        <is>
          <t>Sunday</t>
        </is>
      </c>
      <c r="E27" s="2" t="inlineStr">
        <is>
          <t>Monday</t>
        </is>
      </c>
      <c r="F27" s="2" t="inlineStr">
        <is>
          <t>Tuesday</t>
        </is>
      </c>
      <c r="G27" s="2" t="inlineStr">
        <is>
          <t>Wednesday</t>
        </is>
      </c>
      <c r="H27" s="2" t="inlineStr">
        <is>
          <t>Thursday</t>
        </is>
      </c>
      <c r="I27" s="2" t="inlineStr">
        <is>
          <t>Friday</t>
        </is>
      </c>
      <c r="J27" s="2" t="inlineStr">
        <is>
          <t>Saturday</t>
        </is>
      </c>
      <c r="K27" s="2" t="inlineStr">
        <is>
          <t>Sunday</t>
        </is>
      </c>
      <c r="L27" s="2" t="inlineStr">
        <is>
          <t>Monday</t>
        </is>
      </c>
      <c r="M27" s="2" t="inlineStr">
        <is>
          <t>Tuesday</t>
        </is>
      </c>
      <c r="N27" s="2" t="inlineStr">
        <is>
          <t>Wednesday</t>
        </is>
      </c>
      <c r="O27" s="2" t="inlineStr">
        <is>
          <t>Thursday</t>
        </is>
      </c>
      <c r="P27" s="2" t="inlineStr">
        <is>
          <t>Friday</t>
        </is>
      </c>
      <c r="Q27" s="2" t="inlineStr">
        <is>
          <t>Saturday</t>
        </is>
      </c>
      <c r="R27" s="2" t="inlineStr">
        <is>
          <t>Sunday</t>
        </is>
      </c>
      <c r="S27" s="2" t="inlineStr">
        <is>
          <t>Monday</t>
        </is>
      </c>
      <c r="T27" s="2" t="inlineStr">
        <is>
          <t>Tuesday</t>
        </is>
      </c>
      <c r="U27" s="2" t="inlineStr">
        <is>
          <t>Wednesday</t>
        </is>
      </c>
      <c r="V27" s="2" t="inlineStr">
        <is>
          <t>Thursday</t>
        </is>
      </c>
      <c r="W27" s="2" t="inlineStr">
        <is>
          <t>Friday</t>
        </is>
      </c>
      <c r="X27" s="2" t="inlineStr">
        <is>
          <t>Saturday</t>
        </is>
      </c>
      <c r="Y27" s="2" t="inlineStr">
        <is>
          <t>Sunday</t>
        </is>
      </c>
      <c r="Z27" s="2" t="inlineStr">
        <is>
          <t>Monday</t>
        </is>
      </c>
      <c r="AA27" s="2" t="inlineStr">
        <is>
          <t>Tuesday</t>
        </is>
      </c>
      <c r="AB27" s="2" t="inlineStr">
        <is>
          <t>Wednesday</t>
        </is>
      </c>
      <c r="AC27" s="2" t="inlineStr">
        <is>
          <t>Thursday</t>
        </is>
      </c>
      <c r="AD27" s="2" t="inlineStr">
        <is>
          <t>Friday</t>
        </is>
      </c>
      <c r="AE27" s="2" t="inlineStr">
        <is>
          <t>Saturday</t>
        </is>
      </c>
      <c r="AF27" s="2" t="n"/>
      <c r="AG27" s="2" t="inlineStr">
        <is>
          <t>Total</t>
        </is>
      </c>
    </row>
    <row r="28">
      <c r="A28" s="1" t="n"/>
      <c r="B28" s="7" t="n">
        <v>45170</v>
      </c>
      <c r="C28" s="7" t="n">
        <v>45171</v>
      </c>
      <c r="D28" s="7" t="n">
        <v>45172</v>
      </c>
      <c r="E28" s="54" t="n">
        <v>45173</v>
      </c>
      <c r="F28" s="54" t="n">
        <v>45174</v>
      </c>
      <c r="G28" s="54" t="n">
        <v>45175</v>
      </c>
      <c r="H28" s="54" t="n">
        <v>45176</v>
      </c>
      <c r="I28" s="54" t="n">
        <v>45177</v>
      </c>
      <c r="J28" s="54" t="n">
        <v>45178</v>
      </c>
      <c r="K28" s="54" t="n">
        <v>45179</v>
      </c>
      <c r="L28" s="55" t="n">
        <v>45180</v>
      </c>
      <c r="M28" s="55" t="n">
        <v>45181</v>
      </c>
      <c r="N28" s="55" t="n">
        <v>45182</v>
      </c>
      <c r="O28" s="55" t="n">
        <v>45183</v>
      </c>
      <c r="P28" s="55" t="n">
        <v>45184</v>
      </c>
      <c r="Q28" s="55" t="n">
        <v>45185</v>
      </c>
      <c r="R28" s="55" t="n">
        <v>45186</v>
      </c>
      <c r="S28" s="56" t="n">
        <v>45187</v>
      </c>
      <c r="T28" s="56" t="n">
        <v>45188</v>
      </c>
      <c r="U28" s="56" t="n">
        <v>45189</v>
      </c>
      <c r="V28" s="56" t="n">
        <v>45190</v>
      </c>
      <c r="W28" s="56" t="n">
        <v>45191</v>
      </c>
      <c r="X28" s="56" t="n">
        <v>45192</v>
      </c>
      <c r="Y28" s="56" t="n">
        <v>45193</v>
      </c>
      <c r="Z28" s="57" t="n">
        <v>45194</v>
      </c>
      <c r="AA28" s="57" t="n">
        <v>45195</v>
      </c>
      <c r="AB28" s="57" t="n">
        <v>45196</v>
      </c>
      <c r="AC28" s="57" t="n">
        <v>45197</v>
      </c>
      <c r="AD28" s="57" t="n">
        <v>45198</v>
      </c>
      <c r="AE28" s="57" t="n">
        <v>45199</v>
      </c>
      <c r="AF28" s="3" t="n"/>
      <c r="AG28" s="1" t="n"/>
    </row>
    <row r="29" ht="15.75" customHeight="1">
      <c r="A29" s="8" t="inlineStr">
        <is>
          <t>B-HAM CITY COUNCIL-200790-70489166</t>
        </is>
      </c>
      <c r="B29" s="9" t="n"/>
      <c r="C29" s="9" t="n"/>
      <c r="D29" s="9" t="n"/>
      <c r="E29" s="9" t="n"/>
      <c r="F29" s="9" t="n"/>
      <c r="G29" s="12" t="n"/>
      <c r="H29" s="12" t="n"/>
      <c r="I29" s="12" t="n"/>
      <c r="J29" s="12" t="n"/>
      <c r="K29" s="12" t="n"/>
      <c r="L29" s="12" t="n"/>
      <c r="N29" s="26" t="n">
        <v>65406.76</v>
      </c>
      <c r="O29" s="12" t="n"/>
      <c r="P29" s="9" t="n"/>
      <c r="Q29" s="12" t="n"/>
      <c r="R29" s="9" t="n"/>
      <c r="S29" t="n">
        <v>5018.56</v>
      </c>
      <c r="T29" s="12" t="n"/>
      <c r="U29" s="10" t="n"/>
      <c r="V29" t="n">
        <v>4856.67</v>
      </c>
      <c r="W29" s="9" t="n"/>
      <c r="Y29" s="9" t="n"/>
      <c r="Z29" s="9" t="n"/>
      <c r="AA29" s="9" t="n"/>
      <c r="AB29" s="9" t="n"/>
      <c r="AC29" t="n">
        <v>5041.28</v>
      </c>
      <c r="AD29" s="9" t="n"/>
      <c r="AE29" s="9" t="n"/>
      <c r="AF29" s="9" t="n"/>
      <c r="AG29" s="13">
        <f>SUM(B29:AF29)</f>
        <v/>
      </c>
    </row>
    <row r="30" ht="18.75" customHeight="1">
      <c r="A30" s="8" t="inlineStr">
        <is>
          <t>Accord/Age uk</t>
        </is>
      </c>
      <c r="B30" t="n">
        <v>4080</v>
      </c>
      <c r="C30" s="9" t="n"/>
      <c r="D30" s="9" t="n"/>
      <c r="E30" s="9" t="n"/>
      <c r="F30" s="9" t="n"/>
      <c r="G30" s="12" t="n"/>
      <c r="H30" s="12" t="n"/>
      <c r="I30" s="12" t="n"/>
      <c r="J30" s="12" t="n"/>
      <c r="K30" s="12" t="n"/>
      <c r="L30" s="12" t="n"/>
      <c r="M30" s="11" t="n"/>
      <c r="N30" s="9" t="n"/>
      <c r="O30" s="12" t="n"/>
      <c r="Q30" s="12" t="n"/>
      <c r="R30" s="11" t="n"/>
      <c r="S30" s="12" t="n"/>
      <c r="U30" s="9" t="n"/>
      <c r="V30" s="12" t="n"/>
      <c r="W30" s="9" t="n"/>
      <c r="X30" s="12" t="n"/>
      <c r="Y30" s="9" t="n"/>
      <c r="AA30" s="9" t="n"/>
      <c r="AC30" s="9" t="n"/>
      <c r="AD30" s="9" t="n"/>
      <c r="AE30" s="9" t="n"/>
      <c r="AF30" s="9" t="n"/>
      <c r="AG30" s="13">
        <f>SUM(B30:AF30)</f>
        <v/>
      </c>
    </row>
    <row r="31" ht="15.75" customHeight="1">
      <c r="A31" s="8" t="inlineStr">
        <is>
          <t>Buckingham</t>
        </is>
      </c>
      <c r="B31" t="n">
        <v>4937.64</v>
      </c>
      <c r="C31" s="9" t="n"/>
      <c r="D31" s="9" t="n"/>
      <c r="F31" s="9" t="n"/>
      <c r="G31" s="9" t="n"/>
      <c r="I31" s="9" t="n"/>
      <c r="J31" s="9" t="n"/>
      <c r="K31" s="9" t="n"/>
      <c r="L31" s="9" t="n"/>
      <c r="M31" s="9" t="n"/>
      <c r="N31" s="12" t="n"/>
      <c r="O31" s="12" t="n"/>
      <c r="P31" s="9" t="n"/>
      <c r="Q31" s="9" t="n"/>
      <c r="R31" s="9" t="n"/>
      <c r="S31" s="9" t="n"/>
      <c r="T31" s="9" t="n"/>
      <c r="U31" s="9" t="n"/>
      <c r="V31" s="9" t="n"/>
      <c r="W31" s="9" t="n"/>
      <c r="X31" s="9" t="n"/>
      <c r="Y31" s="9" t="n"/>
      <c r="Z31" s="9" t="n"/>
      <c r="AA31" s="9" t="n"/>
      <c r="AB31" s="9" t="n"/>
      <c r="AC31" s="9" t="n"/>
      <c r="AD31" s="9" t="n"/>
      <c r="AE31" s="9" t="n"/>
      <c r="AF31" s="9" t="n"/>
      <c r="AG31" s="13">
        <f>SUM(B31:AF31)</f>
        <v/>
      </c>
    </row>
    <row r="32" ht="15.75" customHeight="1">
      <c r="A32" s="8" t="inlineStr">
        <is>
          <t>Sandwell respite est</t>
        </is>
      </c>
      <c r="B32" t="n">
        <v>7616</v>
      </c>
      <c r="C32" s="9" t="n"/>
      <c r="D32" s="9" t="n"/>
      <c r="E32" s="9" t="n"/>
      <c r="F32" s="9" t="n"/>
      <c r="G32" s="9" t="n"/>
      <c r="H32" s="9" t="n"/>
      <c r="I32" t="n">
        <v>8161.72</v>
      </c>
      <c r="J32" s="9" t="n"/>
      <c r="K32" s="9" t="n"/>
      <c r="L32" s="9" t="n"/>
      <c r="M32" s="9" t="n"/>
      <c r="N32" s="9" t="n"/>
      <c r="O32" s="9" t="n"/>
      <c r="P32" s="9" t="n"/>
      <c r="Q32" s="9" t="n"/>
      <c r="R32" s="9" t="n"/>
      <c r="S32" s="9" t="n"/>
      <c r="T32" s="9" t="n"/>
      <c r="U32" s="9" t="n"/>
      <c r="V32" s="9" t="n"/>
      <c r="W32" s="9" t="n"/>
      <c r="X32" s="9" t="n"/>
      <c r="Y32" s="9" t="n"/>
      <c r="Z32" t="n">
        <v>7879.71</v>
      </c>
      <c r="AA32" s="9" t="n"/>
      <c r="AB32" s="9" t="n"/>
      <c r="AC32" s="9" t="n"/>
      <c r="AD32" t="n">
        <v>5277.33</v>
      </c>
      <c r="AE32" s="9" t="n"/>
      <c r="AG32" s="13">
        <f>SUM(B32:AF32)</f>
        <v/>
      </c>
    </row>
    <row r="33" ht="15.75" customHeight="1">
      <c r="A33" s="8" t="inlineStr">
        <is>
          <t xml:space="preserve">Wolverhampton respite est </t>
        </is>
      </c>
      <c r="B33" s="9" t="n"/>
      <c r="D33" s="9" t="n"/>
      <c r="E33" t="n">
        <v>2112</v>
      </c>
      <c r="F33" s="9" t="n"/>
      <c r="G33" s="9" t="n"/>
      <c r="H33" s="9" t="n"/>
      <c r="I33" s="9" t="n"/>
      <c r="J33" s="9" t="n"/>
      <c r="K33" s="9" t="n"/>
      <c r="L33" s="9" t="n"/>
      <c r="M33" s="9" t="n"/>
      <c r="N33" s="9" t="n"/>
      <c r="O33" s="9" t="n"/>
      <c r="P33" s="9" t="n"/>
      <c r="Q33" s="9" t="n"/>
      <c r="R33" s="9" t="n"/>
      <c r="S33" t="n">
        <v>11791.12</v>
      </c>
      <c r="T33" s="9" t="n"/>
      <c r="U33" s="9" t="n"/>
      <c r="V33" s="9" t="n"/>
      <c r="W33" t="n">
        <v>2631.2</v>
      </c>
      <c r="X33" s="9" t="n"/>
      <c r="Y33" s="9" t="n"/>
      <c r="Z33" s="9" t="n"/>
      <c r="AA33" s="9" t="n"/>
      <c r="AB33" s="9" t="n"/>
      <c r="AD33" s="9" t="n"/>
      <c r="AG33" s="13">
        <f>SUM(B33:AF33)</f>
        <v/>
      </c>
    </row>
    <row r="34" ht="15.75" customHeight="1">
      <c r="A34" s="8" t="inlineStr">
        <is>
          <t>Walsall Respite</t>
        </is>
      </c>
      <c r="B34" s="9" t="n"/>
      <c r="C34" s="9" t="n"/>
      <c r="D34" s="9" t="n"/>
      <c r="E34" s="9" t="n"/>
      <c r="F34" s="9" t="n"/>
      <c r="G34" t="n">
        <v>1523.2</v>
      </c>
      <c r="H34" s="9" t="n"/>
      <c r="I34" t="n">
        <v>3178.96</v>
      </c>
      <c r="J34" s="9" t="n"/>
      <c r="K34" s="9" t="n"/>
      <c r="L34" s="9" t="n"/>
      <c r="M34" s="9" t="n"/>
      <c r="N34" s="9" t="n"/>
      <c r="O34" s="9" t="n"/>
      <c r="P34" s="9" t="n"/>
      <c r="Q34" s="9" t="n"/>
      <c r="R34" s="9" t="n"/>
      <c r="S34" s="9" t="n"/>
      <c r="T34" s="9" t="n"/>
      <c r="U34" s="9" t="n"/>
      <c r="V34" t="n">
        <v>1140</v>
      </c>
      <c r="W34" s="9" t="n"/>
      <c r="X34" s="9" t="n"/>
      <c r="Y34" s="9" t="n"/>
      <c r="Z34" s="9" t="n"/>
      <c r="AA34" t="n">
        <v>21889.6</v>
      </c>
      <c r="AB34" s="9" t="n"/>
      <c r="AD34" s="9" t="n"/>
      <c r="AG34" s="13">
        <f>SUM(B34:AF34)</f>
        <v/>
      </c>
    </row>
    <row r="35" ht="18.75" customHeight="1">
      <c r="A35" s="8" t="inlineStr">
        <is>
          <t>Ideal for All Ltd</t>
        </is>
      </c>
      <c r="B35" s="9" t="n"/>
      <c r="C35" s="9" t="n"/>
      <c r="D35" s="9" t="n"/>
      <c r="E35" s="9" t="n"/>
      <c r="F35" t="n">
        <v>3144.12</v>
      </c>
      <c r="G35" s="9" t="n"/>
      <c r="H35" s="12" t="n"/>
      <c r="I35" s="12" t="n"/>
      <c r="J35" s="11" t="n"/>
      <c r="K35" s="9" t="n"/>
      <c r="M35" s="11" t="n"/>
      <c r="N35" s="12" t="n"/>
      <c r="O35" s="11" t="n"/>
      <c r="Q35" s="12" t="n"/>
      <c r="R35" s="11" t="n"/>
      <c r="S35" s="12" t="n"/>
      <c r="T35" s="9" t="n"/>
      <c r="V35" s="12" t="n"/>
      <c r="X35" s="9" t="n"/>
      <c r="Y35" s="9" t="n"/>
      <c r="Z35" s="9" t="n"/>
      <c r="AB35" s="9" t="n"/>
      <c r="AD35" s="12" t="n"/>
      <c r="AE35" s="9" t="n"/>
      <c r="AF35" s="9" t="n"/>
      <c r="AG35" s="13">
        <f>SUM(B35:AF35)</f>
        <v/>
      </c>
    </row>
    <row r="36" ht="15.75" customHeight="1">
      <c r="A36" s="8" t="inlineStr">
        <is>
          <t>KIRKLEES COUNCIL-204312-63046958</t>
        </is>
      </c>
      <c r="B36" s="9" t="n"/>
      <c r="C36" s="9" t="n"/>
      <c r="D36" s="9" t="n"/>
      <c r="E36" s="9" t="n"/>
      <c r="F36" s="9" t="n"/>
      <c r="G36" s="9" t="n"/>
      <c r="H36" s="9" t="n"/>
      <c r="I36" s="9" t="n"/>
      <c r="J36" s="9" t="n"/>
      <c r="K36" s="9" t="n"/>
      <c r="L36" s="9" t="n"/>
      <c r="M36" s="12" t="n"/>
      <c r="N36" s="9" t="n"/>
      <c r="O36" s="9" t="n"/>
      <c r="P36" s="12" t="n"/>
      <c r="Q36" s="9" t="n"/>
      <c r="R36" s="9" t="n"/>
      <c r="S36" t="n">
        <v>5375.7</v>
      </c>
      <c r="T36" s="9" t="n"/>
      <c r="U36" s="9" t="n"/>
      <c r="W36" s="9" t="n"/>
      <c r="X36" s="9" t="n"/>
      <c r="Y36" s="9" t="n"/>
      <c r="Z36" s="9" t="n"/>
      <c r="AA36" s="9" t="n"/>
      <c r="AB36" s="9" t="n"/>
      <c r="AC36" s="9" t="n"/>
      <c r="AD36" s="9" t="n"/>
      <c r="AE36" s="9" t="n"/>
      <c r="AF36" s="12" t="n"/>
      <c r="AG36" s="13">
        <f>SUM(B36:AF36)</f>
        <v/>
      </c>
    </row>
    <row r="37" ht="15.75" customHeight="1">
      <c r="A37" s="8" t="inlineStr">
        <is>
          <t>LBH PAYMENTS BACS-602210-72430192</t>
        </is>
      </c>
      <c r="B37" s="9" t="n"/>
      <c r="C37" s="9" t="n"/>
      <c r="D37" s="9" t="n"/>
      <c r="E37" s="9" t="n"/>
      <c r="F37" s="9" t="n"/>
      <c r="G37" s="9" t="n"/>
      <c r="H37" s="31" t="n">
        <v>5040</v>
      </c>
      <c r="I37" s="9" t="n"/>
      <c r="J37" s="9" t="n"/>
      <c r="K37" s="9" t="n"/>
      <c r="L37" s="9" t="n"/>
      <c r="M37" s="9" t="n"/>
      <c r="O37" s="9" t="n"/>
      <c r="P37" s="9" t="n"/>
      <c r="Q37" s="9" t="n"/>
      <c r="R37" s="9" t="n"/>
      <c r="S37" s="9" t="n"/>
      <c r="T37" s="9" t="n"/>
      <c r="U37" s="9" t="n"/>
      <c r="V37" s="9" t="n"/>
      <c r="W37" s="9" t="n"/>
      <c r="X37" s="9" t="n"/>
      <c r="Y37" s="9" t="n"/>
      <c r="Z37" s="9" t="n"/>
      <c r="AA37" s="9" t="n"/>
      <c r="AB37" s="9" t="n"/>
      <c r="AC37" s="9" t="n"/>
      <c r="AD37" s="9" t="n"/>
      <c r="AE37" s="9" t="n"/>
      <c r="AF37" s="9" t="n"/>
      <c r="AG37" s="13">
        <f>SUM(B37:AF37)</f>
        <v/>
      </c>
    </row>
    <row r="38" ht="15.75" customHeight="1">
      <c r="A38" s="8" t="inlineStr">
        <is>
          <t>NHS BIRMINGHAM &amp; S-607080-10017097</t>
        </is>
      </c>
      <c r="B38" s="9" t="n"/>
      <c r="C38" s="9" t="n"/>
      <c r="D38" s="9" t="n"/>
      <c r="E38" s="9" t="n"/>
      <c r="F38" s="9" t="n"/>
      <c r="G38" s="9" t="n"/>
      <c r="H38" s="26" t="n"/>
      <c r="I38" s="9" t="n"/>
      <c r="J38" s="9" t="n"/>
      <c r="K38" s="9" t="n"/>
      <c r="M38" s="9" t="n"/>
      <c r="N38" s="9" t="n"/>
      <c r="P38" t="n">
        <v>7121.63</v>
      </c>
      <c r="Q38" s="9" t="n"/>
      <c r="T38" s="9" t="n"/>
      <c r="U38" s="9" t="n"/>
      <c r="V38" s="9" t="n"/>
      <c r="W38" s="9" t="n"/>
      <c r="X38" s="9" t="n"/>
      <c r="Y38" s="9" t="n"/>
      <c r="Z38" s="9" t="n"/>
      <c r="AA38" s="9" t="n"/>
      <c r="AC38" s="9" t="n"/>
      <c r="AD38" t="n">
        <v>2937.6</v>
      </c>
      <c r="AE38" s="9" t="n"/>
      <c r="AF38" s="9" t="n"/>
      <c r="AG38" s="13">
        <f>SUM(B38:AF38)</f>
        <v/>
      </c>
    </row>
    <row r="39" ht="15.75" customHeight="1">
      <c r="A39" s="8" t="inlineStr">
        <is>
          <t>NHS BLACK COUNTRY-607080-10015272</t>
        </is>
      </c>
      <c r="B39" s="9" t="n"/>
      <c r="C39" s="9" t="n"/>
      <c r="D39" s="9" t="n"/>
      <c r="E39" s="9" t="n"/>
      <c r="F39" s="9" t="n"/>
      <c r="G39" s="9" t="n"/>
      <c r="H39" s="26" t="n"/>
      <c r="J39" s="9" t="n"/>
      <c r="K39" s="12" t="n"/>
      <c r="L39" s="9" t="n"/>
      <c r="M39" s="9" t="n"/>
      <c r="N39" s="9" t="n"/>
      <c r="P39" t="n">
        <v>13185.64</v>
      </c>
      <c r="Q39" s="9" t="n"/>
      <c r="S39" s="12" t="n"/>
      <c r="T39" t="n">
        <v>5331.2</v>
      </c>
      <c r="V39" s="9" t="n"/>
      <c r="W39" s="9" t="n"/>
      <c r="X39" s="9" t="n"/>
      <c r="Y39" s="9" t="n"/>
      <c r="Z39" s="9" t="n"/>
      <c r="AA39" s="9" t="n"/>
      <c r="AC39" s="9" t="n"/>
      <c r="AD39" s="9" t="n"/>
      <c r="AE39" s="9" t="n"/>
      <c r="AF39" s="9" t="n"/>
      <c r="AG39" s="13">
        <f>SUM(B39:AF39)</f>
        <v/>
      </c>
    </row>
    <row r="40" ht="15.75" customHeight="1">
      <c r="A40" s="14" t="inlineStr">
        <is>
          <t>SANDWELL MBC  BEN-601539-69624151</t>
        </is>
      </c>
      <c r="B40" s="9" t="n"/>
      <c r="C40" s="9" t="n"/>
      <c r="D40" s="9" t="n"/>
      <c r="F40" s="9" t="n"/>
      <c r="G40" s="9" t="n"/>
      <c r="H40" s="26" t="n"/>
      <c r="I40" s="9" t="n"/>
      <c r="J40" s="9" t="n"/>
      <c r="K40" s="9" t="n"/>
      <c r="L40" s="9" t="n"/>
      <c r="M40" s="9" t="n"/>
      <c r="N40" s="9" t="n"/>
      <c r="O40" s="9" t="n"/>
      <c r="P40" s="9" t="n"/>
      <c r="Q40" s="9" t="n"/>
      <c r="R40" s="9" t="n"/>
      <c r="S40" t="n">
        <v>3318.24</v>
      </c>
      <c r="T40" s="9" t="n"/>
      <c r="U40" s="9" t="n"/>
      <c r="V40" s="12" t="n"/>
      <c r="W40" s="9" t="n"/>
      <c r="X40" s="9" t="n"/>
      <c r="Y40" s="12" t="n"/>
      <c r="Z40" s="9" t="n"/>
      <c r="AA40" s="9" t="n"/>
      <c r="AB40" s="9" t="n"/>
      <c r="AC40" s="9" t="n"/>
      <c r="AD40" s="9" t="n"/>
      <c r="AE40" s="9" t="n"/>
      <c r="AF40" s="9" t="n"/>
      <c r="AG40" s="13">
        <f>SUM(B40:AF40)</f>
        <v/>
      </c>
    </row>
    <row r="41" ht="15.75" customHeight="1">
      <c r="A41" s="14" t="inlineStr">
        <is>
          <t>SANDWELL MBC-601539-69624135</t>
        </is>
      </c>
      <c r="B41" s="9" t="n"/>
      <c r="C41" s="9" t="n"/>
      <c r="D41" s="12" t="n"/>
      <c r="F41" s="26" t="n">
        <v>193352.55</v>
      </c>
      <c r="H41" s="26" t="n"/>
      <c r="J41" s="9" t="n"/>
      <c r="K41" s="9" t="n"/>
      <c r="L41" s="9" t="n"/>
      <c r="M41" s="9" t="n"/>
      <c r="N41" s="9" t="n"/>
      <c r="O41" s="9" t="n"/>
      <c r="P41" s="9" t="n"/>
      <c r="Q41" s="9" t="n"/>
      <c r="R41" s="9" t="n"/>
      <c r="S41" t="n">
        <v>116337.52</v>
      </c>
      <c r="U41" s="9" t="n"/>
      <c r="W41" s="9" t="n"/>
      <c r="X41" s="9" t="n"/>
      <c r="Z41" s="9" t="n"/>
      <c r="AA41" s="9" t="n"/>
      <c r="AB41" s="9" t="n"/>
      <c r="AC41" s="9" t="n"/>
      <c r="AD41" s="9" t="n"/>
      <c r="AE41" s="9" t="n"/>
      <c r="AG41" s="13">
        <f>SUM(B41:AF41)</f>
        <v/>
      </c>
    </row>
    <row r="42" ht="15.75" customHeight="1">
      <c r="A42" s="15" t="inlineStr">
        <is>
          <t>SOLIHULL MBC EXP.-200771-00561525</t>
        </is>
      </c>
      <c r="B42" s="9" t="n"/>
      <c r="C42" s="9" t="n"/>
      <c r="D42" s="9" t="n"/>
      <c r="E42" s="12" t="n"/>
      <c r="F42" s="9" t="n"/>
      <c r="G42" s="9" t="n"/>
      <c r="H42" s="26" t="n"/>
      <c r="I42" s="9" t="n"/>
      <c r="J42" s="9" t="n"/>
      <c r="K42" s="9" t="n"/>
      <c r="L42" t="n">
        <v>30000.6</v>
      </c>
      <c r="M42" s="9" t="n"/>
      <c r="N42" s="9" t="n"/>
      <c r="O42" s="9" t="n"/>
      <c r="P42" s="9" t="n"/>
      <c r="Q42" s="9" t="n"/>
      <c r="R42" s="12" t="n"/>
      <c r="S42" s="9" t="n"/>
      <c r="T42" s="9" t="n"/>
      <c r="U42" s="9" t="n"/>
      <c r="V42" s="9" t="n"/>
      <c r="W42" s="9" t="n"/>
      <c r="X42" s="9" t="n"/>
      <c r="Y42" s="9" t="n"/>
      <c r="Z42" s="9" t="n"/>
      <c r="AA42" s="9" t="n"/>
      <c r="AB42" s="9" t="n"/>
      <c r="AC42" s="9" t="n"/>
      <c r="AD42" s="9" t="n"/>
      <c r="AE42" s="9" t="n"/>
      <c r="AF42" s="9" t="n"/>
      <c r="AG42" s="13">
        <f>SUM(B42:AF42)</f>
        <v/>
      </c>
    </row>
    <row r="43" ht="15.75" customHeight="1">
      <c r="A43" s="15" t="inlineStr">
        <is>
          <t>WALSALL MBC BARC-209073-10731692</t>
        </is>
      </c>
      <c r="B43" s="9" t="n"/>
      <c r="C43" s="9" t="n"/>
      <c r="D43" s="12" t="n"/>
      <c r="E43" s="12" t="n"/>
      <c r="F43" s="9" t="n"/>
      <c r="G43" s="12" t="n"/>
      <c r="H43" s="26" t="n"/>
      <c r="I43" s="9" t="n"/>
      <c r="J43" s="9" t="n"/>
      <c r="K43" s="9" t="n"/>
      <c r="L43" s="9" t="n"/>
      <c r="M43" s="9" t="n"/>
      <c r="N43" s="9" t="n"/>
      <c r="O43" s="9" t="n"/>
      <c r="P43" s="9" t="n"/>
      <c r="Q43" s="9" t="n"/>
      <c r="R43" s="9" t="n"/>
      <c r="S43" s="9" t="n"/>
      <c r="T43" s="9" t="n"/>
      <c r="U43" s="9" t="n"/>
      <c r="V43" s="9" t="n"/>
      <c r="W43" s="9" t="n"/>
      <c r="X43" s="9" t="n"/>
      <c r="Y43" s="12" t="n"/>
      <c r="AA43" s="31" t="n">
        <v>173794.49</v>
      </c>
      <c r="AB43" s="9" t="n"/>
      <c r="AD43" s="9" t="n"/>
      <c r="AE43" s="9" t="n"/>
      <c r="AF43" s="12" t="n"/>
      <c r="AG43" s="13">
        <f>SUM(B43:AF43)</f>
        <v/>
      </c>
    </row>
    <row r="44" ht="15.75" customHeight="1">
      <c r="A44" s="15" t="inlineStr">
        <is>
          <t>WOLVERHAMPTON CC-560069-44470320</t>
        </is>
      </c>
      <c r="B44" t="n">
        <v>104566.88</v>
      </c>
      <c r="C44" s="9" t="n"/>
      <c r="D44" s="9" t="n"/>
      <c r="E44" s="9" t="n"/>
      <c r="F44" s="9" t="n"/>
      <c r="G44" s="9" t="n"/>
      <c r="H44" s="26" t="n">
        <v>104873.82</v>
      </c>
      <c r="I44" s="9" t="n"/>
      <c r="J44" s="9" t="n"/>
      <c r="K44" s="9" t="n"/>
      <c r="L44" s="9" t="n"/>
      <c r="M44" s="9" t="n"/>
      <c r="N44" s="9" t="n"/>
      <c r="O44" s="26" t="n">
        <v>102722.82</v>
      </c>
      <c r="P44" s="9" t="n"/>
      <c r="Q44" s="9" t="n"/>
      <c r="R44" s="9" t="n"/>
      <c r="T44" s="9" t="n"/>
      <c r="U44" s="9" t="n"/>
      <c r="V44" s="25" t="n">
        <v>104702.82</v>
      </c>
      <c r="W44" t="n">
        <v>26854.5</v>
      </c>
      <c r="Y44" s="9" t="n"/>
      <c r="Z44" s="16" t="n">
        <v>3009.12</v>
      </c>
      <c r="AA44" s="25" t="n">
        <v>40981.09</v>
      </c>
      <c r="AC44" s="26" t="n">
        <v>108072.5</v>
      </c>
      <c r="AE44" s="9" t="n"/>
      <c r="AF44" s="9" t="n"/>
      <c r="AG44" s="13">
        <f>SUM(B44:AF44)</f>
        <v/>
      </c>
    </row>
    <row r="45" ht="15.75" customHeight="1">
      <c r="A45" s="15" t="inlineStr">
        <is>
          <t>TLC</t>
        </is>
      </c>
      <c r="B45" s="9" t="n"/>
      <c r="C45" s="9" t="n"/>
      <c r="D45" s="12" t="n"/>
      <c r="E45" t="n">
        <v>8711.93</v>
      </c>
      <c r="F45" t="n">
        <v>1504.2</v>
      </c>
      <c r="G45" s="9" t="n"/>
      <c r="H45" s="26" t="n">
        <v>1444.52</v>
      </c>
      <c r="I45" s="9" t="n"/>
      <c r="J45" s="9" t="n"/>
      <c r="K45" s="9" t="n"/>
      <c r="L45" s="12" t="n"/>
      <c r="M45" s="12" t="n"/>
      <c r="N45" s="9" t="n"/>
      <c r="O45" s="12" t="n"/>
      <c r="P45" s="12" t="n"/>
      <c r="Q45" s="9" t="n"/>
      <c r="R45" s="9" t="n"/>
      <c r="T45" t="n">
        <v>8861.700000000001</v>
      </c>
      <c r="V45" s="9" t="n"/>
      <c r="Y45" s="9" t="n"/>
      <c r="Z45" s="9" t="n"/>
      <c r="AA45" t="n">
        <v>7735</v>
      </c>
      <c r="AB45" s="12" t="n"/>
      <c r="AC45" s="12" t="n"/>
      <c r="AD45" s="9" t="n"/>
      <c r="AE45" s="9" t="n"/>
      <c r="AF45" s="9" t="n"/>
      <c r="AG45" s="13">
        <f>SUM(B45:AF45)</f>
        <v/>
      </c>
    </row>
    <row r="46" ht="15.75" customHeight="1">
      <c r="A46" s="15" t="inlineStr">
        <is>
          <t>HB SC</t>
        </is>
      </c>
      <c r="B46" s="16" t="n">
        <v>5205.19</v>
      </c>
      <c r="C46" s="16" t="n">
        <v>0</v>
      </c>
      <c r="D46" s="16" t="n">
        <v>0</v>
      </c>
      <c r="E46" s="16" t="n">
        <v>188565.17</v>
      </c>
      <c r="F46" s="16" t="n">
        <v>6512.25</v>
      </c>
      <c r="G46" s="16" t="n">
        <v>3766.68</v>
      </c>
      <c r="H46" s="16" t="n">
        <v>3974.773</v>
      </c>
      <c r="I46" s="16" t="n">
        <v>2715.76</v>
      </c>
      <c r="J46" s="16" t="n">
        <v>0</v>
      </c>
      <c r="K46" s="16" t="n">
        <v>207</v>
      </c>
      <c r="L46" s="16" t="n">
        <v>7009.389999999999</v>
      </c>
      <c r="M46" s="16" t="n">
        <v>2421.51</v>
      </c>
      <c r="N46" s="16" t="n">
        <v>1706.48</v>
      </c>
      <c r="O46" s="16" t="n">
        <v>1586.789999999994</v>
      </c>
      <c r="P46" s="16">
        <f>7322.34+460.6</f>
        <v/>
      </c>
      <c r="Q46" s="16" t="n">
        <v>291.6</v>
      </c>
      <c r="R46" s="16" t="n">
        <v>140</v>
      </c>
      <c r="S46" s="16" t="n">
        <v>3918.670000000028</v>
      </c>
      <c r="T46" s="16" t="n">
        <v>1903.67</v>
      </c>
      <c r="U46" t="n">
        <v>2811.05</v>
      </c>
      <c r="V46" s="16" t="n">
        <v>1440.84</v>
      </c>
      <c r="W46" s="16" t="n">
        <v>4897.899999999999</v>
      </c>
      <c r="X46" s="16" t="n">
        <v>0</v>
      </c>
      <c r="Y46" s="16" t="n">
        <v>0</v>
      </c>
      <c r="Z46" s="16" t="n">
        <v>6300.38</v>
      </c>
      <c r="AA46" s="16" t="n">
        <v>3309.07</v>
      </c>
      <c r="AB46" s="16" t="n">
        <v>8423.02</v>
      </c>
      <c r="AC46" s="16" t="n">
        <v>4017.09</v>
      </c>
      <c r="AD46" s="16" t="n">
        <v>13330.5</v>
      </c>
      <c r="AE46" s="16" t="n">
        <v>0</v>
      </c>
      <c r="AF46" s="16" t="n"/>
      <c r="AG46" s="13">
        <f>SUM(B46:AF46)</f>
        <v/>
      </c>
    </row>
    <row r="47" ht="15.75" customHeight="1" thickBot="1">
      <c r="A47" s="53" t="inlineStr">
        <is>
          <t>Total</t>
        </is>
      </c>
      <c r="B47" s="29">
        <f>SUM(B29:B46)</f>
        <v/>
      </c>
      <c r="C47" s="29">
        <f>SUM(C29:C46)</f>
        <v/>
      </c>
      <c r="D47" s="29">
        <f>SUM(D29:D46)</f>
        <v/>
      </c>
      <c r="E47" s="29">
        <f>SUM(E29:E46)</f>
        <v/>
      </c>
      <c r="F47" s="29">
        <f>SUM(F29:F46)</f>
        <v/>
      </c>
      <c r="G47" s="29">
        <f>SUM(G29:G46)</f>
        <v/>
      </c>
      <c r="H47" s="29">
        <f>SUM(H29:H46)</f>
        <v/>
      </c>
      <c r="I47" s="29">
        <f>SUM(I29:I46)</f>
        <v/>
      </c>
      <c r="J47" s="29">
        <f>SUM(J29:J46)</f>
        <v/>
      </c>
      <c r="K47" s="29">
        <f>SUM(K29:K46)</f>
        <v/>
      </c>
      <c r="L47" s="29">
        <f>SUM(L29:L46)</f>
        <v/>
      </c>
      <c r="M47" s="29">
        <f>SUM(M29:M46)</f>
        <v/>
      </c>
      <c r="N47" s="29">
        <f>SUM(N29:N46)</f>
        <v/>
      </c>
      <c r="O47" s="29">
        <f>SUM(O29:O46)</f>
        <v/>
      </c>
      <c r="P47" s="29">
        <f>SUM(P29:P46)</f>
        <v/>
      </c>
      <c r="Q47" s="29">
        <f>SUM(Q29:Q46)</f>
        <v/>
      </c>
      <c r="R47" s="29">
        <f>SUM(R29:R46)</f>
        <v/>
      </c>
      <c r="S47" s="29">
        <f>SUM(S29:S46)</f>
        <v/>
      </c>
      <c r="T47" s="29">
        <f>SUM(T29:T46)</f>
        <v/>
      </c>
      <c r="U47" s="29">
        <f>SUM(U29:U46)</f>
        <v/>
      </c>
      <c r="V47" s="29">
        <f>SUM(V29:V46)</f>
        <v/>
      </c>
      <c r="W47" s="29">
        <f>SUM(W29:W46)</f>
        <v/>
      </c>
      <c r="X47" s="29">
        <f>SUM(X29:X46)</f>
        <v/>
      </c>
      <c r="Y47" s="29">
        <f>SUM(Y29:Y46)</f>
        <v/>
      </c>
      <c r="Z47" s="29">
        <f>SUM(Z29:Z46)</f>
        <v/>
      </c>
      <c r="AA47" s="29">
        <f>SUM(AA29:AA46)</f>
        <v/>
      </c>
      <c r="AB47" s="29">
        <f>SUM(AB29:AB46)</f>
        <v/>
      </c>
      <c r="AC47" s="29">
        <f>SUM(AC29:AC46)</f>
        <v/>
      </c>
      <c r="AD47" s="29">
        <f>SUM(AD29:AD46)</f>
        <v/>
      </c>
      <c r="AE47" s="29">
        <f>SUM(AE29:AE46)</f>
        <v/>
      </c>
      <c r="AF47" s="29" t="n"/>
      <c r="AG47" s="29">
        <f>SUM(AG29:AG46)+F53</f>
        <v/>
      </c>
    </row>
    <row r="48" ht="15.75" customHeight="1" thickTop="1">
      <c r="A48" s="15" t="inlineStr">
        <is>
          <t>Ruunning Total</t>
        </is>
      </c>
      <c r="B48">
        <f>B47</f>
        <v/>
      </c>
      <c r="C48">
        <f>B48+C47</f>
        <v/>
      </c>
      <c r="D48">
        <f>C48+D47</f>
        <v/>
      </c>
      <c r="E48">
        <f>D48+E47</f>
        <v/>
      </c>
      <c r="F48">
        <f>E48+F47</f>
        <v/>
      </c>
      <c r="G48">
        <f>F48+G47</f>
        <v/>
      </c>
      <c r="H48">
        <f>G48+H47</f>
        <v/>
      </c>
      <c r="I48">
        <f>H48+I47</f>
        <v/>
      </c>
      <c r="J48">
        <f>I48+J47</f>
        <v/>
      </c>
      <c r="K48">
        <f>J48+K47</f>
        <v/>
      </c>
      <c r="L48">
        <f>K48+L47</f>
        <v/>
      </c>
      <c r="M48">
        <f>L48+M47</f>
        <v/>
      </c>
      <c r="N48">
        <f>M48+N47</f>
        <v/>
      </c>
      <c r="O48">
        <f>N48+O47</f>
        <v/>
      </c>
      <c r="P48">
        <f>O48+P47</f>
        <v/>
      </c>
      <c r="Q48">
        <f>P48+Q47</f>
        <v/>
      </c>
      <c r="R48">
        <f>Q48+R47</f>
        <v/>
      </c>
      <c r="S48">
        <f>R48+S47</f>
        <v/>
      </c>
      <c r="T48">
        <f>S48+T47</f>
        <v/>
      </c>
      <c r="U48">
        <f>T48+U47</f>
        <v/>
      </c>
      <c r="V48">
        <f>U48+V47</f>
        <v/>
      </c>
      <c r="W48">
        <f>V48+W47</f>
        <v/>
      </c>
      <c r="X48">
        <f>W48+X47</f>
        <v/>
      </c>
      <c r="Y48">
        <f>X48+Y47</f>
        <v/>
      </c>
      <c r="Z48">
        <f>Y48+Z47</f>
        <v/>
      </c>
      <c r="AA48">
        <f>Z48+AA47</f>
        <v/>
      </c>
      <c r="AB48">
        <f>AA48+AB47</f>
        <v/>
      </c>
      <c r="AC48">
        <f>AB48+AC47</f>
        <v/>
      </c>
      <c r="AD48">
        <f>AC48+AD47</f>
        <v/>
      </c>
      <c r="AE48">
        <f>AD48+AE47</f>
        <v/>
      </c>
    </row>
    <row r="49" ht="15.75" customHeight="1">
      <c r="A49" s="8" t="inlineStr">
        <is>
          <t>Above or Bellow forecast Total</t>
        </is>
      </c>
      <c r="B49" s="17">
        <f>B48-B23</f>
        <v/>
      </c>
      <c r="C49" s="17">
        <f>C48-C23</f>
        <v/>
      </c>
      <c r="D49" s="17">
        <f>D48-D23</f>
        <v/>
      </c>
      <c r="E49" s="17">
        <f>E48-E23</f>
        <v/>
      </c>
      <c r="F49" s="17">
        <f>F48-F23</f>
        <v/>
      </c>
      <c r="G49" s="17">
        <f>G48-G23</f>
        <v/>
      </c>
      <c r="H49" s="17">
        <f>H48-H23</f>
        <v/>
      </c>
      <c r="I49" s="17">
        <f>I48-I23</f>
        <v/>
      </c>
      <c r="J49" s="17">
        <f>J48-J23</f>
        <v/>
      </c>
      <c r="K49" s="17">
        <f>K48-K23</f>
        <v/>
      </c>
      <c r="L49" s="17">
        <f>L48-L23</f>
        <v/>
      </c>
      <c r="M49" s="17">
        <f>M48-M23</f>
        <v/>
      </c>
      <c r="N49" s="17">
        <f>N48-N23</f>
        <v/>
      </c>
      <c r="O49" s="17">
        <f>O48-O23</f>
        <v/>
      </c>
      <c r="P49" s="17">
        <f>P48-P23</f>
        <v/>
      </c>
      <c r="Q49" s="17">
        <f>Q48-Q23</f>
        <v/>
      </c>
      <c r="R49" s="17">
        <f>R48-R23</f>
        <v/>
      </c>
      <c r="S49" s="17">
        <f>S48-S23</f>
        <v/>
      </c>
      <c r="T49" s="17">
        <f>T48-T23</f>
        <v/>
      </c>
      <c r="U49" s="17">
        <f>U48-U23</f>
        <v/>
      </c>
      <c r="V49" s="17">
        <f>V48-V23</f>
        <v/>
      </c>
      <c r="W49" s="17">
        <f>W48-W23</f>
        <v/>
      </c>
      <c r="X49" s="17">
        <f>X48-X23</f>
        <v/>
      </c>
      <c r="Y49" s="17">
        <f>Y48-Y23</f>
        <v/>
      </c>
      <c r="Z49" s="17">
        <f>Z48-Z23</f>
        <v/>
      </c>
      <c r="AA49" s="17">
        <f>AA48-AA23</f>
        <v/>
      </c>
      <c r="AB49" s="17">
        <f>AB48-AB23</f>
        <v/>
      </c>
      <c r="AC49" s="17">
        <f>AC48-AC23</f>
        <v/>
      </c>
      <c r="AD49" s="17">
        <f>AD48-AD23</f>
        <v/>
      </c>
      <c r="AE49" s="17">
        <f>AE48-AE23</f>
        <v/>
      </c>
      <c r="AF49" s="17" t="n"/>
    </row>
    <row r="50" ht="18.75" customHeight="1">
      <c r="A50" s="8" t="inlineStr">
        <is>
          <t>Money out</t>
        </is>
      </c>
      <c r="B50" s="18" t="n">
        <v>-62504.89</v>
      </c>
      <c r="C50" s="18" t="n">
        <v>0</v>
      </c>
      <c r="D50" s="18" t="n">
        <v>0</v>
      </c>
      <c r="E50" s="18" t="n">
        <v>-188338.97</v>
      </c>
      <c r="F50" s="18" t="n">
        <v>-36666</v>
      </c>
      <c r="G50" s="18" t="n">
        <v>-180920.08</v>
      </c>
      <c r="H50" s="18" t="n">
        <v>-3133.56</v>
      </c>
      <c r="I50" s="18" t="n">
        <v>-451.84</v>
      </c>
      <c r="J50" s="18" t="n">
        <v>0</v>
      </c>
      <c r="K50" s="18" t="n">
        <v>0</v>
      </c>
      <c r="L50" s="18" t="n">
        <v>-4277.92</v>
      </c>
      <c r="M50" s="18" t="n">
        <v>-8683.959999999999</v>
      </c>
      <c r="N50" s="18" t="n">
        <v>-3603.64</v>
      </c>
      <c r="O50" s="18" t="n">
        <v>-96.19</v>
      </c>
      <c r="P50" s="18" t="n">
        <v>-65368.55</v>
      </c>
      <c r="Q50" s="18" t="n">
        <v>0</v>
      </c>
      <c r="R50" s="18" t="n">
        <v>0</v>
      </c>
      <c r="S50" s="18" t="n">
        <v>-22679.71</v>
      </c>
      <c r="T50" s="18" t="n">
        <v>-8859.129999999999</v>
      </c>
      <c r="U50" s="18" t="n">
        <v>-22231.08</v>
      </c>
      <c r="V50" s="19" t="n">
        <v>-6463.21</v>
      </c>
      <c r="W50" s="13" t="n">
        <v>-26928.75</v>
      </c>
      <c r="X50" s="18" t="n">
        <v>0</v>
      </c>
      <c r="Y50" s="18" t="n">
        <v>0</v>
      </c>
      <c r="Z50" s="18" t="n">
        <v>-33021.28999999999</v>
      </c>
      <c r="AA50" s="18" t="n">
        <v>-65526.21</v>
      </c>
      <c r="AB50" s="18" t="n">
        <v>-5016.05</v>
      </c>
      <c r="AC50" s="18" t="n">
        <v>-2217.81</v>
      </c>
      <c r="AD50" s="18" t="n">
        <v>-714225.9</v>
      </c>
      <c r="AE50" s="13" t="n">
        <v>0</v>
      </c>
      <c r="AF50" s="13" t="n"/>
      <c r="AG50" s="25" t="n"/>
    </row>
    <row r="51" ht="16.5" customHeight="1" thickBot="1">
      <c r="A51" s="20" t="inlineStr">
        <is>
          <t>Balance in Bank at the end of the day</t>
        </is>
      </c>
      <c r="B51" s="21" t="n">
        <v>74236.60000000001</v>
      </c>
      <c r="C51" s="21">
        <f>B51+C47+C50</f>
        <v/>
      </c>
      <c r="D51" s="21">
        <f>C51+D47+D50</f>
        <v/>
      </c>
      <c r="E51" s="21">
        <f>D51+E47+E50</f>
        <v/>
      </c>
      <c r="F51" s="21">
        <f>E51+F47+F50</f>
        <v/>
      </c>
      <c r="G51" s="21">
        <f>F51+G47+G50</f>
        <v/>
      </c>
      <c r="H51" s="21">
        <f>G51+H47+H50</f>
        <v/>
      </c>
      <c r="I51" s="21">
        <f>H51+I47+I50</f>
        <v/>
      </c>
      <c r="J51" s="21">
        <f>I51+J47+J50</f>
        <v/>
      </c>
      <c r="K51" s="21">
        <f>J51+K47+L50</f>
        <v/>
      </c>
      <c r="L51" s="21">
        <f>K51+L47+M50</f>
        <v/>
      </c>
      <c r="M51" s="21">
        <f>L51+M47+N50</f>
        <v/>
      </c>
      <c r="N51" s="21">
        <f>M51+N47+O50</f>
        <v/>
      </c>
      <c r="O51" s="21">
        <f>N51+O47+P50</f>
        <v/>
      </c>
      <c r="P51" s="21">
        <f>O51+P47+Q50</f>
        <v/>
      </c>
      <c r="Q51" s="21">
        <f>P51+Q47+R50</f>
        <v/>
      </c>
      <c r="R51" s="21">
        <f>Q51+R47+R50</f>
        <v/>
      </c>
      <c r="S51" s="21">
        <f>R51+S47+S50</f>
        <v/>
      </c>
      <c r="T51" s="21">
        <f>S51+T47+T50</f>
        <v/>
      </c>
      <c r="U51" s="21">
        <f>T51+U47+U50</f>
        <v/>
      </c>
      <c r="V51" s="21">
        <f>U51+V47+V50</f>
        <v/>
      </c>
      <c r="W51" s="21">
        <f>V51+W47+W50</f>
        <v/>
      </c>
      <c r="X51" s="21">
        <f>W51+X47+X50</f>
        <v/>
      </c>
      <c r="Y51" s="21">
        <f>X51+Y47+Y50</f>
        <v/>
      </c>
      <c r="Z51" s="21">
        <f>Y51+Z47+Z50</f>
        <v/>
      </c>
      <c r="AA51" s="21">
        <f>Z51+AA47+AA50</f>
        <v/>
      </c>
      <c r="AB51" s="21">
        <f>AA51+AB47+AB50</f>
        <v/>
      </c>
      <c r="AC51" s="21">
        <f>AB51+AC47+AC50</f>
        <v/>
      </c>
      <c r="AD51" s="21">
        <f>AC51+AD47+AD50</f>
        <v/>
      </c>
      <c r="AE51" s="21">
        <f>AD51+AE47+AE50</f>
        <v/>
      </c>
      <c r="AF51" s="21" t="n"/>
      <c r="AG51" s="22" t="n"/>
    </row>
    <row r="52" ht="15.75" customHeight="1" thickTop="1"/>
    <row r="53">
      <c r="A53" s="51" t="inlineStr">
        <is>
          <t>Chasing</t>
        </is>
      </c>
      <c r="E53" t="inlineStr">
        <is>
          <t>unpaid DD</t>
        </is>
      </c>
      <c r="F53" t="n">
        <v>-180767.69</v>
      </c>
      <c r="P53" s="25" t="n"/>
      <c r="U53" s="25" t="n"/>
    </row>
    <row r="54">
      <c r="A54" t="inlineStr">
        <is>
          <t>Birmingham</t>
        </is>
      </c>
      <c r="B54" t="n">
        <v>5104.2</v>
      </c>
      <c r="P54" s="25" t="n"/>
      <c r="U54" s="25" t="n"/>
    </row>
    <row r="55">
      <c r="A55" t="inlineStr">
        <is>
          <t>Nhs Birmingham</t>
        </is>
      </c>
      <c r="B55" t="n">
        <v>2273.17</v>
      </c>
    </row>
    <row r="56">
      <c r="A56" t="inlineStr">
        <is>
          <t>Nhs black country</t>
        </is>
      </c>
      <c r="B56" t="n">
        <v>27706.32</v>
      </c>
    </row>
    <row r="57">
      <c r="A57" t="inlineStr">
        <is>
          <t>Sandwell</t>
        </is>
      </c>
      <c r="B57" t="n">
        <v>25844.1</v>
      </c>
    </row>
    <row r="58">
      <c r="A58" s="52" t="inlineStr">
        <is>
          <t xml:space="preserve">Walsall </t>
        </is>
      </c>
    </row>
    <row r="59">
      <c r="A59" t="inlineStr">
        <is>
          <t>Wolverhampton</t>
        </is>
      </c>
    </row>
    <row r="60" ht="15.75" customHeight="1" thickBot="1">
      <c r="A60" s="50" t="inlineStr">
        <is>
          <t>Total</t>
        </is>
      </c>
      <c r="B60" s="29">
        <f>SUM(B54:B59)</f>
        <v/>
      </c>
    </row>
    <row r="61" ht="15.75" customHeight="1" thickTop="1"/>
    <row r="63">
      <c r="A63" s="50" t="inlineStr">
        <is>
          <t>Walsall</t>
        </is>
      </c>
    </row>
    <row r="64">
      <c r="A64" t="inlineStr">
        <is>
          <t>A hands</t>
        </is>
      </c>
      <c r="B64" t="n">
        <v>9347.92</v>
      </c>
    </row>
  </sheetData>
  <conditionalFormatting sqref="B1:AF1">
    <cfRule type="cellIs" priority="7" operator="greaterThan" dxfId="2">
      <formula>0</formula>
    </cfRule>
    <cfRule type="cellIs" priority="8" operator="lessThan" dxfId="0">
      <formula>0</formula>
    </cfRule>
  </conditionalFormatting>
  <conditionalFormatting sqref="B26:AF26">
    <cfRule type="cellIs" priority="3" operator="greaterThan" dxfId="2">
      <formula>0</formula>
    </cfRule>
    <cfRule type="cellIs" priority="4" operator="lessThan" dxfId="0">
      <formula>0</formula>
    </cfRule>
  </conditionalFormatting>
  <conditionalFormatting sqref="B49:AF49">
    <cfRule type="cellIs" priority="1" operator="greaterThan" dxfId="2">
      <formula>0</formula>
    </cfRule>
    <cfRule type="cellIs" priority="2" operator="lessThan" dxfId="0">
      <formula>0</formula>
    </cfRule>
  </conditionalFormatting>
  <pageMargins left="0.7086614173228347" right="0.7086614173228347" top="0.7480314960629921" bottom="0" header="0.3149606299212598" footer="0.3149606299212598"/>
  <pageSetup orientation="landscape" paperSize="8" scale="41" fitToHeight="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G63"/>
  <sheetViews>
    <sheetView zoomScale="70" zoomScaleNormal="70" workbookViewId="0">
      <pane xSplit="1" topLeftCell="E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2.5703125" bestFit="1" customWidth="1" min="2" max="2"/>
    <col width="10.7109375" bestFit="1" customWidth="1" min="3" max="3"/>
    <col width="10.140625" bestFit="1" customWidth="1" min="4" max="4"/>
    <col width="13.140625" bestFit="1" customWidth="1" min="5" max="5"/>
    <col width="12.5703125" bestFit="1" customWidth="1" min="6" max="6"/>
    <col width="13.140625" bestFit="1" customWidth="1" min="7" max="7"/>
    <col width="12.5703125" bestFit="1" customWidth="1" min="8" max="8"/>
    <col width="9.85546875" bestFit="1" customWidth="1" min="9" max="9"/>
    <col width="10.7109375" bestFit="1" customWidth="1" min="10" max="10"/>
    <col width="10.140625" bestFit="1" customWidth="1" min="11" max="11"/>
    <col width="13.140625" bestFit="1" customWidth="1" min="12" max="12"/>
    <col width="11.140625" bestFit="1" customWidth="1" min="13" max="13"/>
    <col width="13.140625" bestFit="1" customWidth="1" min="14" max="14"/>
    <col width="12.5703125" bestFit="1" customWidth="1" min="15" max="15"/>
    <col width="11.140625" bestFit="1" customWidth="1" min="16" max="16"/>
    <col width="10.7109375" bestFit="1" customWidth="1" min="17" max="17"/>
    <col width="11.140625" bestFit="1" customWidth="1" min="18" max="18"/>
    <col width="13.140625" bestFit="1" customWidth="1" min="19" max="19"/>
    <col width="11.140625" bestFit="1" customWidth="1" min="20" max="20"/>
    <col width="13.140625" bestFit="1" customWidth="1" min="21" max="21"/>
    <col width="12" bestFit="1" customWidth="1" min="22" max="22"/>
    <col width="9.85546875" bestFit="1" customWidth="1" min="23" max="23"/>
    <col width="10.7109375" bestFit="1" customWidth="1" min="24" max="24"/>
    <col width="10.140625" bestFit="1" customWidth="1" min="25" max="25"/>
    <col width="13.140625" bestFit="1" customWidth="1" min="26" max="26"/>
    <col width="12.5703125" bestFit="1" customWidth="1" min="27" max="27"/>
    <col width="13.140625" bestFit="1" customWidth="1" min="28" max="28"/>
    <col width="11.140625" bestFit="1" customWidth="1" min="29" max="30"/>
    <col width="10.7109375" bestFit="1" customWidth="1" min="31" max="31"/>
    <col width="10.140625" bestFit="1" customWidth="1" min="32" max="32"/>
    <col width="13.5703125" bestFit="1" customWidth="1" min="33" max="33"/>
  </cols>
  <sheetData>
    <row r="1">
      <c r="A1" s="1" t="n"/>
      <c r="B1" s="2" t="inlineStr">
        <is>
          <t>Oct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Sunday</t>
        </is>
      </c>
      <c r="C2" s="2" t="inlineStr">
        <is>
          <t>Monday</t>
        </is>
      </c>
      <c r="D2" s="2" t="inlineStr">
        <is>
          <t>Tuesday</t>
        </is>
      </c>
      <c r="E2" s="2" t="inlineStr">
        <is>
          <t>Wednesday</t>
        </is>
      </c>
      <c r="F2" s="2" t="inlineStr">
        <is>
          <t>Thursday</t>
        </is>
      </c>
      <c r="G2" s="2" t="inlineStr">
        <is>
          <t>Friday</t>
        </is>
      </c>
      <c r="H2" s="2" t="inlineStr">
        <is>
          <t>Saturday</t>
        </is>
      </c>
      <c r="I2" s="2" t="inlineStr">
        <is>
          <t>Sunday</t>
        </is>
      </c>
      <c r="J2" s="2" t="inlineStr">
        <is>
          <t>Monday</t>
        </is>
      </c>
      <c r="K2" s="2" t="inlineStr">
        <is>
          <t>Tuesday</t>
        </is>
      </c>
      <c r="L2" s="2" t="inlineStr">
        <is>
          <t>Wednesday</t>
        </is>
      </c>
      <c r="M2" s="2" t="inlineStr">
        <is>
          <t>Thursday</t>
        </is>
      </c>
      <c r="N2" s="2" t="inlineStr">
        <is>
          <t>Friday</t>
        </is>
      </c>
      <c r="O2" s="2" t="inlineStr">
        <is>
          <t>Saturday</t>
        </is>
      </c>
      <c r="P2" s="2" t="inlineStr">
        <is>
          <t>Sunday</t>
        </is>
      </c>
      <c r="Q2" s="2" t="inlineStr">
        <is>
          <t>Monday</t>
        </is>
      </c>
      <c r="R2" s="2" t="inlineStr">
        <is>
          <t>Tuesday</t>
        </is>
      </c>
      <c r="S2" s="2" t="inlineStr">
        <is>
          <t>Wednesday</t>
        </is>
      </c>
      <c r="T2" s="2" t="inlineStr">
        <is>
          <t>Thursday</t>
        </is>
      </c>
      <c r="U2" s="2" t="inlineStr">
        <is>
          <t>Friday</t>
        </is>
      </c>
      <c r="V2" s="2" t="inlineStr">
        <is>
          <t>Saturday</t>
        </is>
      </c>
      <c r="W2" s="2" t="inlineStr">
        <is>
          <t>Sunday</t>
        </is>
      </c>
      <c r="X2" s="2" t="inlineStr">
        <is>
          <t>Monday</t>
        </is>
      </c>
      <c r="Y2" s="2" t="inlineStr">
        <is>
          <t>Tuesday</t>
        </is>
      </c>
      <c r="Z2" s="2" t="inlineStr">
        <is>
          <t>Wednesday</t>
        </is>
      </c>
      <c r="AA2" s="2" t="inlineStr">
        <is>
          <t>Thursday</t>
        </is>
      </c>
      <c r="AB2" s="2" t="inlineStr">
        <is>
          <t>Friday</t>
        </is>
      </c>
      <c r="AC2" s="2" t="inlineStr">
        <is>
          <t>Saturday</t>
        </is>
      </c>
      <c r="AD2" s="2" t="inlineStr">
        <is>
          <t>Sunday</t>
        </is>
      </c>
      <c r="AE2" s="2" t="inlineStr">
        <is>
          <t>Monday</t>
        </is>
      </c>
      <c r="AF2" s="2" t="inlineStr">
        <is>
          <t>Tuesday</t>
        </is>
      </c>
      <c r="AG2" s="2" t="inlineStr">
        <is>
          <t>Total</t>
        </is>
      </c>
    </row>
    <row r="3">
      <c r="A3" s="1" t="n"/>
      <c r="B3" s="3" t="n">
        <v>45200</v>
      </c>
      <c r="C3" s="4" t="inlineStr">
        <is>
          <t>2nd</t>
        </is>
      </c>
      <c r="D3" s="4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5" t="inlineStr">
        <is>
          <t>9th</t>
        </is>
      </c>
      <c r="K3" s="5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6" t="inlineStr">
        <is>
          <t>16th</t>
        </is>
      </c>
      <c r="R3" s="6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7" t="inlineStr">
        <is>
          <t>23rd</t>
        </is>
      </c>
      <c r="Y3" s="7" t="inlineStr">
        <is>
          <t>24th</t>
        </is>
      </c>
      <c r="Z3" s="7" t="inlineStr">
        <is>
          <t>25th</t>
        </is>
      </c>
      <c r="AA3" s="7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4" t="inlineStr">
        <is>
          <t>30th</t>
        </is>
      </c>
      <c r="AF3" s="4" t="inlineStr">
        <is>
          <t>31st</t>
        </is>
      </c>
      <c r="AG3" s="1" t="n"/>
    </row>
    <row r="4" ht="15.75" customHeight="1">
      <c r="A4" s="8" t="inlineStr">
        <is>
          <t>B-HAM CITY COUNCIL-200790-70489166</t>
        </is>
      </c>
      <c r="B4" s="9" t="n"/>
      <c r="C4" s="9" t="n"/>
      <c r="D4" s="9" t="n"/>
      <c r="E4" s="9" t="n"/>
      <c r="F4" s="9" t="n"/>
      <c r="G4" s="9" t="n"/>
      <c r="H4" s="9" t="n"/>
      <c r="I4" s="9" t="n"/>
      <c r="J4" s="9" t="n"/>
      <c r="K4" s="9" t="n"/>
      <c r="L4" s="9" t="n">
        <v>65406.76</v>
      </c>
      <c r="M4" s="12" t="n"/>
      <c r="N4" s="9" t="n"/>
      <c r="O4" s="12" t="n"/>
      <c r="P4" s="9" t="n"/>
      <c r="Q4" s="12" t="n">
        <v>5018.56</v>
      </c>
      <c r="R4" s="12" t="n"/>
      <c r="S4" s="10" t="n"/>
      <c r="T4" s="12" t="n"/>
      <c r="U4" s="9" t="n"/>
      <c r="V4" s="9" t="n"/>
      <c r="W4" s="9" t="n"/>
      <c r="X4" s="9" t="n"/>
      <c r="Y4" s="9" t="n"/>
      <c r="Z4" s="9" t="n"/>
      <c r="AA4" s="9" t="n"/>
      <c r="AB4" s="9" t="n"/>
      <c r="AC4" s="9" t="n"/>
      <c r="AD4" s="9" t="n"/>
      <c r="AE4" s="9" t="n"/>
      <c r="AF4" s="9" t="n"/>
      <c r="AG4" s="13">
        <f>SUM(B4:AF4)</f>
        <v/>
      </c>
    </row>
    <row r="5" ht="15.75" customHeight="1">
      <c r="A5" s="8" t="inlineStr">
        <is>
          <t>Accord/Age uk</t>
        </is>
      </c>
      <c r="B5" s="9" t="n"/>
      <c r="C5" s="9" t="n"/>
      <c r="D5" s="9" t="n"/>
      <c r="E5" s="9" t="n"/>
      <c r="F5" s="9" t="n"/>
      <c r="G5" s="9" t="n"/>
      <c r="H5" s="9" t="n"/>
      <c r="I5" s="9" t="n"/>
      <c r="J5" s="12" t="n">
        <v>4080</v>
      </c>
      <c r="K5" s="9" t="n"/>
      <c r="L5" s="9" t="n"/>
      <c r="M5" s="9" t="n"/>
      <c r="N5" s="9" t="n"/>
      <c r="O5" s="9" t="n"/>
      <c r="P5" s="9" t="n"/>
      <c r="Q5" s="9" t="n"/>
      <c r="R5" s="9" t="n"/>
      <c r="S5" s="9" t="n"/>
      <c r="T5" s="9" t="n"/>
      <c r="U5" s="9" t="n"/>
      <c r="V5" s="9" t="n"/>
      <c r="W5" s="9" t="n"/>
      <c r="X5" s="9" t="n"/>
      <c r="Y5" s="9" t="n"/>
      <c r="Z5" s="9" t="n"/>
      <c r="AA5" s="9" t="n"/>
      <c r="AB5" s="9" t="n"/>
      <c r="AC5" s="9" t="n"/>
      <c r="AD5" s="9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9" t="n"/>
      <c r="C6" s="12" t="n"/>
      <c r="D6" s="9" t="n"/>
      <c r="E6" s="9" t="n"/>
      <c r="F6" s="12" t="n">
        <v>4937.64</v>
      </c>
      <c r="G6" s="9" t="n"/>
      <c r="H6" s="9" t="n"/>
      <c r="I6" s="9" t="n"/>
      <c r="J6" s="9" t="n"/>
      <c r="K6" s="9" t="n"/>
      <c r="L6" s="12" t="n"/>
      <c r="M6" s="12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F7" s="9" t="n">
        <v>6000</v>
      </c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/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10000</v>
      </c>
      <c r="AG8" s="13">
        <f>SUM(B8:AF8)</f>
        <v/>
      </c>
    </row>
    <row r="9" ht="15.75" customHeight="1">
      <c r="A9" s="8" t="inlineStr">
        <is>
          <t>Walsall Respite</t>
        </is>
      </c>
      <c r="B9" s="9" t="n"/>
      <c r="C9" s="9" t="n"/>
      <c r="D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>
        <v>20000</v>
      </c>
      <c r="Z9" s="9" t="n"/>
      <c r="AA9" s="9" t="n"/>
      <c r="AB9" s="9" t="n"/>
      <c r="AC9" s="9" t="n"/>
      <c r="AD9" s="9" t="n"/>
      <c r="AE9" s="9" t="n"/>
      <c r="AF9" s="12" t="n"/>
      <c r="AG9" s="13">
        <f>SUM(B9:AF9)</f>
        <v/>
      </c>
    </row>
    <row r="10" ht="18.75" customHeight="1">
      <c r="A10" s="8" t="inlineStr">
        <is>
          <t>Ideal for All Ltd</t>
        </is>
      </c>
      <c r="B10" s="9" t="n"/>
      <c r="C10" s="12" t="n"/>
      <c r="D10" s="12" t="n"/>
      <c r="F10" s="11" t="n"/>
      <c r="G10" s="12" t="n">
        <v>3144.12</v>
      </c>
      <c r="H10" s="9" t="n"/>
      <c r="I10" s="12" t="n"/>
      <c r="J10" s="12" t="n"/>
      <c r="K10" s="11" t="n"/>
      <c r="L10" s="9" t="n"/>
      <c r="M10" s="12" t="n"/>
      <c r="N10" s="11" t="n"/>
      <c r="O10" s="12" t="n"/>
      <c r="P10" s="11" t="n"/>
      <c r="Q10" s="12" t="n"/>
      <c r="R10" s="12" t="n"/>
      <c r="S10" s="11" t="n"/>
      <c r="T10" s="12" t="n"/>
      <c r="U10" s="9" t="n"/>
      <c r="V10" s="12" t="n"/>
      <c r="W10" s="12" t="n"/>
      <c r="X10" s="12" t="n"/>
      <c r="Y10" s="9" t="n"/>
      <c r="Z10" s="9" t="n"/>
      <c r="AA10" s="9" t="n"/>
      <c r="AB10" s="12" t="n"/>
      <c r="AC10" s="9" t="n"/>
      <c r="AD10" s="12" t="n"/>
      <c r="AE10" s="12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B11" s="9" t="n"/>
      <c r="C11" s="9" t="n"/>
      <c r="D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12" t="n"/>
      <c r="O11" s="9" t="n"/>
      <c r="P11" s="9" t="n"/>
      <c r="Q11" s="12" t="n"/>
      <c r="R11" s="9" t="n"/>
      <c r="S11" s="9" t="n"/>
      <c r="T11" s="12" t="n">
        <v>5375.7</v>
      </c>
      <c r="U11" s="9" t="n"/>
      <c r="V11" s="9" t="n"/>
      <c r="W11" s="12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9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9" t="n"/>
      <c r="C12" s="12" t="n"/>
      <c r="D12" s="9" t="n"/>
      <c r="F12" s="9" t="n"/>
      <c r="G12" s="9" t="n"/>
      <c r="H12" s="9" t="n"/>
      <c r="I12" s="12" t="n">
        <v>5040</v>
      </c>
      <c r="J12" s="9" t="n"/>
      <c r="K12" s="9" t="n"/>
      <c r="L12" s="9" t="n"/>
      <c r="M12" s="9" t="n"/>
      <c r="N12" s="9" t="n"/>
      <c r="O12" s="12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F13" s="9" t="n"/>
      <c r="G13" s="9" t="n"/>
      <c r="H13" s="9" t="n"/>
      <c r="I13" s="9" t="n"/>
      <c r="J13" s="9" t="n"/>
      <c r="K13" s="9" t="n"/>
      <c r="L13" s="9" t="n"/>
      <c r="M13" s="12" t="n"/>
      <c r="N13" s="12" t="n">
        <v>7121.63</v>
      </c>
      <c r="O13" s="9" t="n"/>
      <c r="P13" s="12" t="n"/>
      <c r="Q13" s="12" t="n"/>
      <c r="R13" s="9" t="n"/>
      <c r="S13" s="9" t="n"/>
      <c r="T13" s="9" t="n"/>
      <c r="U13" s="9" t="n"/>
      <c r="V13" s="9" t="n"/>
      <c r="W13" s="9" t="n"/>
      <c r="X13" s="9" t="n"/>
      <c r="Y13" s="9" t="n"/>
      <c r="Z13" s="12" t="n"/>
      <c r="AA13" s="9" t="n"/>
      <c r="AB13" s="12" t="n">
        <v>2937.6</v>
      </c>
      <c r="AC13" s="9" t="n"/>
      <c r="AD13" s="9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F14" s="9" t="n"/>
      <c r="G14" s="9" t="n"/>
      <c r="H14" s="9" t="n"/>
      <c r="I14" s="9" t="n"/>
      <c r="J14" s="12" t="n"/>
      <c r="K14" s="9" t="n"/>
      <c r="L14" s="12" t="n"/>
      <c r="M14" s="9" t="n"/>
      <c r="N14" s="12" t="n">
        <v>13185.64</v>
      </c>
      <c r="O14" s="9" t="n"/>
      <c r="P14" s="12" t="n"/>
      <c r="Q14" s="12" t="n"/>
      <c r="R14" s="12" t="n">
        <v>5331.2</v>
      </c>
      <c r="S14" s="12" t="n"/>
      <c r="T14" s="9" t="n"/>
      <c r="U14" s="9" t="n"/>
      <c r="V14" s="9" t="n"/>
      <c r="W14" s="9" t="n"/>
      <c r="X14" s="9" t="n"/>
      <c r="Y14" s="9" t="n"/>
      <c r="Z14" s="12" t="n"/>
      <c r="AA14" s="9" t="n"/>
      <c r="AB14" s="9" t="n"/>
      <c r="AC14" s="9" t="n"/>
      <c r="AD14" s="9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12" t="n">
        <v>3318.24</v>
      </c>
      <c r="R15" s="9" t="n"/>
      <c r="S15" s="9" t="n"/>
      <c r="T15" s="12" t="n"/>
      <c r="U15" s="9" t="n"/>
      <c r="V15" s="12" t="n"/>
      <c r="W15" s="9" t="n"/>
      <c r="X15" s="9" t="n"/>
      <c r="Y15" s="12" t="n"/>
      <c r="Z15" s="9" t="n"/>
      <c r="AA15" s="9" t="n"/>
      <c r="AB15" s="9" t="n"/>
      <c r="AC15" s="9" t="n"/>
      <c r="AD15" s="9" t="n"/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9" t="n"/>
      <c r="C16" s="9" t="n"/>
      <c r="D16" s="12" t="n"/>
      <c r="F16" s="12" t="n">
        <v>115000</v>
      </c>
      <c r="G16" s="9" t="n"/>
      <c r="H16" s="9" t="n"/>
      <c r="I16" s="12" t="n"/>
      <c r="J16" s="12" t="n"/>
      <c r="K16" s="9" t="n"/>
      <c r="L16" s="9" t="n"/>
      <c r="M16" s="9" t="n"/>
      <c r="N16" s="9" t="n"/>
      <c r="O16" s="9" t="n"/>
      <c r="P16" s="9" t="n"/>
      <c r="Q16" s="9" t="n"/>
      <c r="R16" s="9" t="n">
        <v>115000</v>
      </c>
      <c r="S16" s="12" t="n"/>
      <c r="T16" s="9" t="n"/>
      <c r="U16" s="9" t="n"/>
      <c r="V16" s="9" t="n"/>
      <c r="W16" s="9" t="n"/>
      <c r="X16" s="12" t="n"/>
      <c r="Y16" s="9" t="n"/>
      <c r="Z16" s="9" t="n"/>
      <c r="AA16" s="9" t="n"/>
      <c r="AB16" s="9" t="n"/>
      <c r="AC16" s="9" t="n"/>
      <c r="AD16" s="9" t="n"/>
      <c r="AE16" s="9" t="n"/>
      <c r="AF16" s="9" t="n">
        <v>115000</v>
      </c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12" t="n"/>
      <c r="F17" s="9" t="n"/>
      <c r="G17" s="9" t="n"/>
      <c r="H17" s="9" t="n"/>
      <c r="I17" s="9" t="n"/>
      <c r="J17" s="12" t="n">
        <v>30000.6</v>
      </c>
      <c r="K17" s="9" t="n"/>
      <c r="L17" s="12" t="n"/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9" t="n"/>
      <c r="X17" s="12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9" t="n"/>
      <c r="C18" s="9" t="n"/>
      <c r="D18" s="12" t="n"/>
      <c r="E18" s="12" t="n"/>
      <c r="F18" s="9" t="n"/>
      <c r="G18" s="12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>
        <v>160000</v>
      </c>
      <c r="Z18" s="9" t="n"/>
      <c r="AA18" s="9" t="n"/>
      <c r="AB18" s="9" t="n"/>
      <c r="AC18" s="12" t="n"/>
      <c r="AD18" s="9" t="n"/>
      <c r="AE18" s="9" t="n"/>
      <c r="AF18" s="12" t="n"/>
      <c r="AG18" s="13">
        <f>SUM(B18:AF18)</f>
        <v/>
      </c>
    </row>
    <row r="19" ht="15.75" customHeight="1">
      <c r="A19" s="15" t="inlineStr">
        <is>
          <t>WOLVERHAMPTON CC-560069-44470320</t>
        </is>
      </c>
      <c r="B19" s="9" t="n"/>
      <c r="C19" s="9" t="n"/>
      <c r="D19" s="9" t="n"/>
      <c r="E19" s="9" t="n"/>
      <c r="F19" s="9" t="n">
        <v>104000</v>
      </c>
      <c r="G19" s="9" t="n"/>
      <c r="H19" s="9" t="n"/>
      <c r="I19" s="9" t="n"/>
      <c r="J19" s="9" t="n"/>
      <c r="K19" s="9" t="n"/>
      <c r="L19" s="9" t="n"/>
      <c r="M19" s="9" t="n">
        <v>104000</v>
      </c>
      <c r="N19" s="9" t="n"/>
      <c r="O19" s="9" t="n"/>
      <c r="P19" s="9" t="n"/>
      <c r="Q19" s="9" t="n"/>
      <c r="R19" s="9" t="n"/>
      <c r="S19" s="9" t="n"/>
      <c r="T19" s="9" t="n">
        <v>104000</v>
      </c>
      <c r="U19" s="9" t="n"/>
      <c r="V19" s="9" t="n"/>
      <c r="W19" s="9" t="n"/>
      <c r="X19" s="9" t="n"/>
      <c r="Y19" s="9" t="n"/>
      <c r="Z19" s="9" t="n"/>
      <c r="AA19" s="9" t="n">
        <v>104000</v>
      </c>
      <c r="AB19" s="9" t="n"/>
      <c r="AC19" s="9" t="n"/>
      <c r="AD19" s="9" t="n"/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C20" s="9" t="n"/>
      <c r="D20" s="12" t="n"/>
      <c r="E20" t="n">
        <v>8529.25</v>
      </c>
      <c r="F20" s="9" t="n"/>
      <c r="G20" s="9" t="n"/>
      <c r="H20" s="9" t="n"/>
      <c r="I20" s="9" t="n"/>
      <c r="J20" s="9" t="n">
        <v>1155.4</v>
      </c>
      <c r="K20" s="9" t="n">
        <v>1744</v>
      </c>
      <c r="L20" s="12" t="n">
        <v>261.6</v>
      </c>
      <c r="M20" s="12" t="n"/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12" t="n">
        <v>261.6</v>
      </c>
      <c r="Y20" s="9" t="n"/>
      <c r="Z20" s="9" t="n">
        <v>8284</v>
      </c>
      <c r="AA20" s="9" t="n">
        <v>1155.4</v>
      </c>
      <c r="AB20" s="9" t="n"/>
      <c r="AC20" s="12" t="n"/>
      <c r="AD20" s="9" t="n"/>
      <c r="AE20" s="9" t="n">
        <v>1744</v>
      </c>
      <c r="AF20" s="9" t="n"/>
      <c r="AG20" s="13">
        <f>SUM(C20:AF20)</f>
        <v/>
      </c>
    </row>
    <row r="21" ht="15.75" customHeight="1">
      <c r="A21" s="15" t="inlineStr">
        <is>
          <t>HB SC</t>
        </is>
      </c>
      <c r="B21" s="16" t="n">
        <v>2350</v>
      </c>
      <c r="C21" s="16" t="n">
        <v>2350</v>
      </c>
      <c r="D21" s="16" t="n">
        <v>2350</v>
      </c>
      <c r="E21" s="16" t="n">
        <v>2350</v>
      </c>
      <c r="F21" s="16" t="n">
        <v>2350</v>
      </c>
      <c r="G21" s="16" t="n">
        <v>2350</v>
      </c>
      <c r="H21" s="16" t="n">
        <v>2350</v>
      </c>
      <c r="I21" s="16" t="n">
        <v>2350</v>
      </c>
      <c r="J21" s="16" t="n">
        <v>2350</v>
      </c>
      <c r="K21" s="16" t="n">
        <v>2350</v>
      </c>
      <c r="L21" s="16" t="n">
        <v>2350</v>
      </c>
      <c r="M21" s="16" t="n">
        <v>2350</v>
      </c>
      <c r="N21" s="16" t="n">
        <v>2350</v>
      </c>
      <c r="O21" s="16" t="n">
        <v>2350</v>
      </c>
      <c r="P21" s="16" t="n">
        <v>2350</v>
      </c>
      <c r="Q21" s="16" t="n">
        <v>2350</v>
      </c>
      <c r="R21" s="16" t="n">
        <v>2350</v>
      </c>
      <c r="S21" s="16" t="n">
        <v>2350</v>
      </c>
      <c r="T21" s="16" t="n">
        <v>2350</v>
      </c>
      <c r="U21" s="16" t="n">
        <v>2350</v>
      </c>
      <c r="V21" s="16" t="n">
        <v>2350</v>
      </c>
      <c r="W21" s="16" t="n">
        <v>2350</v>
      </c>
      <c r="X21" s="16" t="n">
        <v>2350</v>
      </c>
      <c r="Y21" s="16" t="n">
        <v>2350</v>
      </c>
      <c r="Z21" s="16" t="n">
        <v>2350</v>
      </c>
      <c r="AA21" s="16" t="n">
        <v>2350</v>
      </c>
      <c r="AB21" s="16" t="n">
        <v>2350</v>
      </c>
      <c r="AC21" s="16" t="n">
        <v>2350</v>
      </c>
      <c r="AD21" s="16" t="n">
        <v>2350</v>
      </c>
      <c r="AE21" s="16" t="n">
        <v>2350</v>
      </c>
      <c r="AF21" s="16" t="n">
        <v>2350</v>
      </c>
      <c r="AG21" s="13">
        <f>SUM(B21:AF21)</f>
        <v/>
      </c>
    </row>
    <row r="22" ht="15.75" customHeight="1">
      <c r="A22" s="15" t="inlineStr">
        <is>
          <t>Total</t>
        </is>
      </c>
      <c r="B22" s="25">
        <f>SUM(B4:B21)</f>
        <v/>
      </c>
      <c r="C22" s="25">
        <f>SUM(C4:C21)</f>
        <v/>
      </c>
      <c r="D22" s="25">
        <f>SUM(D4:D21)</f>
        <v/>
      </c>
      <c r="E22" s="25">
        <f>SUM(E4:E21)</f>
        <v/>
      </c>
      <c r="F22" s="25">
        <f>SUM(F4:F21)</f>
        <v/>
      </c>
      <c r="G22" s="25">
        <f>SUM(G4:G21)</f>
        <v/>
      </c>
      <c r="H22" s="25">
        <f>SUM(H4:H21)</f>
        <v/>
      </c>
      <c r="I22" s="25">
        <f>SUM(I4:I21)</f>
        <v/>
      </c>
      <c r="J22" s="25">
        <f>SUM(J4:J21)</f>
        <v/>
      </c>
      <c r="K22" s="25">
        <f>SUM(K4:K21)</f>
        <v/>
      </c>
      <c r="L22" s="25">
        <f>SUM(L4:L21)</f>
        <v/>
      </c>
      <c r="M22" s="25">
        <f>SUM(M4:M21)</f>
        <v/>
      </c>
      <c r="N22" s="25">
        <f>SUM(N4:N21)</f>
        <v/>
      </c>
      <c r="O22" s="25">
        <f>SUM(O4:O21)</f>
        <v/>
      </c>
      <c r="P22" s="25">
        <f>SUM(P4:P21)</f>
        <v/>
      </c>
      <c r="Q22" s="25">
        <f>SUM(Q4:Q21)</f>
        <v/>
      </c>
      <c r="R22" s="25">
        <f>SUM(R4:R21)</f>
        <v/>
      </c>
      <c r="S22" s="25">
        <f>SUM(S4:S21)</f>
        <v/>
      </c>
      <c r="T22" s="25">
        <f>SUM(T4:T21)</f>
        <v/>
      </c>
      <c r="U22" s="25">
        <f>SUM(U4:U21)</f>
        <v/>
      </c>
      <c r="V22" s="25">
        <f>SUM(V4:V21)</f>
        <v/>
      </c>
      <c r="W22" s="25">
        <f>SUM(W4:W21)</f>
        <v/>
      </c>
      <c r="X22" s="25">
        <f>SUM(X4:X21)</f>
        <v/>
      </c>
      <c r="Y22" s="25">
        <f>SUM(Y4:Y21)</f>
        <v/>
      </c>
      <c r="Z22" s="25">
        <f>SUM(Z4:Z21)</f>
        <v/>
      </c>
      <c r="AA22" s="25">
        <f>SUM(AA4:AA21)</f>
        <v/>
      </c>
      <c r="AB22" s="25">
        <f>SUM(AB4:AB21)</f>
        <v/>
      </c>
      <c r="AC22" s="25">
        <f>SUM(AC4:AC21)</f>
        <v/>
      </c>
      <c r="AD22" s="25">
        <f>SUM(AD4:AD21)</f>
        <v/>
      </c>
      <c r="AE22" s="25">
        <f>SUM(AE4:AE21)</f>
        <v/>
      </c>
      <c r="AF22" s="25">
        <f>SUM(AF4:AF21)</f>
        <v/>
      </c>
      <c r="AG22" s="13">
        <f>SUM(AG4:AG21)</f>
        <v/>
      </c>
    </row>
    <row r="23" ht="15.75" customHeight="1">
      <c r="A23" s="15" t="inlineStr">
        <is>
          <t>Running Total</t>
        </is>
      </c>
      <c r="B23" s="25">
        <f>B22</f>
        <v/>
      </c>
      <c r="C23" s="25">
        <f>C22+B23</f>
        <v/>
      </c>
      <c r="D23" s="25">
        <f>D22+C23</f>
        <v/>
      </c>
      <c r="E23" s="25">
        <f>E22+D23</f>
        <v/>
      </c>
      <c r="F23" s="25">
        <f>F22+E23</f>
        <v/>
      </c>
      <c r="G23" s="25">
        <f>G22+F23</f>
        <v/>
      </c>
      <c r="H23" s="25">
        <f>H22+G23</f>
        <v/>
      </c>
      <c r="I23" s="25">
        <f>I22+H23</f>
        <v/>
      </c>
      <c r="J23" s="25">
        <f>J22+I23</f>
        <v/>
      </c>
      <c r="K23" s="25">
        <f>K22+J23</f>
        <v/>
      </c>
      <c r="L23" s="25">
        <f>L22+K23</f>
        <v/>
      </c>
      <c r="M23" s="25">
        <f>M22+L23</f>
        <v/>
      </c>
      <c r="N23" s="25">
        <f>N22+M23</f>
        <v/>
      </c>
      <c r="O23" s="25">
        <f>O22+N23</f>
        <v/>
      </c>
      <c r="P23" s="25">
        <f>P22+O23</f>
        <v/>
      </c>
      <c r="Q23" s="25">
        <f>Q22+P23</f>
        <v/>
      </c>
      <c r="R23" s="25">
        <f>R22+Q23</f>
        <v/>
      </c>
      <c r="S23" s="25">
        <f>S22+R23</f>
        <v/>
      </c>
      <c r="T23" s="25">
        <f>T22+S23</f>
        <v/>
      </c>
      <c r="U23" s="25">
        <f>U22+T23</f>
        <v/>
      </c>
      <c r="V23" s="25">
        <f>V22+U23</f>
        <v/>
      </c>
      <c r="W23" s="25">
        <f>W22+V23</f>
        <v/>
      </c>
      <c r="X23" s="25">
        <f>X22+W23</f>
        <v/>
      </c>
      <c r="Y23" s="25">
        <f>Y22+X23</f>
        <v/>
      </c>
      <c r="Z23" s="25">
        <f>Z22+Y23</f>
        <v/>
      </c>
      <c r="AA23" s="25">
        <f>AA22+Z23</f>
        <v/>
      </c>
      <c r="AB23" s="25">
        <f>AB22+AA23</f>
        <v/>
      </c>
      <c r="AC23" s="25">
        <f>AC22+AB23</f>
        <v/>
      </c>
      <c r="AD23" s="25">
        <f>AD22+AC23</f>
        <v/>
      </c>
      <c r="AE23" s="25">
        <f>AE22+AD23</f>
        <v/>
      </c>
      <c r="AF23" s="25">
        <f>AF22+AE23</f>
        <v/>
      </c>
      <c r="AG23" s="13" t="n"/>
    </row>
    <row r="25">
      <c r="A25" s="1" t="n"/>
      <c r="B25" s="2" t="inlineStr">
        <is>
          <t>Oct</t>
        </is>
      </c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1" t="n"/>
      <c r="AF25" s="1" t="n"/>
      <c r="AG25" s="1" t="n"/>
    </row>
    <row r="26">
      <c r="A26" s="1" t="n"/>
      <c r="B26" s="2" t="inlineStr">
        <is>
          <t>Sunday</t>
        </is>
      </c>
      <c r="C26" s="2" t="inlineStr">
        <is>
          <t>Monday</t>
        </is>
      </c>
      <c r="D26" s="2" t="inlineStr">
        <is>
          <t>Tuesday</t>
        </is>
      </c>
      <c r="E26" s="2" t="inlineStr">
        <is>
          <t>Wednesday</t>
        </is>
      </c>
      <c r="F26" s="2" t="inlineStr">
        <is>
          <t>Thursday</t>
        </is>
      </c>
      <c r="G26" s="2" t="inlineStr">
        <is>
          <t>Friday</t>
        </is>
      </c>
      <c r="H26" s="2" t="inlineStr">
        <is>
          <t>Saturday</t>
        </is>
      </c>
      <c r="I26" s="2" t="inlineStr">
        <is>
          <t>Sunday</t>
        </is>
      </c>
      <c r="J26" s="2" t="inlineStr">
        <is>
          <t>Monday</t>
        </is>
      </c>
      <c r="K26" s="2" t="inlineStr">
        <is>
          <t>Tuesday</t>
        </is>
      </c>
      <c r="L26" s="2" t="inlineStr">
        <is>
          <t>Wednesday</t>
        </is>
      </c>
      <c r="M26" s="2" t="inlineStr">
        <is>
          <t>Thursday</t>
        </is>
      </c>
      <c r="N26" s="2" t="inlineStr">
        <is>
          <t>Friday</t>
        </is>
      </c>
      <c r="O26" s="2" t="inlineStr">
        <is>
          <t>Saturday</t>
        </is>
      </c>
      <c r="P26" s="2" t="inlineStr">
        <is>
          <t>Sunday</t>
        </is>
      </c>
      <c r="Q26" s="2" t="inlineStr">
        <is>
          <t>Monday</t>
        </is>
      </c>
      <c r="R26" s="2" t="inlineStr">
        <is>
          <t>Tuesday</t>
        </is>
      </c>
      <c r="S26" s="2" t="inlineStr">
        <is>
          <t>Wednesday</t>
        </is>
      </c>
      <c r="T26" s="2" t="inlineStr">
        <is>
          <t>Thursday</t>
        </is>
      </c>
      <c r="U26" s="2" t="inlineStr">
        <is>
          <t>Friday</t>
        </is>
      </c>
      <c r="V26" s="2" t="inlineStr">
        <is>
          <t>Saturday</t>
        </is>
      </c>
      <c r="W26" s="2" t="inlineStr">
        <is>
          <t>Sunday</t>
        </is>
      </c>
      <c r="X26" s="2" t="inlineStr">
        <is>
          <t>Monday</t>
        </is>
      </c>
      <c r="Y26" s="2" t="inlineStr">
        <is>
          <t>Tuesday</t>
        </is>
      </c>
      <c r="Z26" s="2" t="inlineStr">
        <is>
          <t>Wednesday</t>
        </is>
      </c>
      <c r="AA26" s="2" t="inlineStr">
        <is>
          <t>Thursday</t>
        </is>
      </c>
      <c r="AB26" s="2" t="inlineStr">
        <is>
          <t>Friday</t>
        </is>
      </c>
      <c r="AC26" s="2" t="inlineStr">
        <is>
          <t>Saturday</t>
        </is>
      </c>
      <c r="AD26" s="2" t="inlineStr">
        <is>
          <t>Sunday</t>
        </is>
      </c>
      <c r="AE26" s="2" t="inlineStr">
        <is>
          <t>Monday</t>
        </is>
      </c>
      <c r="AF26" s="2" t="inlineStr">
        <is>
          <t>Tuesday</t>
        </is>
      </c>
      <c r="AG26" s="2" t="inlineStr">
        <is>
          <t>Total</t>
        </is>
      </c>
    </row>
    <row r="27">
      <c r="A27" s="1" t="n"/>
      <c r="B27" s="3" t="n">
        <v>45200</v>
      </c>
      <c r="C27" s="4" t="inlineStr">
        <is>
          <t>2nd</t>
        </is>
      </c>
      <c r="D27" s="4" t="inlineStr">
        <is>
          <t>3rd</t>
        </is>
      </c>
      <c r="E27" s="4" t="inlineStr">
        <is>
          <t>4th</t>
        </is>
      </c>
      <c r="F27" s="4" t="inlineStr">
        <is>
          <t>5th</t>
        </is>
      </c>
      <c r="G27" s="4" t="inlineStr">
        <is>
          <t>6th</t>
        </is>
      </c>
      <c r="H27" s="4" t="inlineStr">
        <is>
          <t>7th</t>
        </is>
      </c>
      <c r="I27" s="4" t="inlineStr">
        <is>
          <t>8th</t>
        </is>
      </c>
      <c r="J27" s="5" t="inlineStr">
        <is>
          <t>9th</t>
        </is>
      </c>
      <c r="K27" s="5" t="inlineStr">
        <is>
          <t>10th</t>
        </is>
      </c>
      <c r="L27" s="5" t="inlineStr">
        <is>
          <t>11th</t>
        </is>
      </c>
      <c r="M27" s="5" t="inlineStr">
        <is>
          <t>12th</t>
        </is>
      </c>
      <c r="N27" s="5" t="inlineStr">
        <is>
          <t>13th</t>
        </is>
      </c>
      <c r="O27" s="5" t="inlineStr">
        <is>
          <t>14th</t>
        </is>
      </c>
      <c r="P27" s="5" t="inlineStr">
        <is>
          <t>15th</t>
        </is>
      </c>
      <c r="Q27" s="6" t="inlineStr">
        <is>
          <t>16th</t>
        </is>
      </c>
      <c r="R27" s="6" t="inlineStr">
        <is>
          <t>17th</t>
        </is>
      </c>
      <c r="S27" s="6" t="inlineStr">
        <is>
          <t>18th</t>
        </is>
      </c>
      <c r="T27" s="6" t="inlineStr">
        <is>
          <t>19th</t>
        </is>
      </c>
      <c r="U27" s="6" t="inlineStr">
        <is>
          <t>20th</t>
        </is>
      </c>
      <c r="V27" s="6" t="inlineStr">
        <is>
          <t>21st</t>
        </is>
      </c>
      <c r="W27" s="6" t="inlineStr">
        <is>
          <t>22nd</t>
        </is>
      </c>
      <c r="X27" s="7" t="inlineStr">
        <is>
          <t>23rd</t>
        </is>
      </c>
      <c r="Y27" s="7" t="inlineStr">
        <is>
          <t>24th</t>
        </is>
      </c>
      <c r="Z27" s="7" t="inlineStr">
        <is>
          <t>25th</t>
        </is>
      </c>
      <c r="AA27" s="7" t="inlineStr">
        <is>
          <t>26th</t>
        </is>
      </c>
      <c r="AB27" s="7" t="inlineStr">
        <is>
          <t>27th</t>
        </is>
      </c>
      <c r="AC27" s="7" t="inlineStr">
        <is>
          <t>28th</t>
        </is>
      </c>
      <c r="AD27" s="7" t="inlineStr">
        <is>
          <t>29th</t>
        </is>
      </c>
      <c r="AE27" s="4" t="inlineStr">
        <is>
          <t>30th</t>
        </is>
      </c>
      <c r="AF27" s="4" t="inlineStr">
        <is>
          <t>31st</t>
        </is>
      </c>
      <c r="AG27" s="1" t="n"/>
    </row>
    <row r="28" ht="15.75" customHeight="1">
      <c r="A28" s="8" t="inlineStr">
        <is>
          <t>B-HAM CITY COUNCIL-200790-70489166</t>
        </is>
      </c>
      <c r="B28" s="9" t="n"/>
      <c r="C28" s="9" t="n"/>
      <c r="D28" s="9" t="n"/>
      <c r="E28" s="9" t="n"/>
      <c r="G28" s="9" t="n"/>
      <c r="H28" s="9" t="n"/>
      <c r="I28" s="9" t="n"/>
      <c r="J28" s="9" t="n"/>
      <c r="K28" t="n">
        <v>65406.76</v>
      </c>
      <c r="L28" s="9" t="n"/>
      <c r="M28" s="12" t="n"/>
      <c r="N28" s="9" t="n"/>
      <c r="O28" s="12" t="n"/>
      <c r="P28" s="9" t="n"/>
      <c r="Q28" s="12" t="n"/>
      <c r="R28" s="12" t="n"/>
      <c r="S28" t="n">
        <v>11896.09</v>
      </c>
      <c r="T28" s="12" t="n"/>
      <c r="U28" s="9" t="n"/>
      <c r="V28" s="9" t="n"/>
      <c r="W28" s="9" t="n"/>
      <c r="X28" s="9" t="n"/>
      <c r="Y28" s="9" t="n"/>
      <c r="Z28" s="9" t="n"/>
      <c r="AA28" s="26" t="n">
        <v>5041.28</v>
      </c>
      <c r="AB28" s="9" t="n"/>
      <c r="AC28" s="9" t="n"/>
      <c r="AD28" s="9" t="n"/>
      <c r="AE28" s="9" t="n"/>
      <c r="AF28" s="9" t="n"/>
      <c r="AG28" s="13">
        <f>SUM(B28:AF28)</f>
        <v/>
      </c>
    </row>
    <row r="29" ht="15.75" customHeight="1">
      <c r="A29" s="8" t="inlineStr">
        <is>
          <t>Accord/Age uk</t>
        </is>
      </c>
      <c r="B29" s="9" t="n"/>
      <c r="C29" s="9" t="n"/>
      <c r="D29" s="9" t="n"/>
      <c r="E29" s="9" t="n"/>
      <c r="F29" s="9" t="n"/>
      <c r="G29" s="9" t="n"/>
      <c r="H29" s="9" t="n"/>
      <c r="I29" s="9" t="n"/>
      <c r="K29" s="9" t="n"/>
      <c r="L29" s="9" t="n"/>
      <c r="N29" s="9" t="n"/>
      <c r="O29" s="9" t="n"/>
      <c r="P29" s="9" t="n"/>
      <c r="R29" s="9" t="n"/>
      <c r="S29" s="9" t="n"/>
      <c r="T29" s="9" t="n"/>
      <c r="V29" s="9" t="n"/>
      <c r="W29" s="9" t="n"/>
      <c r="X29" s="9" t="n"/>
      <c r="Y29" s="9" t="n"/>
      <c r="Z29" s="9" t="n"/>
      <c r="AA29" s="31" t="n"/>
      <c r="AB29" s="9" t="n"/>
      <c r="AC29" s="9" t="n"/>
      <c r="AD29" s="9" t="n"/>
      <c r="AE29" s="12" t="n"/>
      <c r="AF29" s="9" t="n"/>
      <c r="AG29" s="13">
        <f>SUM(B29:AF29)</f>
        <v/>
      </c>
    </row>
    <row r="30" ht="15.75" customHeight="1">
      <c r="A30" s="8" t="inlineStr">
        <is>
          <t>Buckingham</t>
        </is>
      </c>
      <c r="B30" s="9" t="n"/>
      <c r="C30" s="12" t="n"/>
      <c r="D30" s="9" t="n"/>
      <c r="E30" s="9" t="n"/>
      <c r="G30" s="9" t="n"/>
      <c r="H30" s="9" t="n"/>
      <c r="I30" s="9" t="n"/>
      <c r="K30" s="9" t="n"/>
      <c r="L30" s="12" t="n"/>
      <c r="N30" s="9" t="n"/>
      <c r="O30" s="9" t="n"/>
      <c r="P30" s="9" t="n"/>
      <c r="R30" s="9" t="n"/>
      <c r="S30" s="9" t="n"/>
      <c r="T30" s="9" t="n"/>
      <c r="V30" s="9" t="n"/>
      <c r="W30" s="9" t="n"/>
      <c r="X30" s="9" t="n"/>
      <c r="Z30" s="9" t="n"/>
      <c r="AA30" s="31" t="n"/>
      <c r="AB30" t="n">
        <v>4937.64</v>
      </c>
      <c r="AC30" s="9" t="n"/>
      <c r="AD30" s="9" t="n"/>
      <c r="AE30" s="9" t="n"/>
      <c r="AF30" s="9" t="n"/>
      <c r="AG30" s="13">
        <f>SUM(B30:AF30)</f>
        <v/>
      </c>
    </row>
    <row r="31" ht="15.75" customHeight="1">
      <c r="A31" s="8" t="inlineStr">
        <is>
          <t>Sandwell respite est</t>
        </is>
      </c>
      <c r="B31" s="9" t="n"/>
      <c r="C31" s="9" t="n"/>
      <c r="D31" s="9" t="n"/>
      <c r="G31" s="9" t="n"/>
      <c r="H31" s="9" t="n"/>
      <c r="I31" s="9" t="n"/>
      <c r="K31" s="9" t="n"/>
      <c r="L31" s="9" t="n"/>
      <c r="N31" s="9" t="n"/>
      <c r="O31" s="9" t="n"/>
      <c r="P31" s="9" t="n"/>
      <c r="Q31" t="n">
        <v>1088</v>
      </c>
      <c r="R31" s="9" t="n"/>
      <c r="S31" s="9" t="n"/>
      <c r="T31" s="9" t="n"/>
      <c r="V31" s="9" t="n"/>
      <c r="W31" s="9" t="n"/>
      <c r="X31" s="9" t="n"/>
      <c r="Y31" s="9" t="n"/>
      <c r="Z31" s="9" t="n"/>
      <c r="AA31" s="31" t="n"/>
      <c r="AB31" t="n">
        <v>11723.2</v>
      </c>
      <c r="AC31" s="9" t="n"/>
      <c r="AD31" s="9" t="n"/>
      <c r="AE31" s="9" t="n"/>
      <c r="AF31" s="9" t="n"/>
      <c r="AG31" s="13">
        <f>SUM(B31:AF31)</f>
        <v/>
      </c>
    </row>
    <row r="32" ht="15.75" customHeight="1">
      <c r="A32" s="8" t="inlineStr">
        <is>
          <t xml:space="preserve">Wolverhampton respite est </t>
        </is>
      </c>
      <c r="B32" s="9" t="n"/>
      <c r="C32" s="9" t="n"/>
      <c r="D32" s="9" t="n"/>
      <c r="F32" s="9" t="n"/>
      <c r="G32" s="9" t="n"/>
      <c r="H32" s="9" t="n"/>
      <c r="I32" s="9" t="n"/>
      <c r="J32" s="9" t="n"/>
      <c r="K32" s="9" t="n"/>
      <c r="L32" s="9" t="n"/>
      <c r="M32" s="9" t="n"/>
      <c r="N32" s="9" t="n"/>
      <c r="O32" s="9" t="n"/>
      <c r="P32" s="9" t="n"/>
      <c r="Q32" t="n">
        <v>11782.03</v>
      </c>
      <c r="R32" s="9" t="n"/>
      <c r="S32" s="9" t="n"/>
      <c r="T32" s="9" t="n"/>
      <c r="U32" t="n">
        <v>10606.72</v>
      </c>
      <c r="V32" s="9" t="n"/>
      <c r="W32" s="9" t="n"/>
      <c r="X32" s="9" t="n"/>
      <c r="Y32" s="9" t="n"/>
      <c r="Z32" s="9" t="n"/>
      <c r="AA32" s="26" t="n"/>
      <c r="AB32" s="9" t="n"/>
      <c r="AC32" s="9" t="n"/>
      <c r="AD32" s="9" t="n"/>
      <c r="AE32" s="9" t="n"/>
      <c r="AF32" s="9" t="n"/>
      <c r="AG32" s="13">
        <f>SUM(B32:AF32)</f>
        <v/>
      </c>
    </row>
    <row r="33" ht="15.75" customHeight="1">
      <c r="A33" s="8" t="inlineStr">
        <is>
          <t>Walsall Respite</t>
        </is>
      </c>
      <c r="B33" s="9" t="n"/>
      <c r="C33" s="9" t="n"/>
      <c r="D33" s="9" t="n"/>
      <c r="F33" s="9" t="n"/>
      <c r="G33" t="n">
        <v>3178.96</v>
      </c>
      <c r="H33" s="9" t="n"/>
      <c r="I33" s="9" t="n"/>
      <c r="J33" s="9" t="n"/>
      <c r="K33" s="9" t="n"/>
      <c r="L33" s="9" t="n"/>
      <c r="M33" s="9" t="n"/>
      <c r="N33" s="9" t="n"/>
      <c r="O33" s="9" t="n"/>
      <c r="P33" s="9" t="n"/>
      <c r="Q33" s="9" t="n"/>
      <c r="R33" s="9" t="n"/>
      <c r="S33" s="9" t="n"/>
      <c r="T33" s="9" t="n"/>
      <c r="U33" s="9" t="n"/>
      <c r="V33" s="9" t="n"/>
      <c r="W33" s="9" t="n"/>
      <c r="X33" s="9" t="n"/>
      <c r="Y33" s="26" t="n">
        <v>17047.2</v>
      </c>
      <c r="Z33" s="9" t="n"/>
      <c r="AA33" s="26" t="n"/>
      <c r="AB33" s="9" t="n"/>
      <c r="AC33" s="9" t="n"/>
      <c r="AD33" s="9" t="n"/>
      <c r="AE33" s="9" t="n"/>
      <c r="AF33" s="12" t="n"/>
      <c r="AG33" s="13">
        <f>SUM(B33:AF33)</f>
        <v/>
      </c>
    </row>
    <row r="34" ht="18.75" customHeight="1">
      <c r="A34" s="8" t="inlineStr">
        <is>
          <t>Ideal for All Ltd</t>
        </is>
      </c>
      <c r="B34" s="9" t="n"/>
      <c r="C34" s="12" t="n"/>
      <c r="D34" s="12" t="n"/>
      <c r="F34" s="11" t="n"/>
      <c r="G34" s="12" t="n"/>
      <c r="H34" s="9" t="n"/>
      <c r="I34" s="12" t="n"/>
      <c r="J34" t="n">
        <v>3556.45</v>
      </c>
      <c r="K34" s="11" t="n"/>
      <c r="L34" s="9" t="n"/>
      <c r="M34" s="12" t="n"/>
      <c r="N34" s="11" t="n"/>
      <c r="O34" s="12" t="n"/>
      <c r="P34" s="11" t="n"/>
      <c r="Q34" s="12" t="n"/>
      <c r="R34" s="12" t="n"/>
      <c r="S34" s="11" t="n"/>
      <c r="T34" s="12" t="n"/>
      <c r="U34" s="9" t="n"/>
      <c r="V34" s="12" t="n"/>
      <c r="W34" s="12" t="n"/>
      <c r="X34" s="12" t="n"/>
      <c r="Y34" s="26" t="n"/>
      <c r="Z34" s="9" t="n"/>
      <c r="AA34" s="26" t="n"/>
      <c r="AB34" s="12" t="n"/>
      <c r="AC34" s="9" t="n"/>
      <c r="AD34" s="12" t="n"/>
      <c r="AE34" s="12" t="n"/>
      <c r="AF34" s="9" t="n"/>
      <c r="AG34" s="13">
        <f>SUM(B34:AF34)</f>
        <v/>
      </c>
    </row>
    <row r="35" ht="15.75" customHeight="1">
      <c r="A35" s="8" t="inlineStr">
        <is>
          <t>KIRKLEES COUNCIL-204312-63046958</t>
        </is>
      </c>
      <c r="B35" s="9" t="n"/>
      <c r="C35" s="9" t="n"/>
      <c r="D35" s="9" t="n"/>
      <c r="F35" s="9" t="n"/>
      <c r="G35" s="9" t="n"/>
      <c r="H35" s="9" t="n"/>
      <c r="I35" s="9" t="n"/>
      <c r="J35" s="9" t="n"/>
      <c r="K35" s="9" t="n"/>
      <c r="L35" s="9" t="n"/>
      <c r="M35" s="9" t="n"/>
      <c r="N35" s="12" t="n"/>
      <c r="O35" s="9" t="n"/>
      <c r="P35" s="9" t="n"/>
      <c r="Q35" s="12" t="n"/>
      <c r="R35" s="9" t="n"/>
      <c r="S35" s="9" t="n"/>
      <c r="U35" s="9" t="n"/>
      <c r="V35" s="9" t="n"/>
      <c r="W35" s="12" t="n"/>
      <c r="X35" s="9" t="n"/>
      <c r="Y35" s="31" t="n"/>
      <c r="Z35" s="9" t="n"/>
      <c r="AA35" s="26" t="n"/>
      <c r="AC35" s="9" t="n"/>
      <c r="AD35" s="9" t="n"/>
      <c r="AE35" s="12" t="n"/>
      <c r="AF35" s="9" t="n"/>
      <c r="AG35" s="13">
        <f>SUM(B35:AF35)</f>
        <v/>
      </c>
    </row>
    <row r="36" ht="15.75" customHeight="1">
      <c r="A36" s="8" t="inlineStr">
        <is>
          <t>LBH PAYMENTS BACS-602210-72430192</t>
        </is>
      </c>
      <c r="B36" s="9" t="n"/>
      <c r="C36" s="12" t="n"/>
      <c r="D36" s="9" t="n"/>
      <c r="F36" t="n">
        <v>5040</v>
      </c>
      <c r="G36" s="9" t="n"/>
      <c r="H36" s="9" t="n"/>
      <c r="I36" s="12" t="n"/>
      <c r="J36" s="9" t="n"/>
      <c r="K36" s="9" t="n"/>
      <c r="L36" s="9" t="n"/>
      <c r="M36" s="9" t="n"/>
      <c r="N36" s="9" t="n"/>
      <c r="O36" s="12" t="n"/>
      <c r="P36" s="9" t="n"/>
      <c r="Q36" s="9" t="n"/>
      <c r="R36" s="9" t="n"/>
      <c r="S36" s="9" t="n"/>
      <c r="T36" s="9" t="n"/>
      <c r="U36" s="9" t="n"/>
      <c r="V36" s="9" t="n"/>
      <c r="W36" s="9" t="n"/>
      <c r="X36" s="9" t="n"/>
      <c r="Y36" s="26" t="n"/>
      <c r="Z36" s="9" t="n"/>
      <c r="AA36" s="26" t="n"/>
      <c r="AB36" s="9" t="n"/>
      <c r="AC36" s="9" t="n"/>
      <c r="AD36" s="9" t="n"/>
      <c r="AE36" s="9" t="n"/>
      <c r="AF36" s="9" t="n"/>
      <c r="AG36" s="13">
        <f>SUM(B36:AF36)</f>
        <v/>
      </c>
    </row>
    <row r="37" ht="15.75" customHeight="1">
      <c r="A37" s="8" t="inlineStr">
        <is>
          <t>NHS BIRMINGHAM &amp; S-607080-10017097</t>
        </is>
      </c>
      <c r="B37" s="9" t="n"/>
      <c r="C37" s="9" t="n"/>
      <c r="D37" s="9" t="n"/>
      <c r="F37" s="9" t="n"/>
      <c r="G37" s="9" t="n"/>
      <c r="H37" s="9" t="n"/>
      <c r="I37" s="9" t="n"/>
      <c r="J37" s="9" t="n"/>
      <c r="K37" s="9" t="n"/>
      <c r="L37" s="9" t="n"/>
      <c r="M37" s="12" t="n"/>
      <c r="N37" t="n">
        <v>6201.34</v>
      </c>
      <c r="O37" s="9" t="n"/>
      <c r="P37" s="12" t="n"/>
      <c r="Q37" s="12" t="n"/>
      <c r="R37" s="9" t="n"/>
      <c r="S37" s="9" t="n"/>
      <c r="T37" s="9" t="n"/>
      <c r="U37" s="9" t="n"/>
      <c r="V37" s="9" t="n"/>
      <c r="W37" s="9" t="n"/>
      <c r="X37" s="9" t="n"/>
      <c r="Y37" s="26" t="n"/>
      <c r="Z37" s="12" t="n"/>
      <c r="AA37" s="26" t="n"/>
      <c r="AC37" s="9" t="n"/>
      <c r="AD37" s="9" t="n"/>
      <c r="AE37" s="12" t="n"/>
      <c r="AF37" s="9" t="n"/>
      <c r="AG37" s="13">
        <f>SUM(B37:AF37)</f>
        <v/>
      </c>
    </row>
    <row r="38" ht="15.75" customHeight="1">
      <c r="A38" s="8" t="inlineStr">
        <is>
          <t>NHS BLACK COUNTRY-607080-10015272</t>
        </is>
      </c>
      <c r="B38" s="9" t="n"/>
      <c r="C38" s="9" t="n"/>
      <c r="D38" s="9" t="n"/>
      <c r="F38" s="9" t="n"/>
      <c r="G38" s="9" t="n"/>
      <c r="H38" s="9" t="n"/>
      <c r="I38" s="9" t="n"/>
      <c r="J38" s="12" t="n"/>
      <c r="K38" s="9" t="n"/>
      <c r="L38" s="12" t="n"/>
      <c r="M38" s="9" t="n"/>
      <c r="N38" t="n">
        <v>13625.17</v>
      </c>
      <c r="O38" s="9" t="n"/>
      <c r="P38" s="12" t="n"/>
      <c r="Q38" s="12" t="n"/>
      <c r="R38" t="n">
        <v>24757.85</v>
      </c>
      <c r="S38" s="12" t="n"/>
      <c r="T38" s="9" t="n"/>
      <c r="U38" t="n">
        <v>1468.8</v>
      </c>
      <c r="V38" s="9" t="n"/>
      <c r="W38" s="9" t="n"/>
      <c r="X38" s="9" t="n"/>
      <c r="Y38" s="26" t="n"/>
      <c r="Z38" s="12" t="n"/>
      <c r="AA38" s="26" t="n"/>
      <c r="AB38" s="9" t="n"/>
      <c r="AC38" s="9" t="n"/>
      <c r="AD38" s="9" t="n"/>
      <c r="AE38" s="9" t="n"/>
      <c r="AF38" s="9" t="n"/>
      <c r="AG38" s="13">
        <f>SUM(B38:AF38)</f>
        <v/>
      </c>
    </row>
    <row r="39" ht="15.75" customHeight="1">
      <c r="A39" s="14" t="inlineStr">
        <is>
          <t>SANDWELL MBC  BEN-601539-69624151</t>
        </is>
      </c>
      <c r="B39" s="9" t="n"/>
      <c r="C39" s="9" t="n"/>
      <c r="D39" s="9" t="n"/>
      <c r="F39" s="9" t="n"/>
      <c r="G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31" t="n">
        <v>3318.24</v>
      </c>
      <c r="R39" s="9" t="n"/>
      <c r="S39" s="9" t="n"/>
      <c r="T39" s="12" t="n"/>
      <c r="U39" s="9" t="n"/>
      <c r="V39" s="12" t="n"/>
      <c r="W39" s="9" t="n"/>
      <c r="X39" s="9" t="n"/>
      <c r="Y39" s="31" t="n"/>
      <c r="Z39" s="9" t="n"/>
      <c r="AA39" s="26" t="n"/>
      <c r="AB39" s="9" t="n"/>
      <c r="AC39" s="9" t="n"/>
      <c r="AD39" s="9" t="n"/>
      <c r="AE39" s="9" t="n"/>
      <c r="AF39" s="9" t="n"/>
      <c r="AG39" s="13">
        <f>SUM(B39:AF39)</f>
        <v/>
      </c>
    </row>
    <row r="40" ht="15.75" customHeight="1">
      <c r="A40" s="14" t="inlineStr">
        <is>
          <t>SANDWELL MBC-601539-69624135</t>
        </is>
      </c>
      <c r="B40" s="9" t="n"/>
      <c r="C40" s="9" t="n"/>
      <c r="D40" s="12" t="n"/>
      <c r="F40" t="n">
        <v>116337.52</v>
      </c>
      <c r="G40" s="9" t="n"/>
      <c r="H40" s="9" t="n"/>
      <c r="I40" s="12" t="n"/>
      <c r="J40" s="12" t="n"/>
      <c r="K40" s="9" t="n"/>
      <c r="L40" s="9" t="n"/>
      <c r="M40" s="9" t="n"/>
      <c r="N40" s="9" t="n"/>
      <c r="O40" s="9" t="n"/>
      <c r="P40" s="9" t="n"/>
      <c r="Q40">
        <f>72926.52-Q31</f>
        <v/>
      </c>
      <c r="R40" s="9" t="n"/>
      <c r="S40" s="12" t="n"/>
      <c r="T40" s="9" t="n"/>
      <c r="U40" s="9" t="n"/>
      <c r="V40" s="9" t="n"/>
      <c r="W40" s="9" t="n"/>
      <c r="X40" s="12" t="n"/>
      <c r="Y40" s="26" t="n">
        <v>7842.79</v>
      </c>
      <c r="Z40" s="9" t="n"/>
      <c r="AA40" s="26" t="n"/>
      <c r="AB40" s="9" t="n"/>
      <c r="AC40" s="9" t="n"/>
      <c r="AD40" s="9" t="n"/>
      <c r="AE40" t="n">
        <v>102631.84</v>
      </c>
      <c r="AG40" s="13">
        <f>SUM(B40:AE40)</f>
        <v/>
      </c>
    </row>
    <row r="41" ht="15.75" customHeight="1">
      <c r="A41" s="15" t="inlineStr">
        <is>
          <t>SOLIHULL MBC EXP.-200771-00561525</t>
        </is>
      </c>
      <c r="B41" s="9" t="n"/>
      <c r="C41" s="9" t="n"/>
      <c r="D41" s="9" t="n"/>
      <c r="E41" s="12" t="n"/>
      <c r="F41" s="9" t="n"/>
      <c r="G41" s="9" t="n"/>
      <c r="H41" s="9" t="n"/>
      <c r="I41" s="9" t="n"/>
      <c r="J41" s="31" t="n">
        <v>30000.6</v>
      </c>
      <c r="K41" s="9" t="n"/>
      <c r="L41" s="12" t="n"/>
      <c r="M41" s="9" t="n"/>
      <c r="N41" s="9" t="n"/>
      <c r="O41" s="9" t="n"/>
      <c r="P41" s="9" t="n"/>
      <c r="Q41" s="9" t="n"/>
      <c r="R41" s="12" t="n"/>
      <c r="S41" s="9" t="n"/>
      <c r="T41" s="9" t="n"/>
      <c r="U41" s="9" t="n"/>
      <c r="V41" s="9" t="n"/>
      <c r="W41" s="9" t="n"/>
      <c r="X41" s="12" t="n"/>
      <c r="Y41" s="26" t="n"/>
      <c r="Z41" s="9" t="n"/>
      <c r="AA41" s="26" t="n"/>
      <c r="AB41" s="9" t="n"/>
      <c r="AC41" s="9" t="n"/>
      <c r="AD41" s="9" t="n"/>
      <c r="AE41" s="9" t="n"/>
      <c r="AF41" s="9" t="n"/>
      <c r="AG41" s="13">
        <f>SUM(B41:AF41)</f>
        <v/>
      </c>
    </row>
    <row r="42" ht="15.75" customHeight="1">
      <c r="A42" s="15" t="inlineStr">
        <is>
          <t>WALSALL MBC BARC-209073-10731692</t>
        </is>
      </c>
      <c r="B42" s="9" t="n"/>
      <c r="C42" s="9" t="n"/>
      <c r="D42" s="12" t="n"/>
      <c r="E42" s="12" t="n"/>
      <c r="F42" s="9" t="n"/>
      <c r="H42" s="9" t="n"/>
      <c r="I42" s="9" t="n"/>
      <c r="J42" s="9" t="n"/>
      <c r="K42" s="9" t="n"/>
      <c r="L42" s="9" t="n"/>
      <c r="M42" s="9" t="n"/>
      <c r="N42" s="9" t="n"/>
      <c r="O42" s="9" t="n"/>
      <c r="P42" s="9" t="n"/>
      <c r="Q42" s="9" t="n"/>
      <c r="R42" s="9" t="n"/>
      <c r="S42" s="9" t="n"/>
      <c r="T42" s="9" t="n"/>
      <c r="U42" s="9" t="n"/>
      <c r="V42" s="9" t="n"/>
      <c r="W42" s="9" t="n"/>
      <c r="Y42" s="26" t="n">
        <v>159119.4</v>
      </c>
      <c r="Z42" s="9" t="n"/>
      <c r="AA42" s="26" t="n"/>
      <c r="AB42" s="9" t="n"/>
      <c r="AC42" s="12" t="n"/>
      <c r="AD42" s="9" t="n"/>
      <c r="AE42" s="9" t="n"/>
      <c r="AF42" s="12" t="n"/>
      <c r="AG42" s="13">
        <f>SUM(B42:AF42)</f>
        <v/>
      </c>
    </row>
    <row r="43" ht="15.75" customHeight="1">
      <c r="A43" s="15" t="inlineStr">
        <is>
          <t>WOLVERHAMPTON CC-560069-44470320</t>
        </is>
      </c>
      <c r="B43" s="9" t="n"/>
      <c r="C43" s="9" t="n"/>
      <c r="D43" s="9" t="n"/>
      <c r="E43" s="9" t="n"/>
      <c r="F43" t="n">
        <v>110246</v>
      </c>
      <c r="G43" s="9" t="n"/>
      <c r="H43" s="9" t="n"/>
      <c r="I43" s="9" t="n"/>
      <c r="J43" s="9" t="n"/>
      <c r="K43" s="9" t="n"/>
      <c r="L43" s="9" t="n"/>
      <c r="M43" s="26" t="n">
        <v>103871.82</v>
      </c>
      <c r="N43" s="9" t="n"/>
      <c r="O43" s="9" t="n"/>
      <c r="P43" s="9" t="n"/>
      <c r="Q43" s="9" t="n"/>
      <c r="R43" s="9" t="n"/>
      <c r="S43" s="9" t="n"/>
      <c r="T43" s="26" t="n">
        <v>106409.94</v>
      </c>
      <c r="U43" s="9" t="n"/>
      <c r="V43" s="9" t="n"/>
      <c r="W43" s="9" t="n"/>
      <c r="X43" s="9" t="n"/>
      <c r="Y43" s="26" t="n"/>
      <c r="Z43" s="9" t="n"/>
      <c r="AA43" s="26" t="n">
        <v>110945.94</v>
      </c>
      <c r="AB43" s="9" t="n"/>
      <c r="AC43" s="9" t="n"/>
      <c r="AD43" s="9" t="n"/>
      <c r="AE43" s="9" t="n"/>
      <c r="AF43" s="9" t="n"/>
      <c r="AG43" s="13">
        <f>SUM(B43:AF43)</f>
        <v/>
      </c>
    </row>
    <row r="44" ht="15.75" customHeight="1">
      <c r="A44" s="15" t="inlineStr">
        <is>
          <t>TLC</t>
        </is>
      </c>
      <c r="B44" t="n">
        <v>8529.25</v>
      </c>
      <c r="C44" s="9" t="n"/>
      <c r="D44" s="12" t="n"/>
      <c r="E44" s="12" t="n"/>
      <c r="F44" t="n">
        <v>1438.8</v>
      </c>
      <c r="G44" s="9" t="n"/>
      <c r="H44" s="9" t="n"/>
      <c r="I44" s="9" t="n"/>
      <c r="J44" s="9" t="n"/>
      <c r="M44" s="12" t="n"/>
      <c r="O44" s="12" t="n"/>
      <c r="P44" s="12" t="n"/>
      <c r="Q44" s="12" t="n"/>
      <c r="S44" s="12" t="n"/>
      <c r="T44" s="9" t="n"/>
      <c r="U44" s="9" t="n"/>
      <c r="V44" s="9" t="n"/>
      <c r="W44" s="9" t="n"/>
      <c r="Y44" s="9" t="n"/>
      <c r="Z44" t="n">
        <v>8660.049999999999</v>
      </c>
      <c r="AA44" s="26" t="n">
        <v>6188</v>
      </c>
      <c r="AB44" s="9" t="n"/>
      <c r="AD44" s="9" t="n"/>
      <c r="AE44" t="n">
        <v>7831.65</v>
      </c>
      <c r="AF44" s="12" t="n"/>
      <c r="AG44" s="13">
        <f>SUM(B44:AF44)</f>
        <v/>
      </c>
    </row>
    <row r="45" ht="15.75" customHeight="1">
      <c r="A45" s="15" t="inlineStr">
        <is>
          <t>HB SC</t>
        </is>
      </c>
      <c r="B45" s="16" t="n">
        <v>200</v>
      </c>
      <c r="C45" s="16" t="n">
        <v>5436.93</v>
      </c>
      <c r="D45" s="16" t="n">
        <v>3596.8</v>
      </c>
      <c r="E45" s="16" t="n">
        <v>3197.29</v>
      </c>
      <c r="F45" s="16" t="n">
        <v>2654.82</v>
      </c>
      <c r="G45" s="16" t="n">
        <v>4040.59</v>
      </c>
      <c r="H45" s="16" t="n">
        <v>0</v>
      </c>
      <c r="I45" s="16" t="n">
        <v>0</v>
      </c>
      <c r="J45" s="16" t="n">
        <v>5869.149999999999</v>
      </c>
      <c r="K45" s="16" t="n">
        <v>1481.359999999993</v>
      </c>
      <c r="L45" s="16" t="n">
        <v>2255.65</v>
      </c>
      <c r="M45" s="16" t="n">
        <v>760.45</v>
      </c>
      <c r="N45" s="16" t="n">
        <v>6160.33</v>
      </c>
      <c r="O45" s="16" t="n">
        <v>150</v>
      </c>
      <c r="P45" s="16" t="n">
        <v>0</v>
      </c>
      <c r="Q45" s="16" t="n">
        <v>5604.090000000002</v>
      </c>
      <c r="R45" s="16" t="n">
        <v>1724.98</v>
      </c>
      <c r="S45" s="16" t="n">
        <v>5580.670000000006</v>
      </c>
      <c r="T45" s="16" t="n">
        <v>2423.070000000007</v>
      </c>
      <c r="U45" t="n">
        <v>8251.490000000003</v>
      </c>
      <c r="V45" s="16" t="n">
        <v>860.5599999999999</v>
      </c>
      <c r="W45" s="16" t="n">
        <v>411.67</v>
      </c>
      <c r="X45" s="16" t="n">
        <v>6492.54</v>
      </c>
      <c r="Y45" s="16" t="n">
        <v>2652.289999999987</v>
      </c>
      <c r="Z45" s="16" t="n">
        <v>132247.63</v>
      </c>
      <c r="AA45" s="16" t="n">
        <v>23253.57000000001</v>
      </c>
      <c r="AB45" s="16" t="n">
        <v>5466.87</v>
      </c>
      <c r="AC45" s="16" t="n">
        <v>240</v>
      </c>
      <c r="AD45" s="16" t="n">
        <v>0</v>
      </c>
      <c r="AE45" s="16" t="n">
        <v>11635.38</v>
      </c>
      <c r="AF45" s="16" t="n">
        <v>3509.61</v>
      </c>
      <c r="AG45" s="13">
        <f>SUM(B45:AF45)</f>
        <v/>
      </c>
    </row>
    <row r="46" ht="16.5" customHeight="1" thickBot="1">
      <c r="A46" s="53" t="inlineStr">
        <is>
          <t>Total</t>
        </is>
      </c>
      <c r="B46" s="29">
        <f>SUM(B28:B45)</f>
        <v/>
      </c>
      <c r="C46" s="29">
        <f>SUM(C28:C45)</f>
        <v/>
      </c>
      <c r="D46" s="29">
        <f>SUM(D28:D45)</f>
        <v/>
      </c>
      <c r="E46" s="29">
        <f>SUM(E28:E45)</f>
        <v/>
      </c>
      <c r="F46" s="29">
        <f>SUM(F29:F45)</f>
        <v/>
      </c>
      <c r="G46" s="29">
        <f>SUM(G28:G45)</f>
        <v/>
      </c>
      <c r="H46" s="29">
        <f>SUM(H28:H45)</f>
        <v/>
      </c>
      <c r="I46" s="29">
        <f>SUM(I28:I45)</f>
        <v/>
      </c>
      <c r="J46" s="29">
        <f>SUM(J28:J45)</f>
        <v/>
      </c>
      <c r="K46" s="29">
        <f>SUM(K28:K45)</f>
        <v/>
      </c>
      <c r="L46" s="29">
        <f>SUM(L28:L45)</f>
        <v/>
      </c>
      <c r="M46" s="29">
        <f>SUM(M28:M45)</f>
        <v/>
      </c>
      <c r="N46" s="29">
        <f>SUM(N28:N45)</f>
        <v/>
      </c>
      <c r="O46" s="29">
        <f>SUM(O28:O45)</f>
        <v/>
      </c>
      <c r="P46" s="29">
        <f>SUM(P28:P45)</f>
        <v/>
      </c>
      <c r="Q46" s="29">
        <f>SUM(Q28:Q45)</f>
        <v/>
      </c>
      <c r="R46" s="29">
        <f>SUM(R28:R45)</f>
        <v/>
      </c>
      <c r="S46" s="29">
        <f>SUM(S28:S45)</f>
        <v/>
      </c>
      <c r="T46" s="29">
        <f>SUM(T28:T45)</f>
        <v/>
      </c>
      <c r="U46" s="29">
        <f>SUM(U28:U45)</f>
        <v/>
      </c>
      <c r="V46" s="29">
        <f>SUM(V28:V45)</f>
        <v/>
      </c>
      <c r="W46" s="29">
        <f>SUM(W28:W45)</f>
        <v/>
      </c>
      <c r="X46" s="29">
        <f>SUM(X28:X45)</f>
        <v/>
      </c>
      <c r="Y46" s="29">
        <f>SUM(Y28:Y45)</f>
        <v/>
      </c>
      <c r="Z46" s="29">
        <f>SUM(Z28:Z45)</f>
        <v/>
      </c>
      <c r="AA46" s="29">
        <f>SUM(AA28:AA45)</f>
        <v/>
      </c>
      <c r="AB46" s="29">
        <f>SUM(AB28:AB45)</f>
        <v/>
      </c>
      <c r="AC46" s="29">
        <f>SUM(AC28:AC45)</f>
        <v/>
      </c>
      <c r="AD46" s="29">
        <f>SUM(AD28:AD45)</f>
        <v/>
      </c>
      <c r="AE46" s="29">
        <f>SUM(AE28:AE45)</f>
        <v/>
      </c>
      <c r="AF46" s="29">
        <f>SUM(AF28:AF45)</f>
        <v/>
      </c>
      <c r="AG46" s="22">
        <f>SUM(AG28:AG45)+Z52</f>
        <v/>
      </c>
    </row>
    <row r="47" ht="15.75" customHeight="1" thickTop="1">
      <c r="A47" s="15" t="inlineStr">
        <is>
          <t>Ruunning Total</t>
        </is>
      </c>
      <c r="B47">
        <f>B46</f>
        <v/>
      </c>
      <c r="C47">
        <f>C46+B47</f>
        <v/>
      </c>
      <c r="D47">
        <f>D46+C47</f>
        <v/>
      </c>
      <c r="E47">
        <f>E46+D47</f>
        <v/>
      </c>
      <c r="F47">
        <f>F46+E47</f>
        <v/>
      </c>
      <c r="G47">
        <f>G46+F47</f>
        <v/>
      </c>
      <c r="H47">
        <f>H46+G47</f>
        <v/>
      </c>
      <c r="I47">
        <f>I46+H47</f>
        <v/>
      </c>
      <c r="J47">
        <f>J46+I47</f>
        <v/>
      </c>
      <c r="K47">
        <f>K46+J47</f>
        <v/>
      </c>
      <c r="L47">
        <f>L46+K47</f>
        <v/>
      </c>
      <c r="M47">
        <f>M46+L47</f>
        <v/>
      </c>
      <c r="N47">
        <f>N46+M47</f>
        <v/>
      </c>
      <c r="O47">
        <f>O46+N47</f>
        <v/>
      </c>
      <c r="P47">
        <f>P46+O47</f>
        <v/>
      </c>
      <c r="Q47">
        <f>Q46+P47</f>
        <v/>
      </c>
      <c r="R47">
        <f>R46+Q47</f>
        <v/>
      </c>
      <c r="S47">
        <f>S46+R47</f>
        <v/>
      </c>
      <c r="T47">
        <f>T46+S47</f>
        <v/>
      </c>
      <c r="U47">
        <f>U46+T47</f>
        <v/>
      </c>
      <c r="V47">
        <f>V46+U47</f>
        <v/>
      </c>
      <c r="W47">
        <f>W46+V47</f>
        <v/>
      </c>
      <c r="X47">
        <f>X46+W47</f>
        <v/>
      </c>
      <c r="Y47">
        <f>Y46+X47</f>
        <v/>
      </c>
      <c r="Z47">
        <f>Z46+Y47</f>
        <v/>
      </c>
      <c r="AA47">
        <f>AA46+Z47</f>
        <v/>
      </c>
      <c r="AB47">
        <f>AB46+AA47</f>
        <v/>
      </c>
      <c r="AC47">
        <f>AC46+AB47</f>
        <v/>
      </c>
      <c r="AD47">
        <f>AD46+AC47</f>
        <v/>
      </c>
      <c r="AE47">
        <f>AE46+AD47</f>
        <v/>
      </c>
      <c r="AF47">
        <f>AF46+AE47</f>
        <v/>
      </c>
    </row>
    <row r="48" ht="15.75" customHeight="1">
      <c r="A48" s="8" t="inlineStr">
        <is>
          <t>Above or Bellow forecast Total</t>
        </is>
      </c>
      <c r="B48" s="17">
        <f>B47-B23</f>
        <v/>
      </c>
      <c r="C48" s="17">
        <f>C47-C22</f>
        <v/>
      </c>
      <c r="D48" s="17">
        <f>D47-D22</f>
        <v/>
      </c>
      <c r="E48" s="17">
        <f>E47-E22</f>
        <v/>
      </c>
      <c r="F48" s="17">
        <f>F47-F22</f>
        <v/>
      </c>
      <c r="G48" s="17">
        <f>G47-G22</f>
        <v/>
      </c>
      <c r="H48" s="17">
        <f>H47-H22</f>
        <v/>
      </c>
      <c r="I48" s="17">
        <f>I47-I22</f>
        <v/>
      </c>
      <c r="J48" s="17">
        <f>J47-J22</f>
        <v/>
      </c>
      <c r="K48" s="17">
        <f>K47-K22</f>
        <v/>
      </c>
      <c r="L48" s="17">
        <f>L47-L22</f>
        <v/>
      </c>
      <c r="M48" s="17">
        <f>M47-M22</f>
        <v/>
      </c>
      <c r="N48" s="17">
        <f>N47-N22</f>
        <v/>
      </c>
      <c r="O48" s="17">
        <f>O47-O22</f>
        <v/>
      </c>
      <c r="P48" s="17">
        <f>P47-P22</f>
        <v/>
      </c>
      <c r="Q48" s="17">
        <f>Q47-Q22</f>
        <v/>
      </c>
      <c r="R48" s="17">
        <f>R47-R22</f>
        <v/>
      </c>
      <c r="S48" s="17">
        <f>S47-S22</f>
        <v/>
      </c>
      <c r="T48" s="17">
        <f>T47-T22</f>
        <v/>
      </c>
      <c r="U48" s="17">
        <f>U47-U22</f>
        <v/>
      </c>
      <c r="V48" s="17">
        <f>V47-V22</f>
        <v/>
      </c>
      <c r="W48" s="17">
        <f>W47-W22</f>
        <v/>
      </c>
      <c r="X48" s="17">
        <f>X47-X22</f>
        <v/>
      </c>
      <c r="Y48" s="17">
        <f>Y47-Y22</f>
        <v/>
      </c>
      <c r="Z48" s="17">
        <f>Z47-Z22</f>
        <v/>
      </c>
      <c r="AA48" s="17">
        <f>AA47-AA22</f>
        <v/>
      </c>
      <c r="AB48" s="17">
        <f>AB47-AB22</f>
        <v/>
      </c>
      <c r="AC48" s="17">
        <f>AC47-AC22</f>
        <v/>
      </c>
      <c r="AD48" s="17">
        <f>AD47-AD22</f>
        <v/>
      </c>
      <c r="AE48" s="17">
        <f>AE47-AE22</f>
        <v/>
      </c>
      <c r="AF48" s="17">
        <f>AF47-AF22</f>
        <v/>
      </c>
    </row>
    <row r="49">
      <c r="A49" s="8" t="inlineStr">
        <is>
          <t>Money out</t>
        </is>
      </c>
      <c r="B49" t="n">
        <v>0</v>
      </c>
      <c r="C49" t="n">
        <v>-172856.57</v>
      </c>
      <c r="D49" t="n">
        <v>-10577.38</v>
      </c>
      <c r="E49" t="n">
        <v>-632.54</v>
      </c>
      <c r="F49" t="n">
        <v>-164095.85</v>
      </c>
      <c r="G49" t="n">
        <v>-23336.49</v>
      </c>
      <c r="H49" t="n">
        <v>0</v>
      </c>
      <c r="I49" t="n">
        <v>0</v>
      </c>
      <c r="J49" t="n">
        <v>-9657.139999999999</v>
      </c>
      <c r="K49" t="n">
        <v>-2130.97</v>
      </c>
      <c r="L49" t="n">
        <v>-1344</v>
      </c>
      <c r="M49" t="n">
        <v>-8771.609999999999</v>
      </c>
      <c r="N49" t="n">
        <v>-63276.96999999999</v>
      </c>
      <c r="O49" t="n">
        <v>0</v>
      </c>
      <c r="P49" t="n">
        <v>0</v>
      </c>
      <c r="Q49" t="n">
        <v>-25383.74</v>
      </c>
      <c r="R49" t="n">
        <v>-634.1700000000001</v>
      </c>
      <c r="S49" t="n">
        <v>-16720.62</v>
      </c>
      <c r="T49" t="n">
        <v>-2116.25</v>
      </c>
      <c r="U49" t="n">
        <v>-10071.99</v>
      </c>
      <c r="V49" t="n">
        <v>0</v>
      </c>
      <c r="W49" t="n">
        <v>0</v>
      </c>
      <c r="X49" t="n">
        <v>-23081.95</v>
      </c>
      <c r="Y49" t="n">
        <v>-19660.64</v>
      </c>
      <c r="Z49" t="n">
        <v>-33951.27</v>
      </c>
      <c r="AA49" t="n">
        <v>-201850.25</v>
      </c>
      <c r="AB49" t="n">
        <v>-6982.67</v>
      </c>
      <c r="AC49" t="n">
        <v>-576.85</v>
      </c>
      <c r="AD49" t="n">
        <v>0</v>
      </c>
      <c r="AE49" t="n">
        <v>-37966.76</v>
      </c>
      <c r="AF49" t="n">
        <v>-701508.3</v>
      </c>
      <c r="AG49">
        <f>SUM(B49:AF49)+130000</f>
        <v/>
      </c>
    </row>
    <row r="50" ht="15.75" customHeight="1" thickBot="1">
      <c r="A50" s="20" t="inlineStr">
        <is>
          <t>Balance in Bank at the end of the day</t>
        </is>
      </c>
      <c r="B50" s="29">
        <f>B46+B49+176880.7</f>
        <v/>
      </c>
      <c r="C50" s="29">
        <f>B50+C46+C49</f>
        <v/>
      </c>
      <c r="D50" s="29">
        <f>C50+D46+D49</f>
        <v/>
      </c>
      <c r="E50" s="29">
        <f>D50+E46+E49</f>
        <v/>
      </c>
      <c r="F50" s="29">
        <f>E50+F46+F49</f>
        <v/>
      </c>
      <c r="G50" s="29">
        <f>F50+G46+G49</f>
        <v/>
      </c>
      <c r="H50" s="29">
        <f>G50+H46+H49</f>
        <v/>
      </c>
      <c r="I50" s="29">
        <f>H50+I46+I49</f>
        <v/>
      </c>
      <c r="J50" s="29">
        <f>I50+J46+J49</f>
        <v/>
      </c>
      <c r="K50" s="29">
        <f>J50+K46+K49</f>
        <v/>
      </c>
      <c r="L50" s="29">
        <f>K50+L46+L49</f>
        <v/>
      </c>
      <c r="M50" s="29">
        <f>L50+M46+M49</f>
        <v/>
      </c>
      <c r="N50" s="29">
        <f>M50+N46+N49</f>
        <v/>
      </c>
      <c r="O50" s="29">
        <f>N50+O46+O49</f>
        <v/>
      </c>
      <c r="P50" s="29">
        <f>O50+P46+P49</f>
        <v/>
      </c>
      <c r="Q50" s="29">
        <f>P50+Q46+Q49</f>
        <v/>
      </c>
      <c r="R50" s="29">
        <f>Q50+R46+R49</f>
        <v/>
      </c>
      <c r="S50" s="29">
        <f>R50+S46+S49</f>
        <v/>
      </c>
      <c r="T50" s="29">
        <f>S50+T46+T49</f>
        <v/>
      </c>
      <c r="U50" s="29">
        <f>T50+U46+U49</f>
        <v/>
      </c>
      <c r="V50" s="29">
        <f>U50+V46+V49</f>
        <v/>
      </c>
      <c r="W50" s="29">
        <f>V50+W46+W49</f>
        <v/>
      </c>
      <c r="X50" s="29">
        <f>W50+X46+X49</f>
        <v/>
      </c>
      <c r="Y50" s="29">
        <f>X50+Y46+Y49</f>
        <v/>
      </c>
      <c r="Z50" s="29">
        <f>Y50+Z46+Z49</f>
        <v/>
      </c>
      <c r="AA50" s="29">
        <f>Z50+AA46+AA49</f>
        <v/>
      </c>
      <c r="AB50" s="29">
        <f>AA50+AB46+AB49</f>
        <v/>
      </c>
      <c r="AC50" s="29">
        <f>AB50+AC46+AC49</f>
        <v/>
      </c>
      <c r="AD50" s="29">
        <f>AC50+AD46+AD49</f>
        <v/>
      </c>
      <c r="AE50" s="29">
        <f>AD50+AE46+AE49</f>
        <v/>
      </c>
      <c r="AF50" s="29">
        <f>AE50+AF46+AF49</f>
        <v/>
      </c>
    </row>
    <row r="51" ht="15.75" customHeight="1" thickTop="1"/>
    <row r="52">
      <c r="Z52" t="n">
        <v>-130000</v>
      </c>
    </row>
    <row r="56">
      <c r="A56" s="51" t="inlineStr">
        <is>
          <t>Chasing</t>
        </is>
      </c>
      <c r="P56" s="25" t="n"/>
      <c r="U56" s="25" t="n"/>
    </row>
    <row r="57">
      <c r="A57" t="inlineStr">
        <is>
          <t>Birmingham</t>
        </is>
      </c>
      <c r="B57" t="n">
        <v>9513.280000000001</v>
      </c>
      <c r="P57" s="25" t="n"/>
      <c r="U57" s="25" t="n"/>
    </row>
    <row r="58">
      <c r="A58" t="inlineStr">
        <is>
          <t>Nhs Birmingham</t>
        </is>
      </c>
      <c r="B58" t="n">
        <v>11896.09</v>
      </c>
    </row>
    <row r="59">
      <c r="A59" t="inlineStr">
        <is>
          <t>Nhs black country</t>
        </is>
      </c>
      <c r="B59" t="n">
        <v>27706.32</v>
      </c>
    </row>
    <row r="60">
      <c r="A60" t="inlineStr">
        <is>
          <t>Sandwell</t>
        </is>
      </c>
      <c r="B60" t="n">
        <v>25844.1</v>
      </c>
    </row>
    <row r="61">
      <c r="A61" s="52" t="inlineStr">
        <is>
          <t xml:space="preserve">Walsall </t>
        </is>
      </c>
      <c r="B61" t="n">
        <v>3636.16</v>
      </c>
    </row>
    <row r="62">
      <c r="A62" t="inlineStr">
        <is>
          <t>Wolverhampton</t>
        </is>
      </c>
      <c r="B62" t="n">
        <v>26108.27</v>
      </c>
    </row>
    <row r="63" ht="15.75" customHeight="1" thickBot="1">
      <c r="A63" s="50" t="inlineStr">
        <is>
          <t>Total</t>
        </is>
      </c>
      <c r="B63" s="29">
        <f>SUM(B57:B62)</f>
        <v/>
      </c>
    </row>
    <row r="64" ht="15.75" customHeight="1" thickTop="1"/>
  </sheetData>
  <conditionalFormatting sqref="B48:AF48">
    <cfRule type="cellIs" priority="1" operator="greaterThan" dxfId="2">
      <formula>0</formula>
    </cfRule>
    <cfRule type="cellIs" priority="2" operator="lessThan" dxfId="0">
      <formula>0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AG65"/>
  <sheetViews>
    <sheetView zoomScale="70" zoomScaleNormal="70" workbookViewId="0">
      <pane xSplit="1" topLeftCell="B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3.140625" bestFit="1" customWidth="1" min="2" max="2"/>
    <col width="13.42578125" bestFit="1" customWidth="1" min="3" max="4"/>
    <col width="12.5703125" bestFit="1" customWidth="1" min="5" max="5"/>
    <col width="13.42578125" bestFit="1" customWidth="1" min="6" max="6"/>
    <col width="12.5703125" bestFit="1" customWidth="1" min="7" max="8"/>
    <col width="13.140625" bestFit="1" customWidth="1" min="9" max="9"/>
    <col width="12.5703125" bestFit="1" customWidth="1" min="10" max="15"/>
    <col width="13.140625" bestFit="1" customWidth="1" min="16" max="16"/>
    <col width="12.5703125" bestFit="1" customWidth="1" min="17" max="22"/>
    <col width="13.140625" bestFit="1" customWidth="1" min="23" max="23"/>
    <col width="12.5703125" bestFit="1" customWidth="1" min="24" max="25"/>
    <col width="13.5703125" bestFit="1" customWidth="1" min="26" max="29"/>
    <col width="13.140625" bestFit="1" customWidth="1" min="30" max="30"/>
    <col width="11.140625" bestFit="1" customWidth="1" min="31" max="32"/>
    <col width="13.5703125" bestFit="1" customWidth="1" min="33" max="33"/>
  </cols>
  <sheetData>
    <row r="1">
      <c r="A1" s="1" t="n"/>
      <c r="B1" s="2" t="inlineStr">
        <is>
          <t>Nov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Wednesday</t>
        </is>
      </c>
      <c r="C2" s="2" t="inlineStr">
        <is>
          <t>Thursday</t>
        </is>
      </c>
      <c r="D2" s="2" t="inlineStr">
        <is>
          <t>Friday</t>
        </is>
      </c>
      <c r="E2" s="2" t="inlineStr">
        <is>
          <t>Saturday</t>
        </is>
      </c>
      <c r="F2" s="2" t="inlineStr">
        <is>
          <t>Sunday</t>
        </is>
      </c>
      <c r="G2" s="2" t="inlineStr">
        <is>
          <t>Monday</t>
        </is>
      </c>
      <c r="H2" s="2" t="inlineStr">
        <is>
          <t>Tuesday</t>
        </is>
      </c>
      <c r="I2" s="2" t="inlineStr">
        <is>
          <t>Wednesday</t>
        </is>
      </c>
      <c r="J2" s="2" t="inlineStr">
        <is>
          <t>Thursday</t>
        </is>
      </c>
      <c r="K2" s="2" t="inlineStr">
        <is>
          <t>Friday</t>
        </is>
      </c>
      <c r="L2" s="2" t="inlineStr">
        <is>
          <t>Saturday</t>
        </is>
      </c>
      <c r="M2" s="2" t="inlineStr">
        <is>
          <t>Sunday</t>
        </is>
      </c>
      <c r="N2" s="2" t="inlineStr">
        <is>
          <t>Monday</t>
        </is>
      </c>
      <c r="O2" s="2" t="inlineStr">
        <is>
          <t>Tuesday</t>
        </is>
      </c>
      <c r="P2" s="2" t="inlineStr">
        <is>
          <t>Wednesday</t>
        </is>
      </c>
      <c r="Q2" s="2" t="inlineStr">
        <is>
          <t>Thursday</t>
        </is>
      </c>
      <c r="R2" s="2" t="inlineStr">
        <is>
          <t>Friday</t>
        </is>
      </c>
      <c r="S2" s="2" t="inlineStr">
        <is>
          <t>Saturday</t>
        </is>
      </c>
      <c r="T2" s="2" t="inlineStr">
        <is>
          <t>Sunday</t>
        </is>
      </c>
      <c r="U2" s="2" t="inlineStr">
        <is>
          <t>Monday</t>
        </is>
      </c>
      <c r="V2" s="2" t="inlineStr">
        <is>
          <t>Tuesday</t>
        </is>
      </c>
      <c r="W2" s="2" t="inlineStr">
        <is>
          <t>Wednesday</t>
        </is>
      </c>
      <c r="X2" s="2" t="inlineStr">
        <is>
          <t>Thursday</t>
        </is>
      </c>
      <c r="Y2" s="2" t="inlineStr">
        <is>
          <t>Friday</t>
        </is>
      </c>
      <c r="Z2" s="2" t="inlineStr">
        <is>
          <t>Saturday</t>
        </is>
      </c>
      <c r="AA2" s="2" t="inlineStr">
        <is>
          <t>Sunday</t>
        </is>
      </c>
      <c r="AB2" s="2" t="inlineStr">
        <is>
          <t>Monday</t>
        </is>
      </c>
      <c r="AC2" s="2" t="inlineStr">
        <is>
          <t>Tuesday</t>
        </is>
      </c>
      <c r="AD2" s="2" t="inlineStr">
        <is>
          <t>Wednesday</t>
        </is>
      </c>
      <c r="AE2" s="2" t="inlineStr">
        <is>
          <t>Thursday</t>
        </is>
      </c>
      <c r="AF2" s="2" t="n"/>
      <c r="AG2" s="2" t="inlineStr">
        <is>
          <t>Total</t>
        </is>
      </c>
    </row>
    <row r="3">
      <c r="A3" s="1" t="n"/>
      <c r="B3" s="4" t="inlineStr">
        <is>
          <t>1st</t>
        </is>
      </c>
      <c r="C3" s="4" t="inlineStr">
        <is>
          <t>2nd</t>
        </is>
      </c>
      <c r="D3" s="4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3" t="inlineStr">
        <is>
          <t>8th</t>
        </is>
      </c>
      <c r="J3" s="3" t="inlineStr">
        <is>
          <t>9th</t>
        </is>
      </c>
      <c r="K3" s="3" t="inlineStr">
        <is>
          <t>10th</t>
        </is>
      </c>
      <c r="L3" s="3" t="inlineStr">
        <is>
          <t>11th</t>
        </is>
      </c>
      <c r="M3" s="3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n"/>
      <c r="AG3" s="1" t="n"/>
    </row>
    <row r="4" ht="15.75" customHeight="1">
      <c r="A4" s="8" t="inlineStr">
        <is>
          <t>B-HAM CITY COUNCIL-200790-70489166</t>
        </is>
      </c>
      <c r="D4" s="9" t="n"/>
      <c r="E4" s="9" t="n"/>
      <c r="F4" s="9" t="n"/>
      <c r="G4" s="9" t="n"/>
      <c r="H4" t="n">
        <v>65406.76</v>
      </c>
      <c r="I4" s="9" t="n"/>
      <c r="J4" s="12" t="n"/>
      <c r="K4" s="9" t="n"/>
      <c r="L4" s="12" t="n"/>
      <c r="M4" s="9" t="n"/>
      <c r="N4" s="12" t="n"/>
      <c r="O4" s="12" t="n"/>
      <c r="P4" t="n">
        <v>11896.09</v>
      </c>
      <c r="Q4" s="12" t="n"/>
      <c r="R4" s="9" t="n"/>
      <c r="S4" s="9" t="n"/>
      <c r="T4" s="9" t="n"/>
      <c r="U4" s="9" t="n"/>
      <c r="V4" s="9" t="n"/>
      <c r="W4" s="9" t="n"/>
      <c r="X4" s="26" t="n">
        <v>5041.28</v>
      </c>
      <c r="Y4" s="9" t="n"/>
      <c r="Z4" s="9" t="n"/>
      <c r="AA4" s="9" t="n"/>
      <c r="AB4" s="9" t="n"/>
      <c r="AC4" s="9" t="n"/>
      <c r="AD4" s="9" t="n"/>
      <c r="AE4" s="9" t="n"/>
      <c r="AF4" s="9" t="n"/>
      <c r="AG4" s="13">
        <f>SUM(B4:AE4)</f>
        <v/>
      </c>
    </row>
    <row r="5" ht="15.75" customHeight="1">
      <c r="A5" s="8" t="inlineStr">
        <is>
          <t>Accord/Age uk</t>
        </is>
      </c>
      <c r="C5" s="9" t="n"/>
      <c r="D5" s="9" t="n"/>
      <c r="E5" s="9" t="n"/>
      <c r="F5" s="9" t="n"/>
      <c r="H5" s="9" t="n"/>
      <c r="I5" s="9" t="n"/>
      <c r="K5" s="9" t="n"/>
      <c r="L5" s="9" t="n"/>
      <c r="M5" s="9" t="n"/>
      <c r="O5" s="9" t="n"/>
      <c r="P5" s="9" t="n"/>
      <c r="Q5" s="9" t="n"/>
      <c r="S5" s="9" t="n"/>
      <c r="T5" s="9" t="n"/>
      <c r="U5" s="9" t="n"/>
      <c r="V5" s="9" t="n"/>
      <c r="W5" s="9" t="n"/>
      <c r="X5" s="31" t="n"/>
      <c r="Y5" s="9" t="n"/>
      <c r="Z5" s="9" t="n"/>
      <c r="AA5" s="9" t="n"/>
      <c r="AB5" s="12" t="n"/>
      <c r="AC5" s="9" t="n"/>
      <c r="AD5" s="9" t="n"/>
      <c r="AE5" s="9" t="n"/>
      <c r="AF5" s="9" t="n"/>
      <c r="AG5" s="13">
        <f>SUM(B5:AE5)</f>
        <v/>
      </c>
    </row>
    <row r="6" ht="15.75" customHeight="1">
      <c r="A6" s="8" t="inlineStr">
        <is>
          <t>Buckingham</t>
        </is>
      </c>
      <c r="D6" s="9" t="n"/>
      <c r="E6" s="9" t="n"/>
      <c r="F6" s="9" t="n"/>
      <c r="H6" s="9" t="n"/>
      <c r="I6" s="12" t="n"/>
      <c r="K6" s="9" t="n"/>
      <c r="L6" s="9" t="n"/>
      <c r="M6" s="9" t="n"/>
      <c r="O6" s="9" t="n"/>
      <c r="P6" s="9" t="n"/>
      <c r="Q6" s="9" t="n"/>
      <c r="S6" s="9" t="n"/>
      <c r="T6" s="9" t="n"/>
      <c r="U6" s="9" t="n"/>
      <c r="W6" s="9" t="n"/>
      <c r="X6" s="31" t="n"/>
      <c r="Y6" t="n">
        <v>4937.64</v>
      </c>
      <c r="Z6" s="9" t="n"/>
      <c r="AA6" s="9" t="n"/>
      <c r="AB6" s="9" t="n"/>
      <c r="AC6" s="9" t="n"/>
      <c r="AD6" s="9" t="n"/>
      <c r="AE6" s="9" t="n"/>
      <c r="AF6" s="9" t="n"/>
      <c r="AG6" s="13">
        <f>SUM(B6:AE6)</f>
        <v/>
      </c>
    </row>
    <row r="7" ht="15.75" customHeight="1">
      <c r="A7" s="8" t="inlineStr">
        <is>
          <t>Sandwell respite est</t>
        </is>
      </c>
      <c r="D7" s="9" t="n"/>
      <c r="E7" s="9" t="n"/>
      <c r="F7" s="9" t="n"/>
      <c r="H7" s="9" t="n"/>
      <c r="I7" s="9" t="n"/>
      <c r="K7" s="9" t="n"/>
      <c r="L7" s="9" t="n"/>
      <c r="M7" s="9" t="n"/>
      <c r="N7" t="n">
        <v>1088</v>
      </c>
      <c r="O7" s="9" t="n"/>
      <c r="P7" s="9" t="n"/>
      <c r="Q7" s="9" t="n"/>
      <c r="S7" s="9" t="n"/>
      <c r="T7" s="9" t="n"/>
      <c r="U7" s="9" t="n"/>
      <c r="V7" s="9" t="n"/>
      <c r="W7" s="9" t="n"/>
      <c r="X7" s="31" t="n"/>
      <c r="Y7" t="n">
        <v>11723.2</v>
      </c>
      <c r="Z7" s="9" t="n"/>
      <c r="AA7" s="9" t="n"/>
      <c r="AB7" s="9" t="n"/>
      <c r="AC7" s="9" t="n"/>
      <c r="AD7" s="9" t="n"/>
      <c r="AE7" s="9" t="n">
        <v>12000</v>
      </c>
      <c r="AF7" s="9" t="n"/>
      <c r="AG7" s="13">
        <f>SUM(B7:AE7)</f>
        <v/>
      </c>
    </row>
    <row r="8" ht="15.75" customHeight="1">
      <c r="A8" s="8" t="inlineStr">
        <is>
          <t xml:space="preserve">Wolverhampton respite est </t>
        </is>
      </c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t="n">
        <v>11782.03</v>
      </c>
      <c r="O8" s="9" t="n"/>
      <c r="P8" s="9" t="n"/>
      <c r="Q8" s="9" t="n"/>
      <c r="R8" t="n">
        <v>10606.72</v>
      </c>
      <c r="S8" s="9" t="n"/>
      <c r="T8" s="9" t="n"/>
      <c r="U8" s="9" t="n"/>
      <c r="V8" s="9" t="n"/>
      <c r="W8" s="9" t="n"/>
      <c r="X8" s="26" t="n"/>
      <c r="Y8" s="9" t="n"/>
      <c r="Z8" s="9" t="n"/>
      <c r="AA8" s="9" t="n"/>
      <c r="AB8" s="9" t="n"/>
      <c r="AC8" s="9" t="n"/>
      <c r="AD8" s="9" t="n"/>
      <c r="AE8" s="9" t="n">
        <v>20000</v>
      </c>
      <c r="AF8" s="9" t="n"/>
      <c r="AG8" s="13">
        <f>SUM(B8:AE8)</f>
        <v/>
      </c>
    </row>
    <row r="9" ht="15.75" customHeight="1">
      <c r="A9" s="8" t="inlineStr">
        <is>
          <t>Walsall Respite</t>
        </is>
      </c>
      <c r="C9" s="9" t="n"/>
      <c r="D9" t="n">
        <v>3178.96</v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26" t="n">
        <v>17047.2</v>
      </c>
      <c r="W9" s="9" t="n"/>
      <c r="X9" s="26" t="n"/>
      <c r="Y9" s="9" t="n"/>
      <c r="Z9" s="9" t="n"/>
      <c r="AA9" s="9" t="n"/>
      <c r="AB9" s="9" t="n"/>
      <c r="AC9" s="12" t="n"/>
      <c r="AD9" s="9" t="n"/>
      <c r="AE9" s="9" t="n">
        <v>20000</v>
      </c>
      <c r="AF9" s="9" t="n"/>
      <c r="AG9" s="13">
        <f>SUM(B9:AE9)</f>
        <v/>
      </c>
    </row>
    <row r="10" ht="18.75" customHeight="1">
      <c r="A10" s="8" t="inlineStr">
        <is>
          <t>Ideal for All Ltd</t>
        </is>
      </c>
      <c r="C10" s="11" t="n"/>
      <c r="D10" s="12" t="n"/>
      <c r="E10" s="9" t="n"/>
      <c r="F10" s="12" t="n"/>
      <c r="G10" t="n">
        <v>3556.45</v>
      </c>
      <c r="H10" s="11" t="n"/>
      <c r="I10" s="9" t="n"/>
      <c r="J10" s="12" t="n"/>
      <c r="K10" s="11" t="n"/>
      <c r="L10" s="12" t="n"/>
      <c r="M10" s="11" t="n"/>
      <c r="N10" s="12" t="n"/>
      <c r="O10" s="12" t="n"/>
      <c r="P10" s="11" t="n"/>
      <c r="Q10" s="12" t="n"/>
      <c r="R10" s="9" t="n"/>
      <c r="S10" s="12" t="n"/>
      <c r="T10" s="12" t="n"/>
      <c r="U10" s="12" t="n"/>
      <c r="V10" s="26" t="n"/>
      <c r="W10" s="9" t="n"/>
      <c r="X10" s="26" t="n"/>
      <c r="Y10" s="12" t="n"/>
      <c r="Z10" s="9" t="n"/>
      <c r="AA10" s="12" t="n"/>
      <c r="AB10" s="12" t="n"/>
      <c r="AC10" s="9" t="n"/>
      <c r="AD10" s="9" t="n"/>
      <c r="AE10" s="9" t="n"/>
      <c r="AF10" s="9" t="n"/>
      <c r="AG10" s="13">
        <f>SUM(B10:AE10)</f>
        <v/>
      </c>
    </row>
    <row r="11" ht="15.75" customHeight="1">
      <c r="A11" s="8" t="inlineStr">
        <is>
          <t>KIRKLEES COUNCIL-204312-63046958</t>
        </is>
      </c>
      <c r="C11" s="9" t="n"/>
      <c r="D11" s="9" t="n"/>
      <c r="E11" s="9" t="n"/>
      <c r="F11" s="9" t="n"/>
      <c r="G11" s="9" t="n"/>
      <c r="H11" s="9" t="n"/>
      <c r="I11" s="9" t="n"/>
      <c r="J11" s="9" t="n"/>
      <c r="K11" s="12" t="n"/>
      <c r="L11" s="9" t="n"/>
      <c r="M11" s="9" t="n"/>
      <c r="N11" s="12" t="n"/>
      <c r="O11" s="9" t="n"/>
      <c r="P11" s="9" t="n"/>
      <c r="R11" s="9" t="n"/>
      <c r="S11" s="9" t="n"/>
      <c r="T11" s="12" t="n"/>
      <c r="U11" s="9" t="n"/>
      <c r="V11" s="31" t="n"/>
      <c r="W11" s="9" t="n"/>
      <c r="X11" s="26" t="n"/>
      <c r="Z11" s="9" t="n"/>
      <c r="AA11" s="9" t="n"/>
      <c r="AB11" s="12" t="n"/>
      <c r="AC11" s="9" t="n"/>
      <c r="AD11" s="9" t="n"/>
      <c r="AE11" s="9" t="n"/>
      <c r="AF11" s="12" t="n"/>
      <c r="AG11" s="13">
        <f>SUM(B11:AE11)</f>
        <v/>
      </c>
    </row>
    <row r="12" ht="15.75" customHeight="1">
      <c r="A12" s="8" t="inlineStr">
        <is>
          <t>LBH PAYMENTS BACS-602210-72430192</t>
        </is>
      </c>
      <c r="C12" t="n">
        <v>5040</v>
      </c>
      <c r="D12" s="9" t="n"/>
      <c r="E12" s="9" t="n"/>
      <c r="F12" s="12" t="n"/>
      <c r="G12" s="9" t="n"/>
      <c r="H12" s="9" t="n"/>
      <c r="I12" s="9" t="n"/>
      <c r="J12" s="9" t="n"/>
      <c r="K12" s="9" t="n"/>
      <c r="L12" s="12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  <c r="V12" s="26" t="n"/>
      <c r="W12" s="9" t="n"/>
      <c r="X12" s="26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SUM(B12:AE12)</f>
        <v/>
      </c>
    </row>
    <row r="13" ht="15.75" customHeight="1">
      <c r="A13" s="8" t="inlineStr">
        <is>
          <t>NHS BIRMINGHAM &amp; S-607080-10017097</t>
        </is>
      </c>
      <c r="C13" s="9" t="n"/>
      <c r="D13" s="9" t="n"/>
      <c r="E13" s="9" t="n"/>
      <c r="F13" s="9" t="n"/>
      <c r="G13" s="9" t="n"/>
      <c r="H13" s="9" t="n"/>
      <c r="I13" s="9" t="n"/>
      <c r="J13" s="12" t="n"/>
      <c r="K13" t="n">
        <v>6201.34</v>
      </c>
      <c r="L13" s="9" t="n"/>
      <c r="M13" s="12" t="n"/>
      <c r="N13" s="12" t="n"/>
      <c r="O13" s="9" t="n"/>
      <c r="P13" s="9" t="n"/>
      <c r="Q13" s="9" t="n"/>
      <c r="R13" s="9" t="n"/>
      <c r="S13" s="9" t="n"/>
      <c r="T13" s="9" t="n"/>
      <c r="U13" s="9" t="n"/>
      <c r="V13" s="26" t="n"/>
      <c r="W13" s="12" t="n"/>
      <c r="X13" s="26" t="n"/>
      <c r="Z13" s="9" t="n"/>
      <c r="AA13" s="9" t="n"/>
      <c r="AB13" s="12" t="n"/>
      <c r="AC13" s="9" t="n"/>
      <c r="AD13" s="9" t="n"/>
      <c r="AE13" s="9" t="n"/>
      <c r="AF13" s="9" t="n"/>
      <c r="AG13" s="13">
        <f>SUM(B13:AE13)</f>
        <v/>
      </c>
    </row>
    <row r="14" ht="15.75" customHeight="1">
      <c r="A14" s="8" t="inlineStr">
        <is>
          <t>NHS BLACK COUNTRY-607080-10015272</t>
        </is>
      </c>
      <c r="C14" s="9" t="n"/>
      <c r="D14" s="9" t="n"/>
      <c r="E14" s="9" t="n"/>
      <c r="F14" s="9" t="n"/>
      <c r="G14" s="12" t="n"/>
      <c r="H14" s="9" t="n"/>
      <c r="I14" s="12" t="n"/>
      <c r="J14" s="9" t="n"/>
      <c r="K14" t="n">
        <v>13625.17</v>
      </c>
      <c r="L14" s="9" t="n"/>
      <c r="M14" s="12" t="n"/>
      <c r="N14" s="12" t="n"/>
      <c r="O14" t="n">
        <v>24757.85</v>
      </c>
      <c r="P14" s="12" t="n"/>
      <c r="Q14" s="9" t="n"/>
      <c r="R14" t="n">
        <v>1468.8</v>
      </c>
      <c r="S14" s="9" t="n"/>
      <c r="T14" s="9" t="n"/>
      <c r="U14" s="9" t="n"/>
      <c r="V14" s="26" t="n"/>
      <c r="W14" s="12" t="n"/>
      <c r="X14" s="26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>
        <f>SUM(B14:AE14)</f>
        <v/>
      </c>
    </row>
    <row r="15" ht="15.75" customHeight="1">
      <c r="A15" s="14" t="inlineStr">
        <is>
          <t>SANDWELL MBC  BEN-601539-69624151</t>
        </is>
      </c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31" t="n">
        <v>3318.24</v>
      </c>
      <c r="O15" s="9" t="n"/>
      <c r="P15" s="9" t="n"/>
      <c r="Q15" s="12" t="n"/>
      <c r="R15" s="9" t="n"/>
      <c r="S15" s="12" t="n"/>
      <c r="T15" s="9" t="n"/>
      <c r="U15" s="9" t="n"/>
      <c r="V15" s="31" t="n"/>
      <c r="W15" s="9" t="n"/>
      <c r="X15" s="26" t="n"/>
      <c r="Y15" s="9" t="n"/>
      <c r="Z15" s="9" t="n"/>
      <c r="AA15" s="9" t="n"/>
      <c r="AB15" s="9" t="n"/>
      <c r="AC15" s="9" t="n"/>
      <c r="AD15" s="9" t="n"/>
      <c r="AE15" s="9" t="n"/>
      <c r="AF15" s="9" t="n"/>
      <c r="AG15" s="13">
        <f>SUM(B15:AE15)</f>
        <v/>
      </c>
    </row>
    <row r="16" ht="15.75" customHeight="1">
      <c r="A16" s="14" t="inlineStr">
        <is>
          <t>SANDWELL MBC-601539-69624135</t>
        </is>
      </c>
      <c r="C16" s="9" t="n"/>
      <c r="D16" s="9" t="n"/>
      <c r="E16" s="9" t="n"/>
      <c r="F16" s="9" t="n"/>
      <c r="H16" s="9" t="n"/>
      <c r="I16" s="9" t="n"/>
      <c r="J16" s="9" t="n"/>
      <c r="K16" s="9" t="n"/>
      <c r="L16" s="9" t="n"/>
      <c r="M16" s="9" t="n"/>
      <c r="N16" s="9" t="n">
        <v>115000</v>
      </c>
      <c r="O16" s="9" t="n"/>
      <c r="P16" s="9" t="n"/>
      <c r="Q16" s="9" t="n"/>
      <c r="R16" s="9" t="n"/>
      <c r="S16" s="9" t="n"/>
      <c r="T16" s="9" t="n"/>
      <c r="V16" s="9" t="n"/>
      <c r="W16" s="9" t="n"/>
      <c r="X16" s="9" t="n"/>
      <c r="Y16" s="9" t="n"/>
      <c r="Z16" s="9" t="n"/>
      <c r="AA16" s="9" t="n"/>
      <c r="AB16" s="9" t="n">
        <v>115000</v>
      </c>
      <c r="AD16" s="9" t="n"/>
      <c r="AE16" s="9" t="n"/>
      <c r="AF16" s="9" t="n"/>
      <c r="AG16" s="13">
        <f>SUM(B16:AE16)</f>
        <v/>
      </c>
    </row>
    <row r="17" ht="15.75" customHeight="1">
      <c r="A17" s="15" t="inlineStr">
        <is>
          <t>SOLIHULL MBC EXP.-200771-00561525</t>
        </is>
      </c>
      <c r="G17" s="31" t="n">
        <v>30000.6</v>
      </c>
      <c r="H17" s="9" t="n"/>
      <c r="I17" s="12" t="n"/>
      <c r="J17" s="9" t="n"/>
      <c r="K17" s="9" t="n"/>
      <c r="L17" s="9" t="n"/>
      <c r="M17" s="9" t="n"/>
      <c r="N17" s="9" t="n"/>
      <c r="O17" s="12" t="n"/>
      <c r="P17" s="9" t="n"/>
      <c r="Q17" s="9" t="n"/>
      <c r="R17" s="9" t="n"/>
      <c r="S17" s="9" t="n"/>
      <c r="T17" s="9" t="n"/>
      <c r="U17" s="12" t="n"/>
      <c r="V17" s="26" t="n"/>
      <c r="W17" s="9" t="n"/>
      <c r="X17" s="26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SUM(B17:AE17)</f>
        <v/>
      </c>
    </row>
    <row r="18" ht="15.75" customHeight="1">
      <c r="A18" s="15" t="inlineStr">
        <is>
          <t>WALSALL MBC BARC-209073-10731692</t>
        </is>
      </c>
      <c r="G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V18" s="26" t="n">
        <v>159119.4</v>
      </c>
      <c r="W18" s="9" t="n"/>
      <c r="X18" s="26" t="n"/>
      <c r="Y18" s="9" t="n"/>
      <c r="Z18" s="12" t="n"/>
      <c r="AA18" s="9" t="n"/>
      <c r="AB18" s="9" t="n"/>
      <c r="AC18" s="12" t="n"/>
      <c r="AD18" s="9" t="n"/>
      <c r="AE18" s="9" t="n"/>
      <c r="AF18" s="9" t="n"/>
      <c r="AG18" s="13">
        <f>SUM(B18:AE18)</f>
        <v/>
      </c>
    </row>
    <row r="19" ht="15.75" customHeight="1">
      <c r="A19" s="15" t="inlineStr">
        <is>
          <t>WOLVERHAMPTON CC-560069-44470320</t>
        </is>
      </c>
      <c r="C19" s="9" t="n">
        <v>106000</v>
      </c>
      <c r="D19" s="9" t="n"/>
      <c r="E19" s="9" t="n"/>
      <c r="F19" s="9" t="n"/>
      <c r="G19" s="9" t="n"/>
      <c r="H19" s="9" t="n"/>
      <c r="I19" s="9" t="n"/>
      <c r="J19" s="9" t="n">
        <v>106000</v>
      </c>
      <c r="K19" s="9" t="n"/>
      <c r="L19" s="9" t="n"/>
      <c r="M19" s="9" t="n"/>
      <c r="N19" s="9" t="n"/>
      <c r="O19" s="9" t="n"/>
      <c r="P19" s="9" t="n"/>
      <c r="Q19" s="9" t="n">
        <v>106000</v>
      </c>
      <c r="R19" s="9" t="n"/>
      <c r="S19" s="9" t="n"/>
      <c r="T19" s="9" t="n"/>
      <c r="U19" s="9" t="n"/>
      <c r="V19" s="9" t="n"/>
      <c r="W19" s="9" t="n"/>
      <c r="X19" s="9" t="n">
        <v>106000</v>
      </c>
      <c r="Y19" s="9" t="n"/>
      <c r="Z19" s="9" t="n"/>
      <c r="AA19" s="9" t="n"/>
      <c r="AB19" s="9" t="n"/>
      <c r="AC19" s="9" t="n"/>
      <c r="AD19" s="9" t="n"/>
      <c r="AE19" s="9" t="n">
        <v>106000</v>
      </c>
      <c r="AF19" s="9" t="n"/>
      <c r="AG19" s="13">
        <f>SUM(B19:AE19)</f>
        <v/>
      </c>
    </row>
    <row r="20" ht="15.75" customHeight="1">
      <c r="A20" s="15" t="inlineStr">
        <is>
          <t>TLC</t>
        </is>
      </c>
      <c r="C20" s="9" t="n"/>
      <c r="D20" s="12" t="n"/>
      <c r="E20" s="12" t="n">
        <v>8529.25</v>
      </c>
      <c r="F20" s="9" t="n"/>
      <c r="G20" s="9" t="n"/>
      <c r="H20" s="9" t="n"/>
      <c r="I20" s="9" t="n"/>
      <c r="J20" s="9" t="n">
        <v>1155.4</v>
      </c>
      <c r="K20" s="9" t="n">
        <v>1744</v>
      </c>
      <c r="L20" s="12" t="n">
        <v>261.6</v>
      </c>
      <c r="M20" s="12" t="n"/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12" t="n">
        <v>261.6</v>
      </c>
      <c r="Y20" s="9" t="n"/>
      <c r="Z20" s="9" t="n">
        <v>8284</v>
      </c>
      <c r="AA20" s="9" t="n">
        <v>1155.4</v>
      </c>
      <c r="AB20" s="9" t="n"/>
      <c r="AC20" s="12" t="n"/>
      <c r="AD20" s="9" t="n"/>
      <c r="AE20" s="9" t="n">
        <v>1744</v>
      </c>
      <c r="AF20" s="9" t="n"/>
      <c r="AG20" s="13">
        <f>SUM(B20:AE20)</f>
        <v/>
      </c>
    </row>
    <row r="21" ht="15.75" customHeight="1">
      <c r="A21" s="15" t="inlineStr">
        <is>
          <t>HB SC</t>
        </is>
      </c>
      <c r="B21" s="16" t="n">
        <v>2350</v>
      </c>
      <c r="C21" s="16" t="n">
        <v>2350</v>
      </c>
      <c r="D21" s="16" t="n">
        <v>2350</v>
      </c>
      <c r="E21" s="16" t="n">
        <v>2350</v>
      </c>
      <c r="F21" s="16" t="n">
        <v>2350</v>
      </c>
      <c r="G21" s="16" t="n">
        <v>2350</v>
      </c>
      <c r="H21" s="16" t="n">
        <v>2350</v>
      </c>
      <c r="I21" s="16" t="n">
        <v>2350</v>
      </c>
      <c r="J21" s="16" t="n">
        <v>2350</v>
      </c>
      <c r="K21" s="16" t="n">
        <v>2350</v>
      </c>
      <c r="L21" s="16" t="n">
        <v>2350</v>
      </c>
      <c r="M21" s="16" t="n">
        <v>2350</v>
      </c>
      <c r="N21" s="16" t="n">
        <v>2350</v>
      </c>
      <c r="O21" s="16" t="n">
        <v>2350</v>
      </c>
      <c r="P21" s="16" t="n">
        <v>2350</v>
      </c>
      <c r="Q21" s="16" t="n">
        <v>2350</v>
      </c>
      <c r="R21" s="16" t="n">
        <v>2350</v>
      </c>
      <c r="S21" s="16" t="n">
        <v>2350</v>
      </c>
      <c r="T21" s="16" t="n">
        <v>2350</v>
      </c>
      <c r="U21" s="16" t="n">
        <v>2350</v>
      </c>
      <c r="V21" s="16" t="n">
        <v>2350</v>
      </c>
      <c r="W21" s="16" t="n">
        <v>2350</v>
      </c>
      <c r="X21" s="16" t="n">
        <v>2350</v>
      </c>
      <c r="Y21" s="16" t="n">
        <v>2350</v>
      </c>
      <c r="Z21" s="16" t="n">
        <v>2350</v>
      </c>
      <c r="AA21" s="16" t="n">
        <v>2350</v>
      </c>
      <c r="AB21" s="16" t="n">
        <v>2350</v>
      </c>
      <c r="AC21" s="16" t="n">
        <v>2350</v>
      </c>
      <c r="AD21" s="16" t="n">
        <v>2350</v>
      </c>
      <c r="AE21" s="16" t="n">
        <v>2350</v>
      </c>
      <c r="AF21" s="16" t="n"/>
      <c r="AG21" s="13">
        <f>SUM(B21:AE21)</f>
        <v/>
      </c>
    </row>
    <row r="22" ht="16.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>
        <f>SUM(E4:E21)</f>
        <v/>
      </c>
      <c r="F22">
        <f>SUM(F4:F21)</f>
        <v/>
      </c>
      <c r="G22">
        <f>SUM(G4:G21)</f>
        <v/>
      </c>
      <c r="H22">
        <f>SUM(H4:H21)</f>
        <v/>
      </c>
      <c r="I22">
        <f>SUM(I4:I21)</f>
        <v/>
      </c>
      <c r="J22">
        <f>SUM(J4:J21)</f>
        <v/>
      </c>
      <c r="K22">
        <f>SUM(K4:K21)</f>
        <v/>
      </c>
      <c r="L22">
        <f>SUM(L4:L21)</f>
        <v/>
      </c>
      <c r="M22">
        <f>SUM(M4:M21)</f>
        <v/>
      </c>
      <c r="N22">
        <f>SUM(N4:N21)</f>
        <v/>
      </c>
      <c r="O22">
        <f>SUM(O4:O21)</f>
        <v/>
      </c>
      <c r="P22">
        <f>SUM(P4:P21)</f>
        <v/>
      </c>
      <c r="Q22">
        <f>SUM(Q4:Q21)</f>
        <v/>
      </c>
      <c r="R22">
        <f>SUM(R4:R21)</f>
        <v/>
      </c>
      <c r="S22">
        <f>SUM(S4:S21)</f>
        <v/>
      </c>
      <c r="T22">
        <f>SUM(T4:T21)</f>
        <v/>
      </c>
      <c r="U22">
        <f>SUM(U4:U21)</f>
        <v/>
      </c>
      <c r="V22">
        <f>SUM(V4:V21)</f>
        <v/>
      </c>
      <c r="W22">
        <f>SUM(W4:W21)</f>
        <v/>
      </c>
      <c r="X22">
        <f>SUM(X4:X21)</f>
        <v/>
      </c>
      <c r="Y22">
        <f>SUM(Y4:Y21)</f>
        <v/>
      </c>
      <c r="Z22">
        <f>SUM(Z4:Z21)</f>
        <v/>
      </c>
      <c r="AA22">
        <f>SUM(AA4:AA21)</f>
        <v/>
      </c>
      <c r="AB22">
        <f>SUM(AB4:AB21)</f>
        <v/>
      </c>
      <c r="AC22">
        <f>SUM(AC4:AC21)</f>
        <v/>
      </c>
      <c r="AD22">
        <f>SUM(AD4:AD21)</f>
        <v/>
      </c>
      <c r="AE22">
        <f>SUM(AE4:AE21)</f>
        <v/>
      </c>
      <c r="AG22" s="22">
        <f>SUM(AG4:AG21)</f>
        <v/>
      </c>
    </row>
    <row r="23" ht="15.75" customHeight="1" thickTop="1">
      <c r="A23" s="15" t="inlineStr">
        <is>
          <t>Ruunning Total</t>
        </is>
      </c>
      <c r="B23">
        <f>B22</f>
        <v/>
      </c>
      <c r="C23">
        <f>B23+C22</f>
        <v/>
      </c>
      <c r="D23">
        <f>C23+D22</f>
        <v/>
      </c>
      <c r="E23">
        <f>D23+E22</f>
        <v/>
      </c>
      <c r="F23">
        <f>E23+F22</f>
        <v/>
      </c>
      <c r="G23">
        <f>F23+G22</f>
        <v/>
      </c>
      <c r="H23">
        <f>G23+H22</f>
        <v/>
      </c>
      <c r="I23">
        <f>H23+I22</f>
        <v/>
      </c>
      <c r="J23">
        <f>I23+J22</f>
        <v/>
      </c>
      <c r="K23">
        <f>J23+K22</f>
        <v/>
      </c>
      <c r="L23">
        <f>K23+L22</f>
        <v/>
      </c>
      <c r="M23">
        <f>L23+M22</f>
        <v/>
      </c>
      <c r="N23">
        <f>M23+N22</f>
        <v/>
      </c>
      <c r="O23">
        <f>N23+O22</f>
        <v/>
      </c>
      <c r="P23">
        <f>O23+P22</f>
        <v/>
      </c>
      <c r="Q23">
        <f>P23+Q22</f>
        <v/>
      </c>
      <c r="R23">
        <f>Q23+R22</f>
        <v/>
      </c>
      <c r="S23">
        <f>R23+S22</f>
        <v/>
      </c>
      <c r="T23">
        <f>S23+T22</f>
        <v/>
      </c>
      <c r="U23">
        <f>T23+U22</f>
        <v/>
      </c>
      <c r="V23">
        <f>U23+V22</f>
        <v/>
      </c>
      <c r="W23">
        <f>V23+W22</f>
        <v/>
      </c>
      <c r="X23">
        <f>W23+X22</f>
        <v/>
      </c>
      <c r="Y23">
        <f>X23+Y22</f>
        <v/>
      </c>
      <c r="Z23">
        <f>Y23+Z22</f>
        <v/>
      </c>
      <c r="AA23">
        <f>Z23+AA22</f>
        <v/>
      </c>
      <c r="AB23">
        <f>AA23+AB22</f>
        <v/>
      </c>
      <c r="AC23">
        <f>AB23+AC22</f>
        <v/>
      </c>
      <c r="AD23">
        <f>AC23+AD22</f>
        <v/>
      </c>
      <c r="AE23">
        <f>AD23+AE22</f>
        <v/>
      </c>
    </row>
    <row r="24" ht="15.75" customHeight="1">
      <c r="A24" s="8" t="inlineStr">
        <is>
          <t>Above or Bellow forecast Total</t>
        </is>
      </c>
      <c r="B24" s="17">
        <f>B23-#REF!</f>
        <v/>
      </c>
      <c r="C24" s="17">
        <f>C23-#REF!</f>
        <v/>
      </c>
      <c r="D24" s="17">
        <f>D23-#REF!</f>
        <v/>
      </c>
      <c r="E24" s="17">
        <f>E23-#REF!</f>
        <v/>
      </c>
      <c r="F24" s="17">
        <f>F23-#REF!</f>
        <v/>
      </c>
      <c r="G24" s="17">
        <f>G23-#REF!</f>
        <v/>
      </c>
      <c r="H24" s="17">
        <f>H23-#REF!</f>
        <v/>
      </c>
      <c r="I24" s="17">
        <f>I23-#REF!</f>
        <v/>
      </c>
      <c r="J24" s="17">
        <f>J23-#REF!</f>
        <v/>
      </c>
      <c r="K24" s="17">
        <f>K23-#REF!</f>
        <v/>
      </c>
      <c r="L24" s="17">
        <f>L23-#REF!</f>
        <v/>
      </c>
      <c r="M24" s="17">
        <f>M23-#REF!</f>
        <v/>
      </c>
    </row>
    <row r="25">
      <c r="A25" s="8" t="inlineStr">
        <is>
          <t>Money out</t>
        </is>
      </c>
      <c r="B25" t="n">
        <v>0</v>
      </c>
      <c r="C25" t="n">
        <v>-172856.57</v>
      </c>
      <c r="D25" t="n">
        <v>-10577.38</v>
      </c>
      <c r="E25" t="n">
        <v>-632.54</v>
      </c>
      <c r="F25" t="n">
        <v>-164095.85</v>
      </c>
      <c r="G25" t="n">
        <v>-23336.49</v>
      </c>
      <c r="H25" t="n">
        <v>0</v>
      </c>
      <c r="I25" t="n">
        <v>0</v>
      </c>
      <c r="J25" t="n">
        <v>-9657.139999999999</v>
      </c>
      <c r="K25" t="n">
        <v>-2130.97</v>
      </c>
      <c r="L25" t="n">
        <v>-1344</v>
      </c>
      <c r="M25" t="n">
        <v>-8683.959999999999</v>
      </c>
    </row>
    <row r="26" ht="15.75" customHeight="1" thickBot="1">
      <c r="A26" s="20" t="inlineStr">
        <is>
          <t>Balance in Bank at the end of the day</t>
        </is>
      </c>
      <c r="B26" s="29">
        <f>B22+B25+176880.7</f>
        <v/>
      </c>
      <c r="C26" s="29">
        <f>B26+C22+C25</f>
        <v/>
      </c>
      <c r="D26" s="29">
        <f>C26+D22+D25</f>
        <v/>
      </c>
      <c r="E26" s="29">
        <f>D26+E22+E25</f>
        <v/>
      </c>
      <c r="F26" s="29">
        <f>E26+F22+F25</f>
        <v/>
      </c>
      <c r="G26" s="29">
        <f>F26+G22+G25</f>
        <v/>
      </c>
      <c r="H26" s="29">
        <f>G26+H22+H25</f>
        <v/>
      </c>
      <c r="I26" s="29">
        <f>H26+I22+I25</f>
        <v/>
      </c>
      <c r="J26" s="29">
        <f>I26+J22+J25</f>
        <v/>
      </c>
      <c r="K26" s="29">
        <f>J26+K22+K25</f>
        <v/>
      </c>
      <c r="L26" s="29">
        <f>K26+L22+L25</f>
        <v/>
      </c>
      <c r="M26" s="29">
        <f>L26+M22+M25</f>
        <v/>
      </c>
      <c r="N26" s="29" t="n"/>
      <c r="O26" s="29" t="n"/>
      <c r="P26" s="29" t="n"/>
      <c r="Q26" s="29" t="n"/>
      <c r="R26" s="29" t="n"/>
      <c r="S26" s="29" t="n"/>
      <c r="T26" s="29" t="n"/>
      <c r="U26" s="29" t="n"/>
      <c r="V26" s="29" t="n"/>
      <c r="W26" s="29" t="n"/>
      <c r="X26" s="29" t="n"/>
      <c r="Y26" s="29" t="n"/>
      <c r="Z26" s="29" t="n"/>
      <c r="AA26" s="29" t="n"/>
      <c r="AB26" s="29" t="n"/>
      <c r="AC26" s="29" t="n"/>
      <c r="AD26" s="29" t="n"/>
      <c r="AE26" s="29" t="n"/>
      <c r="AF26" s="29" t="n"/>
    </row>
    <row r="27" ht="15.75" customHeight="1" thickTop="1"/>
    <row r="30">
      <c r="A30" s="1" t="n"/>
      <c r="B30" s="2" t="inlineStr">
        <is>
          <t>Nov</t>
        </is>
      </c>
      <c r="C30" s="2" t="n"/>
      <c r="D30" s="2" t="n"/>
      <c r="E30" s="2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2" t="n"/>
      <c r="AD30" s="2" t="n"/>
      <c r="AE30" s="1" t="n"/>
      <c r="AF30" s="1" t="n"/>
      <c r="AG30" s="1" t="n"/>
    </row>
    <row r="31">
      <c r="A31" s="1" t="n"/>
      <c r="B31" s="2" t="inlineStr">
        <is>
          <t>Wednesday</t>
        </is>
      </c>
      <c r="C31" s="2" t="inlineStr">
        <is>
          <t>Thursday</t>
        </is>
      </c>
      <c r="D31" s="2" t="inlineStr">
        <is>
          <t>Friday</t>
        </is>
      </c>
      <c r="E31" s="2" t="inlineStr">
        <is>
          <t>Saturday</t>
        </is>
      </c>
      <c r="F31" s="2" t="inlineStr">
        <is>
          <t>Sunday</t>
        </is>
      </c>
      <c r="G31" s="2" t="inlineStr">
        <is>
          <t>Monday</t>
        </is>
      </c>
      <c r="H31" s="2" t="inlineStr">
        <is>
          <t>Tuesday</t>
        </is>
      </c>
      <c r="I31" s="2" t="inlineStr">
        <is>
          <t>Wednesday</t>
        </is>
      </c>
      <c r="J31" s="2" t="inlineStr">
        <is>
          <t>Thursday</t>
        </is>
      </c>
      <c r="K31" s="2" t="inlineStr">
        <is>
          <t>Friday</t>
        </is>
      </c>
      <c r="L31" s="2" t="inlineStr">
        <is>
          <t>Saturday</t>
        </is>
      </c>
      <c r="M31" s="2" t="inlineStr">
        <is>
          <t>Sunday</t>
        </is>
      </c>
      <c r="N31" s="2" t="inlineStr">
        <is>
          <t>Monday</t>
        </is>
      </c>
      <c r="O31" s="2" t="inlineStr">
        <is>
          <t>Tuesday</t>
        </is>
      </c>
      <c r="P31" s="2" t="inlineStr">
        <is>
          <t>Wednesday</t>
        </is>
      </c>
      <c r="Q31" s="2" t="inlineStr">
        <is>
          <t>Thursday</t>
        </is>
      </c>
      <c r="R31" s="2" t="inlineStr">
        <is>
          <t>Friday</t>
        </is>
      </c>
      <c r="S31" s="2" t="inlineStr">
        <is>
          <t>Saturday</t>
        </is>
      </c>
      <c r="T31" s="2" t="inlineStr">
        <is>
          <t>Sunday</t>
        </is>
      </c>
      <c r="U31" s="2" t="inlineStr">
        <is>
          <t>Monday</t>
        </is>
      </c>
      <c r="V31" s="2" t="inlineStr">
        <is>
          <t>Tuesday</t>
        </is>
      </c>
      <c r="W31" s="2" t="inlineStr">
        <is>
          <t>Wednesday</t>
        </is>
      </c>
      <c r="X31" s="2" t="inlineStr">
        <is>
          <t>Thursday</t>
        </is>
      </c>
      <c r="Y31" s="2" t="inlineStr">
        <is>
          <t>Friday</t>
        </is>
      </c>
      <c r="Z31" s="2" t="inlineStr">
        <is>
          <t>Saturday</t>
        </is>
      </c>
      <c r="AA31" s="2" t="inlineStr">
        <is>
          <t>Sunday</t>
        </is>
      </c>
      <c r="AB31" s="2" t="inlineStr">
        <is>
          <t>Monday</t>
        </is>
      </c>
      <c r="AC31" s="2" t="inlineStr">
        <is>
          <t>Tuesday</t>
        </is>
      </c>
      <c r="AD31" s="2" t="inlineStr">
        <is>
          <t>Wednesday</t>
        </is>
      </c>
      <c r="AE31" s="2" t="inlineStr">
        <is>
          <t>Thursday</t>
        </is>
      </c>
      <c r="AF31" s="2" t="n"/>
      <c r="AG31" s="2" t="inlineStr">
        <is>
          <t>Total</t>
        </is>
      </c>
    </row>
    <row r="32">
      <c r="A32" s="1" t="n"/>
      <c r="B32" s="4" t="inlineStr">
        <is>
          <t>1st</t>
        </is>
      </c>
      <c r="C32" s="4" t="inlineStr">
        <is>
          <t>2nd</t>
        </is>
      </c>
      <c r="D32" s="4" t="inlineStr">
        <is>
          <t>3rd</t>
        </is>
      </c>
      <c r="E32" s="4" t="inlineStr">
        <is>
          <t>4th</t>
        </is>
      </c>
      <c r="F32" s="4" t="inlineStr">
        <is>
          <t>5th</t>
        </is>
      </c>
      <c r="G32" s="3" t="inlineStr">
        <is>
          <t>6th</t>
        </is>
      </c>
      <c r="H32" s="3" t="inlineStr">
        <is>
          <t>7th</t>
        </is>
      </c>
      <c r="I32" s="3" t="inlineStr">
        <is>
          <t>8th</t>
        </is>
      </c>
      <c r="J32" s="3" t="inlineStr">
        <is>
          <t>9th</t>
        </is>
      </c>
      <c r="K32" s="3" t="inlineStr">
        <is>
          <t>10th</t>
        </is>
      </c>
      <c r="L32" s="3" t="inlineStr">
        <is>
          <t>11th</t>
        </is>
      </c>
      <c r="M32" s="3" t="inlineStr">
        <is>
          <t>12th</t>
        </is>
      </c>
      <c r="N32" s="5" t="inlineStr">
        <is>
          <t>13th</t>
        </is>
      </c>
      <c r="O32" s="5" t="inlineStr">
        <is>
          <t>14th</t>
        </is>
      </c>
      <c r="P32" s="5" t="inlineStr">
        <is>
          <t>15th</t>
        </is>
      </c>
      <c r="Q32" s="5" t="inlineStr">
        <is>
          <t>16th</t>
        </is>
      </c>
      <c r="R32" s="5" t="inlineStr">
        <is>
          <t>17th</t>
        </is>
      </c>
      <c r="S32" s="5" t="inlineStr">
        <is>
          <t>18th</t>
        </is>
      </c>
      <c r="T32" s="5" t="inlineStr">
        <is>
          <t>19th</t>
        </is>
      </c>
      <c r="U32" s="6" t="inlineStr">
        <is>
          <t>20th</t>
        </is>
      </c>
      <c r="V32" s="6" t="inlineStr">
        <is>
          <t>21st</t>
        </is>
      </c>
      <c r="W32" s="6" t="inlineStr">
        <is>
          <t>22nd</t>
        </is>
      </c>
      <c r="X32" s="6" t="inlineStr">
        <is>
          <t>23rd</t>
        </is>
      </c>
      <c r="Y32" s="6" t="inlineStr">
        <is>
          <t>24th</t>
        </is>
      </c>
      <c r="Z32" s="6" t="inlineStr">
        <is>
          <t>25th</t>
        </is>
      </c>
      <c r="AA32" s="6" t="inlineStr">
        <is>
          <t>26th</t>
        </is>
      </c>
      <c r="AB32" s="7" t="inlineStr">
        <is>
          <t>27th</t>
        </is>
      </c>
      <c r="AC32" s="7" t="inlineStr">
        <is>
          <t>28th</t>
        </is>
      </c>
      <c r="AD32" s="7" t="inlineStr">
        <is>
          <t>29th</t>
        </is>
      </c>
      <c r="AE32" s="7" t="inlineStr">
        <is>
          <t>30th</t>
        </is>
      </c>
      <c r="AF32" s="7" t="n"/>
      <c r="AG32" s="1" t="n"/>
    </row>
    <row r="33" ht="15.75" customHeight="1">
      <c r="A33" s="8" t="inlineStr">
        <is>
          <t>B-HAM CITY COUNCIL-200790-70489166</t>
        </is>
      </c>
      <c r="D33" s="9" t="n"/>
      <c r="E33" s="9" t="n"/>
      <c r="F33" s="9" t="n"/>
      <c r="G33" s="9" t="n"/>
      <c r="I33" s="9" t="n"/>
      <c r="J33" t="n">
        <v>64186.4</v>
      </c>
      <c r="K33" s="9" t="n"/>
      <c r="L33" s="12" t="n"/>
      <c r="M33" s="9" t="n"/>
      <c r="N33" s="12" t="n"/>
      <c r="O33" s="12" t="n"/>
      <c r="Q33" s="12" t="n"/>
      <c r="R33" s="31" t="n"/>
      <c r="S33" s="26" t="n"/>
      <c r="T33" s="26" t="n"/>
      <c r="U33" s="26" t="n"/>
      <c r="V33" s="26" t="n"/>
      <c r="W33" s="9" t="n"/>
      <c r="X33" t="n">
        <v>5041.28</v>
      </c>
      <c r="Y33" s="9" t="n"/>
      <c r="Z33" s="9" t="n"/>
      <c r="AA33" s="9" t="n"/>
      <c r="AB33" s="9" t="n"/>
      <c r="AC33" s="9" t="n"/>
      <c r="AD33" s="9" t="n"/>
      <c r="AE33" s="9" t="n"/>
      <c r="AF33" s="9" t="n"/>
      <c r="AG33" s="13">
        <f>SUM(B33:AE33)</f>
        <v/>
      </c>
    </row>
    <row r="34" ht="15.75" customHeight="1">
      <c r="A34" s="8" t="inlineStr">
        <is>
          <t>Accord/Age uk</t>
        </is>
      </c>
      <c r="C34" s="9" t="n"/>
      <c r="D34" s="9" t="n"/>
      <c r="E34" s="9" t="n"/>
      <c r="F34" s="9" t="n"/>
      <c r="H34" s="9" t="n"/>
      <c r="I34" s="9" t="n"/>
      <c r="J34" s="12" t="n"/>
      <c r="K34" s="9" t="n"/>
      <c r="L34" s="9" t="n"/>
      <c r="M34" s="9" t="n"/>
      <c r="N34" s="12" t="n"/>
      <c r="O34" s="9" t="n"/>
      <c r="P34" s="9" t="n"/>
      <c r="Q34" s="9" t="n"/>
      <c r="R34" s="31" t="n"/>
      <c r="S34" s="26" t="n"/>
      <c r="T34" s="26" t="n"/>
      <c r="U34" s="26" t="n"/>
      <c r="V34" s="31" t="n"/>
      <c r="W34" s="9" t="n"/>
      <c r="Y34" s="9" t="n"/>
      <c r="Z34" s="9" t="n"/>
      <c r="AA34" s="9" t="n"/>
      <c r="AD34" s="9" t="n"/>
      <c r="AE34" s="12" t="n"/>
      <c r="AF34" s="9" t="n"/>
      <c r="AG34" s="13">
        <f>SUM(B34:AE34)</f>
        <v/>
      </c>
    </row>
    <row r="35" ht="15.75" customHeight="1">
      <c r="A35" s="8" t="inlineStr">
        <is>
          <t>Buckingham</t>
        </is>
      </c>
      <c r="D35" s="9" t="n"/>
      <c r="E35" s="9" t="n"/>
      <c r="F35" s="9" t="n"/>
      <c r="H35" s="9" t="n"/>
      <c r="I35" s="12" t="n"/>
      <c r="J35" s="12" t="n"/>
      <c r="K35" s="9" t="n"/>
      <c r="L35" s="9" t="n"/>
      <c r="M35" s="9" t="n"/>
      <c r="N35" s="12" t="n"/>
      <c r="O35" s="9" t="n"/>
      <c r="P35" s="9" t="n"/>
      <c r="Q35" s="9" t="n"/>
      <c r="R35" s="31" t="n"/>
      <c r="S35" s="26" t="n"/>
      <c r="T35" s="26" t="n"/>
      <c r="U35" s="26" t="n"/>
      <c r="V35" s="31" t="n"/>
      <c r="W35" s="9" t="n"/>
      <c r="X35" s="12" t="n"/>
      <c r="Y35" t="n">
        <v>4937.64</v>
      </c>
      <c r="Z35" s="9" t="n"/>
      <c r="AA35" s="9" t="n"/>
      <c r="AB35" s="9" t="n"/>
      <c r="AC35" s="12" t="n"/>
      <c r="AD35" s="9" t="n"/>
      <c r="AE35" s="9" t="n"/>
      <c r="AF35" s="9" t="n"/>
      <c r="AG35" s="13">
        <f>SUM(B35:AE35)</f>
        <v/>
      </c>
    </row>
    <row r="36" ht="15.75" customHeight="1">
      <c r="A36" s="8" t="inlineStr">
        <is>
          <t>Sandwell respite est</t>
        </is>
      </c>
      <c r="D36" s="9" t="n"/>
      <c r="E36" s="9" t="n"/>
      <c r="F36" s="9" t="n"/>
      <c r="H36" s="9" t="n"/>
      <c r="I36" s="9" t="n"/>
      <c r="J36" s="12" t="n"/>
      <c r="K36" s="9" t="n"/>
      <c r="L36" s="9" t="n"/>
      <c r="M36" s="9" t="n"/>
      <c r="N36" s="12" t="n"/>
      <c r="O36" s="9" t="n"/>
      <c r="P36" s="9" t="n"/>
      <c r="Q36" s="9" t="n"/>
      <c r="R36" s="31" t="n"/>
      <c r="S36" s="26" t="n"/>
      <c r="T36" s="26" t="n"/>
      <c r="U36" s="26" t="n"/>
      <c r="V36" s="26" t="n"/>
      <c r="W36" s="9" t="n"/>
      <c r="X36" s="12" t="n"/>
      <c r="Y36" t="n">
        <v>6201.6</v>
      </c>
      <c r="Z36" s="9" t="n"/>
      <c r="AA36" s="9" t="n"/>
      <c r="AB36" s="9" t="n"/>
      <c r="AC36" t="n">
        <v>8040.2</v>
      </c>
      <c r="AD36" s="9" t="n"/>
      <c r="AE36" s="9" t="n"/>
      <c r="AF36" s="9" t="n"/>
      <c r="AG36" s="13">
        <f>SUM(B36:AF36)</f>
        <v/>
      </c>
    </row>
    <row r="37" ht="15.75" customHeight="1">
      <c r="A37" s="8" t="inlineStr">
        <is>
          <t xml:space="preserve">Wolverhampton respite est </t>
        </is>
      </c>
      <c r="C37" s="9" t="n"/>
      <c r="D37" s="9" t="n"/>
      <c r="E37" s="9" t="n"/>
      <c r="F37" s="9" t="n"/>
      <c r="G37" s="9" t="n"/>
      <c r="H37" s="9" t="n"/>
      <c r="I37" s="9" t="n"/>
      <c r="J37" s="9" t="n"/>
      <c r="K37" s="9" t="n"/>
      <c r="L37" s="9" t="n"/>
      <c r="M37" s="9" t="n"/>
      <c r="N37" t="n">
        <v>11791.12</v>
      </c>
      <c r="O37" s="9" t="n"/>
      <c r="P37" s="9" t="n"/>
      <c r="R37" s="31" t="n">
        <v>5893.71</v>
      </c>
      <c r="S37" s="26" t="n"/>
      <c r="T37" s="26" t="n"/>
      <c r="U37" s="26" t="n"/>
      <c r="V37" s="26" t="n"/>
      <c r="W37" s="9" t="n"/>
      <c r="X37" s="9" t="n"/>
      <c r="Y37" s="9" t="n"/>
      <c r="Z37" s="9" t="n"/>
      <c r="AA37" s="9" t="n"/>
      <c r="AB37" s="9" t="n"/>
      <c r="AC37" s="9" t="n"/>
      <c r="AD37" s="9" t="n"/>
      <c r="AE37" s="9" t="n"/>
      <c r="AF37" s="9" t="n"/>
      <c r="AG37" s="13">
        <f>SUM(B37:AF37)</f>
        <v/>
      </c>
    </row>
    <row r="38" ht="15.75" customHeight="1">
      <c r="A38" s="8" t="inlineStr">
        <is>
          <t>Walsall Respite</t>
        </is>
      </c>
      <c r="C38" s="9" t="n"/>
      <c r="D38" t="n">
        <v>3178.96</v>
      </c>
      <c r="E38" s="9" t="n"/>
      <c r="F38" s="9" t="n"/>
      <c r="G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9" t="n"/>
      <c r="R38" s="26" t="n"/>
      <c r="S38" s="26" t="n"/>
      <c r="T38" s="26" t="n"/>
      <c r="U38" s="31" t="n"/>
      <c r="V38" s="26" t="n">
        <v>18905.4</v>
      </c>
      <c r="W38" s="9" t="n"/>
      <c r="X38" s="9" t="n"/>
      <c r="Y38" s="9" t="n"/>
      <c r="Z38" s="9" t="n"/>
      <c r="AA38" s="9" t="n"/>
      <c r="AB38" s="9" t="n"/>
      <c r="AC38" s="12" t="n"/>
      <c r="AD38" s="9" t="n"/>
      <c r="AE38" s="9" t="n"/>
      <c r="AF38" s="9" t="n"/>
      <c r="AG38" s="13">
        <f>SUM(B38:AF38)</f>
        <v/>
      </c>
    </row>
    <row r="39" ht="18.75" customHeight="1">
      <c r="A39" s="8" t="inlineStr">
        <is>
          <t>Ideal for All Ltd</t>
        </is>
      </c>
      <c r="C39" s="11" t="n"/>
      <c r="D39" t="n">
        <v>2402.4</v>
      </c>
      <c r="E39" s="9" t="n"/>
      <c r="F39" s="12" t="n"/>
      <c r="G39" t="n">
        <v>3556.45</v>
      </c>
      <c r="H39" s="11" t="n"/>
      <c r="I39" s="9" t="n"/>
      <c r="J39" s="12" t="n"/>
      <c r="K39" s="11" t="n"/>
      <c r="L39" s="12" t="n"/>
      <c r="M39" s="11" t="n"/>
      <c r="N39" s="12" t="n"/>
      <c r="O39" s="12" t="n"/>
      <c r="P39" s="11" t="n"/>
      <c r="Q39" s="12" t="n"/>
      <c r="R39" s="31" t="n">
        <v>2516.8</v>
      </c>
      <c r="S39" s="31" t="n"/>
      <c r="T39" s="31" t="n"/>
      <c r="U39" s="31" t="n"/>
      <c r="V39" s="26" t="n"/>
      <c r="W39" s="9" t="n"/>
      <c r="X39" s="9" t="n"/>
      <c r="Y39" s="12" t="n"/>
      <c r="Z39" s="9" t="n"/>
      <c r="AA39" s="12" t="n"/>
      <c r="AB39" s="12" t="n"/>
      <c r="AC39" s="9" t="n"/>
      <c r="AD39" s="9" t="n"/>
      <c r="AE39" s="9" t="n"/>
      <c r="AF39" s="9" t="n"/>
      <c r="AG39" s="13">
        <f>SUM(B39:AE39)</f>
        <v/>
      </c>
    </row>
    <row r="40" ht="15.75" customHeight="1">
      <c r="A40" s="8" t="inlineStr">
        <is>
          <t>KIRKLEES COUNCIL-204312-63046958</t>
        </is>
      </c>
      <c r="C40" s="9" t="n"/>
      <c r="D40" s="9" t="n"/>
      <c r="E40" s="9" t="n"/>
      <c r="F40" s="9" t="n"/>
      <c r="G40" s="9" t="n"/>
      <c r="H40" s="9" t="n"/>
      <c r="I40" s="9" t="n"/>
      <c r="J40" s="9" t="n"/>
      <c r="K40" s="12" t="n"/>
      <c r="L40" s="9" t="n"/>
      <c r="M40" s="9" t="n"/>
      <c r="N40" s="12" t="n"/>
      <c r="O40" t="n">
        <v>5554.89</v>
      </c>
      <c r="P40" s="12" t="n"/>
      <c r="Q40" s="12" t="n"/>
      <c r="R40" s="26" t="n"/>
      <c r="S40" s="26" t="n"/>
      <c r="T40" s="31" t="n"/>
      <c r="U40" s="26" t="n"/>
      <c r="V40" s="31" t="n"/>
      <c r="W40" s="9" t="n"/>
      <c r="X40" s="9" t="n"/>
      <c r="Y40" s="12" t="n"/>
      <c r="Z40" s="9" t="n"/>
      <c r="AA40" s="9" t="n"/>
      <c r="AB40" s="12" t="n"/>
      <c r="AC40" s="9" t="n"/>
      <c r="AD40" s="9" t="n"/>
      <c r="AE40" s="9" t="n"/>
      <c r="AF40" s="12" t="n"/>
      <c r="AG40" s="13">
        <f>SUM(B40:AE40)</f>
        <v/>
      </c>
    </row>
    <row r="41" ht="15.75" customHeight="1">
      <c r="A41" s="8" t="inlineStr">
        <is>
          <t>LBH PAYMENTS BACS-602210-72430192</t>
        </is>
      </c>
      <c r="C41" t="n">
        <v>5040</v>
      </c>
      <c r="D41" s="9" t="n"/>
      <c r="E41" s="9" t="n"/>
      <c r="F41" s="12" t="n"/>
      <c r="G41" s="9" t="n"/>
      <c r="H41" s="9" t="n"/>
      <c r="I41" s="9" t="n"/>
      <c r="J41" s="9" t="n"/>
      <c r="K41" s="9" t="n"/>
      <c r="L41" s="12" t="n"/>
      <c r="M41" s="9" t="n"/>
      <c r="N41" s="9" t="n"/>
      <c r="O41" s="9" t="n"/>
      <c r="P41" s="9" t="n"/>
      <c r="Q41" s="9" t="n"/>
      <c r="R41" s="26" t="n"/>
      <c r="S41" s="26" t="n"/>
      <c r="T41" s="26" t="n"/>
      <c r="U41" s="26" t="n"/>
      <c r="V41" s="26" t="n"/>
      <c r="W41" s="9" t="n"/>
      <c r="X41" s="9" t="n"/>
      <c r="Y41" s="9" t="n"/>
      <c r="Z41" s="9" t="n"/>
      <c r="AA41" s="9" t="n"/>
      <c r="AB41" s="9" t="n"/>
      <c r="AC41" s="9" t="n"/>
      <c r="AD41" s="9" t="n"/>
      <c r="AE41" t="n">
        <v>5040</v>
      </c>
      <c r="AF41" s="9" t="n"/>
      <c r="AG41" s="13">
        <f>SUM(B41:AE41)</f>
        <v/>
      </c>
    </row>
    <row r="42" ht="15.75" customHeight="1">
      <c r="A42" s="8" t="inlineStr">
        <is>
          <t>NHS BIRMINGHAM &amp; S-607080-10017097</t>
        </is>
      </c>
      <c r="C42" s="9" t="n"/>
      <c r="D42" s="9" t="n"/>
      <c r="E42" s="9" t="n"/>
      <c r="F42" s="9" t="n"/>
      <c r="G42" s="9" t="n"/>
      <c r="H42" s="9" t="n"/>
      <c r="I42" s="9" t="n"/>
      <c r="J42" t="n">
        <v>7636.98</v>
      </c>
      <c r="K42" s="12" t="n"/>
      <c r="L42" s="9" t="n"/>
      <c r="M42" s="12" t="n"/>
      <c r="N42" s="12" t="n"/>
      <c r="O42" s="9" t="n"/>
      <c r="P42" s="9" t="n"/>
      <c r="Q42" s="9" t="n"/>
      <c r="R42" s="26" t="n"/>
      <c r="S42" s="26" t="n"/>
      <c r="T42" s="26" t="n"/>
      <c r="U42" s="26" t="n"/>
      <c r="V42" s="26" t="n"/>
      <c r="W42" s="12" t="n"/>
      <c r="X42" t="n">
        <v>7099.34</v>
      </c>
      <c r="Z42" s="9" t="n"/>
      <c r="AA42" s="9" t="n"/>
      <c r="AB42" s="12" t="n"/>
      <c r="AC42" s="9" t="n"/>
      <c r="AD42" s="9" t="n"/>
      <c r="AE42" s="9" t="n"/>
      <c r="AF42" s="9" t="n"/>
      <c r="AG42" s="13">
        <f>SUM(B42:AE42)</f>
        <v/>
      </c>
    </row>
    <row r="43" ht="15.75" customHeight="1">
      <c r="A43" s="8" t="inlineStr">
        <is>
          <t>NHS BLACK COUNTRY-607080-10015272</t>
        </is>
      </c>
      <c r="C43" s="9" t="n"/>
      <c r="D43" s="9" t="n"/>
      <c r="E43" s="9" t="n"/>
      <c r="F43" s="9" t="n"/>
      <c r="G43" s="12" t="n"/>
      <c r="H43" s="9" t="n"/>
      <c r="I43" s="12" t="n"/>
      <c r="J43" s="9" t="n"/>
      <c r="L43" s="9" t="n"/>
      <c r="M43" s="12" t="n"/>
      <c r="N43" s="12" t="n"/>
      <c r="P43" t="n">
        <v>13185.64</v>
      </c>
      <c r="Q43" s="12" t="n"/>
      <c r="R43" s="31" t="n"/>
      <c r="S43" s="26" t="n"/>
      <c r="T43" s="26" t="n"/>
      <c r="U43" s="31" t="n"/>
      <c r="V43" s="26" t="n"/>
      <c r="W43" s="12" t="n"/>
      <c r="X43" s="9" t="n"/>
      <c r="Y43" t="n">
        <v>3304.8</v>
      </c>
      <c r="Z43" s="9" t="n"/>
      <c r="AA43" s="9" t="n"/>
      <c r="AB43" s="9" t="n"/>
      <c r="AC43" t="n">
        <v>8073.21</v>
      </c>
      <c r="AD43" s="9" t="n"/>
      <c r="AE43" t="n">
        <v>8342.32</v>
      </c>
      <c r="AF43" s="9" t="n"/>
      <c r="AG43" s="13">
        <f>SUM(B43:AE43)</f>
        <v/>
      </c>
    </row>
    <row r="44" ht="15.75" customHeight="1">
      <c r="A44" s="14" t="inlineStr">
        <is>
          <t>SANDWELL MBC  BEN-601539-69624151</t>
        </is>
      </c>
      <c r="C44" s="9" t="n"/>
      <c r="D44" s="9" t="n"/>
      <c r="E44" s="9" t="n"/>
      <c r="F44" s="9" t="n"/>
      <c r="G44" s="9" t="n"/>
      <c r="H44" s="9" t="n"/>
      <c r="I44" s="26" t="n"/>
      <c r="J44" s="26" t="n"/>
      <c r="K44" s="26" t="n"/>
      <c r="L44" s="26" t="n"/>
      <c r="M44" s="26" t="n"/>
      <c r="N44" s="31" t="n">
        <v>3042.78</v>
      </c>
      <c r="O44" s="9" t="n"/>
      <c r="P44" s="9" t="n"/>
      <c r="Q44" s="12" t="n"/>
      <c r="R44" s="26" t="n"/>
      <c r="S44" s="31" t="n"/>
      <c r="T44" s="26" t="n"/>
      <c r="U44" s="26" t="n"/>
      <c r="V44" s="31" t="n"/>
      <c r="W44" s="9" t="n"/>
      <c r="X44" s="9" t="n"/>
      <c r="Y44" s="9" t="n"/>
      <c r="Z44" s="9" t="n"/>
      <c r="AA44" s="9" t="n"/>
      <c r="AB44" s="9" t="n"/>
      <c r="AC44" s="9" t="n"/>
      <c r="AD44" s="9" t="n"/>
      <c r="AE44" s="9" t="n"/>
      <c r="AF44" s="9" t="n"/>
      <c r="AG44" s="13">
        <f>SUM(B44:AE44)</f>
        <v/>
      </c>
    </row>
    <row r="45" ht="15.75" customHeight="1">
      <c r="A45" s="14" t="inlineStr">
        <is>
          <t>SANDWELL MBC-601539-69624135</t>
        </is>
      </c>
      <c r="C45" s="9" t="n"/>
      <c r="D45" s="9" t="n"/>
      <c r="E45" s="9" t="n"/>
      <c r="F45" s="9" t="n"/>
      <c r="H45" s="9" t="n"/>
      <c r="I45" s="26" t="n"/>
      <c r="J45" s="26" t="n"/>
      <c r="K45" s="26" t="n"/>
      <c r="L45" s="26" t="n"/>
      <c r="M45" s="26" t="n"/>
      <c r="N45" s="31" t="n">
        <v>114049.44</v>
      </c>
      <c r="O45" s="9" t="n"/>
      <c r="P45" s="9" t="n"/>
      <c r="Q45" s="9" t="n"/>
      <c r="R45" s="26" t="n"/>
      <c r="S45" s="26" t="n"/>
      <c r="T45" s="26" t="n"/>
      <c r="U45" s="31" t="n"/>
      <c r="V45" s="26" t="n"/>
      <c r="W45" s="9" t="n"/>
      <c r="X45" s="9" t="n"/>
      <c r="Y45" s="9" t="n"/>
      <c r="Z45" s="9" t="n"/>
      <c r="AA45" s="9" t="n"/>
      <c r="AB45" t="n">
        <v>114049.44</v>
      </c>
      <c r="AC45" s="12" t="n"/>
      <c r="AD45" s="9" t="n"/>
      <c r="AE45" s="9" t="n"/>
      <c r="AF45" s="9" t="n"/>
      <c r="AG45" s="13">
        <f>SUM(B45:AE45)</f>
        <v/>
      </c>
    </row>
    <row r="46" ht="15.75" customHeight="1">
      <c r="A46" s="15" t="inlineStr">
        <is>
          <t>SOLIHULL MBC EXP.-200771-00561525</t>
        </is>
      </c>
      <c r="G46" s="31" t="n">
        <v>30000.6</v>
      </c>
      <c r="H46" s="9" t="n"/>
      <c r="I46" s="31" t="n"/>
      <c r="J46" s="26" t="n"/>
      <c r="K46" s="26" t="n"/>
      <c r="L46" s="26" t="n"/>
      <c r="M46" s="26" t="n"/>
      <c r="N46" s="26" t="n"/>
      <c r="O46" s="12" t="n"/>
      <c r="P46" s="9" t="n"/>
      <c r="Q46" s="9" t="n"/>
      <c r="R46" s="26" t="n"/>
      <c r="S46" s="26" t="n"/>
      <c r="T46" s="26" t="n"/>
      <c r="U46" s="31" t="n"/>
      <c r="V46" s="26" t="n"/>
      <c r="W46" s="9" t="n"/>
      <c r="X46" s="9" t="n"/>
      <c r="Y46" s="9" t="n"/>
      <c r="Z46" s="9" t="n"/>
      <c r="AA46" s="9" t="n"/>
      <c r="AB46" s="9" t="n"/>
      <c r="AC46" s="9" t="n"/>
      <c r="AD46" s="9" t="n"/>
      <c r="AE46" s="9" t="n"/>
      <c r="AF46" s="9" t="n"/>
      <c r="AG46" s="13">
        <f>SUM(B46:AE46)</f>
        <v/>
      </c>
    </row>
    <row r="47" ht="15.75" customHeight="1">
      <c r="A47" s="15" t="inlineStr">
        <is>
          <t>WALSALL MBC BARC-209073-10731692</t>
        </is>
      </c>
      <c r="G47" s="9" t="n"/>
      <c r="H47" s="9" t="n"/>
      <c r="I47" s="26" t="n"/>
      <c r="J47" s="26" t="n"/>
      <c r="K47" s="26" t="n"/>
      <c r="L47" s="26" t="n"/>
      <c r="M47" s="26" t="n"/>
      <c r="N47" s="26" t="n"/>
      <c r="O47" s="9" t="n"/>
      <c r="P47" s="9" t="n"/>
      <c r="Q47" s="9" t="n"/>
      <c r="R47" s="26" t="n"/>
      <c r="S47" s="26" t="n"/>
      <c r="T47" s="26" t="n"/>
      <c r="U47" s="31" t="n"/>
      <c r="V47" s="26" t="n">
        <v>160614.48</v>
      </c>
      <c r="W47" s="9" t="n"/>
      <c r="X47" s="9" t="n"/>
      <c r="Y47" s="9" t="n"/>
      <c r="Z47" s="12" t="n"/>
      <c r="AA47" s="9" t="n"/>
      <c r="AB47" s="9" t="n"/>
      <c r="AC47" s="12" t="n"/>
      <c r="AD47" s="9" t="n"/>
      <c r="AE47" s="9" t="n"/>
      <c r="AF47" s="9" t="n"/>
      <c r="AG47" s="13">
        <f>SUM(B47:AE47)</f>
        <v/>
      </c>
    </row>
    <row r="48" ht="15.75" customHeight="1">
      <c r="A48" s="15" t="inlineStr">
        <is>
          <t>WOLVERHAMPTON CC-560069-44470320</t>
        </is>
      </c>
      <c r="C48" t="n">
        <v>106968.12</v>
      </c>
      <c r="D48" s="9" t="n"/>
      <c r="E48" s="9" t="n"/>
      <c r="F48" s="9" t="n"/>
      <c r="G48" s="9" t="n"/>
      <c r="H48" s="9" t="n"/>
      <c r="I48" s="26" t="n"/>
      <c r="J48" s="31" t="n">
        <v>103422</v>
      </c>
      <c r="K48" s="26" t="n"/>
      <c r="L48" s="26" t="n"/>
      <c r="M48" s="26" t="n"/>
      <c r="N48" s="26" t="n"/>
      <c r="O48" s="9" t="n"/>
      <c r="P48" s="9" t="n"/>
      <c r="Q48" s="26" t="n">
        <v>107520.24</v>
      </c>
      <c r="R48" s="31" t="n"/>
      <c r="S48" s="26" t="n"/>
      <c r="T48" s="26" t="n"/>
      <c r="U48" s="26" t="n"/>
      <c r="V48" s="26" t="n"/>
      <c r="W48" s="9" t="n"/>
      <c r="X48" t="n">
        <v>105014.82</v>
      </c>
      <c r="Y48" s="9" t="n"/>
      <c r="Z48" s="9" t="n"/>
      <c r="AA48" s="9" t="n"/>
      <c r="AB48" s="9" t="n"/>
      <c r="AC48" s="9" t="n"/>
      <c r="AD48" s="9" t="n"/>
      <c r="AE48" t="n">
        <v>103419.94</v>
      </c>
      <c r="AF48" s="9" t="n"/>
      <c r="AG48" s="13">
        <f>SUM(B48:AE48)</f>
        <v/>
      </c>
    </row>
    <row r="49" ht="15.75" customHeight="1">
      <c r="A49" s="15" t="inlineStr">
        <is>
          <t>TLC</t>
        </is>
      </c>
      <c r="C49" s="9" t="n"/>
      <c r="D49" s="12" t="n"/>
      <c r="F49" s="9" t="n"/>
      <c r="G49" s="9" t="n"/>
      <c r="H49" s="9" t="n"/>
      <c r="I49" s="31" t="n"/>
      <c r="J49" s="31" t="n"/>
      <c r="K49" s="31" t="n">
        <v>1177.2</v>
      </c>
      <c r="L49" s="31" t="n"/>
      <c r="M49" s="31" t="n"/>
      <c r="N49" s="31" t="n"/>
      <c r="R49" s="31" t="n">
        <v>8327.6</v>
      </c>
      <c r="S49" s="31" t="n"/>
      <c r="T49" s="26" t="n"/>
      <c r="U49" s="31" t="n"/>
      <c r="V49" s="26" t="n"/>
      <c r="W49" s="12" t="n"/>
      <c r="X49" s="12" t="n"/>
      <c r="Y49" s="9" t="n"/>
      <c r="Z49" s="9" t="n"/>
      <c r="AA49" t="n">
        <v>6188</v>
      </c>
      <c r="AB49" s="9" t="n"/>
      <c r="AC49" s="12" t="n"/>
      <c r="AD49" s="9" t="n"/>
      <c r="AE49" t="n">
        <v>8300.35</v>
      </c>
      <c r="AF49" s="9" t="n"/>
      <c r="AG49" s="13">
        <f>SUM(B49:AE49)</f>
        <v/>
      </c>
    </row>
    <row r="50" ht="15.75" customHeight="1">
      <c r="A50" s="15" t="inlineStr">
        <is>
          <t>HB SC</t>
        </is>
      </c>
      <c r="B50" s="16">
        <f>23930.16-20000</f>
        <v/>
      </c>
      <c r="C50" s="16">
        <f>91199.14-90000</f>
        <v/>
      </c>
      <c r="D50" s="16" t="n">
        <v>6634.27</v>
      </c>
      <c r="E50" s="16" t="n">
        <v>0</v>
      </c>
      <c r="F50" s="16" t="n">
        <v>0</v>
      </c>
      <c r="G50" s="16" t="n">
        <v>5005.009999999999</v>
      </c>
      <c r="H50" s="16" t="n">
        <v>1023.67</v>
      </c>
      <c r="I50" s="16" t="n">
        <v>2037.43</v>
      </c>
      <c r="J50" s="16" t="n">
        <v>945.739999999998</v>
      </c>
      <c r="K50" s="16" t="n">
        <v>3651.86</v>
      </c>
      <c r="L50" s="16" t="n">
        <v>250</v>
      </c>
      <c r="M50" s="16" t="n">
        <v>0</v>
      </c>
      <c r="N50" s="16" t="n">
        <v>5184</v>
      </c>
      <c r="O50" s="16" t="n">
        <v>2157.340000000001</v>
      </c>
      <c r="P50" t="n">
        <v>4952.499999999996</v>
      </c>
      <c r="Q50" t="n">
        <v>12315.23</v>
      </c>
      <c r="R50" s="16" t="n">
        <v>5877.739999999999</v>
      </c>
      <c r="S50" s="16" t="n">
        <v>1091</v>
      </c>
      <c r="T50" s="16" t="n">
        <v>0</v>
      </c>
      <c r="U50" s="16" t="n">
        <v>2983.76</v>
      </c>
      <c r="V50" s="16" t="n">
        <v>2173.029999999999</v>
      </c>
      <c r="W50" s="16" t="n">
        <v>1220.63</v>
      </c>
      <c r="X50" s="16" t="n">
        <v>4145.24</v>
      </c>
      <c r="Y50" s="16" t="n">
        <v>6770.250000000003</v>
      </c>
      <c r="Z50" s="16" t="n">
        <v>756.87</v>
      </c>
      <c r="AA50" s="16" t="n">
        <v>20</v>
      </c>
      <c r="AB50" t="n">
        <v>10852.50999999999</v>
      </c>
      <c r="AC50" s="16" t="n">
        <v>8390.34</v>
      </c>
      <c r="AD50" s="10" t="n">
        <v>3173.72</v>
      </c>
      <c r="AE50" s="10" t="n">
        <v>3676.85</v>
      </c>
      <c r="AF50" s="16" t="n"/>
      <c r="AG50" s="13">
        <f>SUM(B50:AE50)</f>
        <v/>
      </c>
    </row>
    <row r="51" ht="16.5" customHeight="1" thickBot="1">
      <c r="A51" s="53" t="inlineStr">
        <is>
          <t>Total</t>
        </is>
      </c>
      <c r="B51" s="29">
        <f>SUM(B33:B50)</f>
        <v/>
      </c>
      <c r="C51" s="29">
        <f>SUM(C33:C50)</f>
        <v/>
      </c>
      <c r="D51" s="29">
        <f>SUM(D33:D50)</f>
        <v/>
      </c>
      <c r="E51" s="29">
        <f>SUM(E33:E50)</f>
        <v/>
      </c>
      <c r="F51" s="29">
        <f>SUM(F33:F50)</f>
        <v/>
      </c>
      <c r="G51" s="29">
        <f>SUM(G33:G50)</f>
        <v/>
      </c>
      <c r="H51" s="29">
        <f>SUM(H33:H50)</f>
        <v/>
      </c>
      <c r="I51" s="29">
        <f>SUM(I33:I50)</f>
        <v/>
      </c>
      <c r="J51" s="29">
        <f>SUM(J33:J50)</f>
        <v/>
      </c>
      <c r="K51" s="29">
        <f>SUM(K33:K50)</f>
        <v/>
      </c>
      <c r="L51" s="29">
        <f>SUM(L33:L50)</f>
        <v/>
      </c>
      <c r="M51" s="29">
        <f>SUM(M33:M50)</f>
        <v/>
      </c>
      <c r="N51" s="29">
        <f>SUM(N33:N50)</f>
        <v/>
      </c>
      <c r="O51" s="29">
        <f>SUM(O33:O50)</f>
        <v/>
      </c>
      <c r="P51" s="29">
        <f>SUM(P33:P50)</f>
        <v/>
      </c>
      <c r="Q51" s="29">
        <f>SUM(Q33:Q50)</f>
        <v/>
      </c>
      <c r="R51" s="58">
        <f>SUM(R33:R50)</f>
        <v/>
      </c>
      <c r="S51" s="58">
        <f>SUM(S33:S50)</f>
        <v/>
      </c>
      <c r="T51" s="58">
        <f>SUM(T33:T50)</f>
        <v/>
      </c>
      <c r="U51" s="58">
        <f>SUM(U33:U50)</f>
        <v/>
      </c>
      <c r="V51" s="58">
        <f>SUM(V33:V50)</f>
        <v/>
      </c>
      <c r="W51" s="29">
        <f>SUM(W33:W50)</f>
        <v/>
      </c>
      <c r="X51" s="29">
        <f>SUM(X33:X50)</f>
        <v/>
      </c>
      <c r="Y51" s="29">
        <f>SUM(Y33:Y50)</f>
        <v/>
      </c>
      <c r="Z51" s="29">
        <f>SUM(Z33:Z50)</f>
        <v/>
      </c>
      <c r="AA51" s="29">
        <f>SUM(AA33:AA50)</f>
        <v/>
      </c>
      <c r="AB51" s="29">
        <f>SUM(AB33:AB50)</f>
        <v/>
      </c>
      <c r="AC51" s="29">
        <f>SUM(AC33:AC50)</f>
        <v/>
      </c>
      <c r="AD51" s="29">
        <f>SUM(AD33:AD50)</f>
        <v/>
      </c>
      <c r="AE51" s="29">
        <f>SUM(AE33:AE50)</f>
        <v/>
      </c>
      <c r="AG51" s="22">
        <f>SUM(AG33:AG50)</f>
        <v/>
      </c>
    </row>
    <row r="52" ht="15.75" customHeight="1" thickTop="1">
      <c r="A52" s="15" t="inlineStr">
        <is>
          <t>Ruunning Total</t>
        </is>
      </c>
      <c r="B52">
        <f>B51</f>
        <v/>
      </c>
      <c r="C52">
        <f>B52+C51</f>
        <v/>
      </c>
      <c r="D52">
        <f>C52+D51</f>
        <v/>
      </c>
      <c r="E52">
        <f>D52+E51</f>
        <v/>
      </c>
      <c r="F52">
        <f>E52+F51</f>
        <v/>
      </c>
      <c r="G52">
        <f>F52+G51</f>
        <v/>
      </c>
      <c r="H52">
        <f>G52+H51</f>
        <v/>
      </c>
      <c r="I52">
        <f>H52+I51</f>
        <v/>
      </c>
      <c r="J52">
        <f>I52+J51</f>
        <v/>
      </c>
      <c r="K52">
        <f>J52+K51</f>
        <v/>
      </c>
      <c r="L52">
        <f>K52+L51</f>
        <v/>
      </c>
      <c r="M52">
        <f>L52+M51</f>
        <v/>
      </c>
      <c r="N52">
        <f>M52+N51</f>
        <v/>
      </c>
      <c r="O52">
        <f>N52+O51</f>
        <v/>
      </c>
      <c r="P52">
        <f>O52+P51</f>
        <v/>
      </c>
      <c r="Q52">
        <f>P52+Q51</f>
        <v/>
      </c>
      <c r="R52">
        <f>Q52+R51</f>
        <v/>
      </c>
      <c r="S52">
        <f>R52+S51</f>
        <v/>
      </c>
      <c r="T52">
        <f>S52+T51</f>
        <v/>
      </c>
      <c r="U52">
        <f>T52+U51</f>
        <v/>
      </c>
      <c r="V52">
        <f>U52+V51</f>
        <v/>
      </c>
      <c r="W52">
        <f>V52+W51</f>
        <v/>
      </c>
      <c r="X52">
        <f>W52+X51</f>
        <v/>
      </c>
      <c r="Y52">
        <f>X52+Y51</f>
        <v/>
      </c>
      <c r="Z52">
        <f>Y52+Z51</f>
        <v/>
      </c>
      <c r="AA52">
        <f>Z52+AA51</f>
        <v/>
      </c>
      <c r="AB52">
        <f>AA52+AB51</f>
        <v/>
      </c>
      <c r="AC52">
        <f>AB52+AC51</f>
        <v/>
      </c>
      <c r="AD52">
        <f>AC52+AD51</f>
        <v/>
      </c>
      <c r="AE52">
        <f>AD52+AE51</f>
        <v/>
      </c>
    </row>
    <row r="53" ht="15.75" customHeight="1">
      <c r="A53" s="8" t="inlineStr">
        <is>
          <t>Above or Bellow forecast Total</t>
        </is>
      </c>
      <c r="B53" s="17">
        <f>B52-B23</f>
        <v/>
      </c>
      <c r="C53" s="17">
        <f>C52-C23</f>
        <v/>
      </c>
      <c r="D53" s="17">
        <f>D52-D23</f>
        <v/>
      </c>
      <c r="E53" s="17">
        <f>E52-E23</f>
        <v/>
      </c>
      <c r="F53" s="17">
        <f>F52-F23</f>
        <v/>
      </c>
      <c r="G53" s="17">
        <f>G52-G23</f>
        <v/>
      </c>
      <c r="H53" s="17">
        <f>H52-H23</f>
        <v/>
      </c>
      <c r="I53" s="17">
        <f>I52-I23</f>
        <v/>
      </c>
      <c r="J53" s="17">
        <f>J52-J23</f>
        <v/>
      </c>
      <c r="K53" s="17">
        <f>K52-K23</f>
        <v/>
      </c>
      <c r="L53" s="17">
        <f>L52-L23</f>
        <v/>
      </c>
      <c r="M53" s="17">
        <f>M52-M23</f>
        <v/>
      </c>
      <c r="N53" s="17">
        <f>N52-N23</f>
        <v/>
      </c>
      <c r="O53" s="17">
        <f>O52-O23</f>
        <v/>
      </c>
      <c r="P53" s="17">
        <f>P52-P23</f>
        <v/>
      </c>
      <c r="Q53" s="17">
        <f>Q52-Q23</f>
        <v/>
      </c>
      <c r="R53" s="17">
        <f>R52-R23</f>
        <v/>
      </c>
      <c r="S53" s="17">
        <f>S52-S23</f>
        <v/>
      </c>
      <c r="T53" s="17">
        <f>T52-T23</f>
        <v/>
      </c>
      <c r="U53" s="17">
        <f>U52-U23</f>
        <v/>
      </c>
      <c r="V53" s="17">
        <f>V52-V23</f>
        <v/>
      </c>
      <c r="W53" s="17">
        <f>W52-W23</f>
        <v/>
      </c>
      <c r="X53" s="17">
        <f>X52-X23</f>
        <v/>
      </c>
      <c r="Y53" s="17">
        <f>Y52-Y23</f>
        <v/>
      </c>
      <c r="Z53" s="17">
        <f>Z52-Z23</f>
        <v/>
      </c>
      <c r="AA53" s="17">
        <f>AA52-AA23</f>
        <v/>
      </c>
      <c r="AB53" s="17">
        <f>AB52-AB23</f>
        <v/>
      </c>
      <c r="AC53" s="17">
        <f>AC52-AC23</f>
        <v/>
      </c>
      <c r="AD53" s="17">
        <f>AD52-AD23</f>
        <v/>
      </c>
      <c r="AE53" s="17">
        <f>AE52-AE23</f>
        <v/>
      </c>
    </row>
    <row r="54">
      <c r="A54" s="8" t="inlineStr">
        <is>
          <t>Money out</t>
        </is>
      </c>
      <c r="B54" t="n">
        <v>-50420.10000000001</v>
      </c>
      <c r="C54">
        <f>-30347.45+20000</f>
        <v/>
      </c>
      <c r="D54" t="n">
        <v>-162686.29</v>
      </c>
      <c r="E54" t="n">
        <v>0</v>
      </c>
      <c r="F54" t="n">
        <v>0</v>
      </c>
      <c r="G54" t="n">
        <v>-23357.07</v>
      </c>
      <c r="H54" t="n">
        <v>-14905.62</v>
      </c>
      <c r="I54" t="n">
        <v>-385.93</v>
      </c>
      <c r="J54">
        <f>-90069.92+90000</f>
        <v/>
      </c>
      <c r="K54" t="n">
        <v>-4370.32</v>
      </c>
      <c r="L54" t="n">
        <v>0</v>
      </c>
      <c r="M54" t="n">
        <v>0</v>
      </c>
      <c r="N54" t="n">
        <v>-17504.24</v>
      </c>
      <c r="O54" t="n">
        <v>-31504.48</v>
      </c>
      <c r="P54" t="n">
        <v>-21649.38</v>
      </c>
      <c r="Q54" t="n">
        <v>-13346.73</v>
      </c>
      <c r="R54" t="n">
        <v>-35681.19</v>
      </c>
      <c r="S54" t="n">
        <v>0</v>
      </c>
      <c r="T54" t="n">
        <v>0</v>
      </c>
      <c r="U54" t="n">
        <v>-66712.96000000001</v>
      </c>
      <c r="V54" t="n">
        <v>-20515.47</v>
      </c>
      <c r="W54" t="n">
        <v>-3028.659999999999</v>
      </c>
      <c r="X54" t="n">
        <v>-1730.06</v>
      </c>
      <c r="Y54" t="n">
        <v>-60143.91</v>
      </c>
      <c r="Z54" t="n">
        <v>0</v>
      </c>
      <c r="AA54" t="n">
        <v>0</v>
      </c>
      <c r="AB54" t="n">
        <v>-84183.82000000001</v>
      </c>
      <c r="AC54" t="n">
        <v>-2876</v>
      </c>
      <c r="AD54" t="n">
        <v>-2806.25</v>
      </c>
      <c r="AE54" t="n">
        <v>-705782.49</v>
      </c>
      <c r="AG54">
        <f>SUM(B54:AF54)</f>
        <v/>
      </c>
    </row>
    <row r="56">
      <c r="B56" t="n">
        <v>-20000</v>
      </c>
      <c r="C56" t="n">
        <v>-90000</v>
      </c>
    </row>
    <row r="58">
      <c r="A58" s="51" t="inlineStr">
        <is>
          <t>Chasing</t>
        </is>
      </c>
      <c r="P58" s="25" t="n"/>
      <c r="U58" s="25" t="n"/>
    </row>
    <row r="59">
      <c r="A59" t="inlineStr">
        <is>
          <t>Birmingham</t>
        </is>
      </c>
      <c r="B59" t="n">
        <v>1109.05</v>
      </c>
      <c r="P59" s="25" t="n"/>
      <c r="U59" s="25" t="n"/>
    </row>
    <row r="60">
      <c r="A60" t="inlineStr">
        <is>
          <t>Nhs Birmingham</t>
        </is>
      </c>
      <c r="B60" t="n">
        <v>0</v>
      </c>
    </row>
    <row r="61">
      <c r="A61" t="inlineStr">
        <is>
          <t>Nhs black country</t>
        </is>
      </c>
      <c r="B61" t="n">
        <v>10372.38</v>
      </c>
    </row>
    <row r="62">
      <c r="A62" t="inlineStr">
        <is>
          <t>Sandwell</t>
        </is>
      </c>
      <c r="B62" t="n">
        <v>36092.34</v>
      </c>
    </row>
    <row r="63">
      <c r="A63" s="52" t="inlineStr">
        <is>
          <t xml:space="preserve">Walsall </t>
        </is>
      </c>
      <c r="B63" t="n">
        <v>3636.16</v>
      </c>
    </row>
    <row r="64">
      <c r="A64" t="inlineStr">
        <is>
          <t>Wolverhampton</t>
        </is>
      </c>
      <c r="B64" t="n">
        <v>18224.86</v>
      </c>
    </row>
    <row r="65" ht="15.75" customHeight="1" thickBot="1">
      <c r="A65" s="50" t="inlineStr">
        <is>
          <t>Total</t>
        </is>
      </c>
      <c r="B65" s="29">
        <f>SUM(B59:B64)</f>
        <v/>
      </c>
    </row>
    <row r="66" ht="15.75" customHeight="1" thickTop="1"/>
  </sheetData>
  <conditionalFormatting sqref="B24:M24">
    <cfRule type="cellIs" priority="5" operator="greaterThan" dxfId="2">
      <formula>0</formula>
    </cfRule>
    <cfRule type="cellIs" priority="6" operator="lessThan" dxfId="0">
      <formula>0</formula>
    </cfRule>
  </conditionalFormatting>
  <conditionalFormatting sqref="B53:AE53">
    <cfRule type="cellIs" priority="1" operator="greaterThan" dxfId="2">
      <formula>0</formula>
    </cfRule>
    <cfRule type="cellIs" priority="2" operator="lessThan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7">
    <outlinePr summaryBelow="1" summaryRight="1"/>
    <pageSetUpPr fitToPage="1"/>
  </sheetPr>
  <dimension ref="A1:AH59"/>
  <sheetViews>
    <sheetView topLeftCell="A24" workbookViewId="0">
      <pane xSplit="1" topLeftCell="N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10.140625" bestFit="1" customWidth="1" min="2" max="2"/>
    <col width="9.140625" bestFit="1" customWidth="1" min="3" max="4"/>
    <col width="10.140625" bestFit="1" customWidth="1" min="5" max="11"/>
    <col width="11.140625" bestFit="1" customWidth="1" min="12" max="14"/>
    <col width="11.28515625" bestFit="1" customWidth="1" min="15" max="15"/>
    <col width="11.140625" bestFit="1" customWidth="1" min="16" max="19"/>
    <col width="11.28515625" bestFit="1" customWidth="1" min="20" max="20"/>
    <col width="11.140625" bestFit="1" customWidth="1" min="21" max="21"/>
    <col width="11" bestFit="1" customWidth="1" min="22" max="22"/>
    <col width="11.140625" bestFit="1" customWidth="1" min="23" max="24"/>
    <col width="11" bestFit="1" customWidth="1" min="25" max="29"/>
    <col width="11.85546875" bestFit="1" customWidth="1" min="30" max="32"/>
    <col width="12.5703125" bestFit="1" customWidth="1" min="33" max="33"/>
    <col width="10.140625" bestFit="1" customWidth="1" min="34" max="34"/>
  </cols>
  <sheetData>
    <row r="1" hidden="1">
      <c r="A1" s="1" t="n"/>
      <c r="B1" s="2" t="inlineStr">
        <is>
          <t>Dec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 hidden="1">
      <c r="A2" s="1" t="n"/>
      <c r="B2" s="2" t="inlineStr">
        <is>
          <t>Friday</t>
        </is>
      </c>
      <c r="C2" s="2" t="inlineStr">
        <is>
          <t>Saturday</t>
        </is>
      </c>
      <c r="D2" s="2" t="inlineStr">
        <is>
          <t>Sunday</t>
        </is>
      </c>
      <c r="E2" s="2" t="inlineStr">
        <is>
          <t>Monday</t>
        </is>
      </c>
      <c r="F2" s="2" t="inlineStr">
        <is>
          <t>Tuesday</t>
        </is>
      </c>
      <c r="G2" s="2" t="inlineStr">
        <is>
          <t>Wednesday</t>
        </is>
      </c>
      <c r="H2" s="2" t="inlineStr">
        <is>
          <t>Thursday</t>
        </is>
      </c>
      <c r="I2" s="2" t="inlineStr">
        <is>
          <t>Friday</t>
        </is>
      </c>
      <c r="J2" s="2" t="inlineStr">
        <is>
          <t>Saturday</t>
        </is>
      </c>
      <c r="K2" s="2" t="inlineStr">
        <is>
          <t>Sunday</t>
        </is>
      </c>
      <c r="L2" s="2" t="inlineStr">
        <is>
          <t>Monday</t>
        </is>
      </c>
      <c r="M2" s="2" t="inlineStr">
        <is>
          <t>Tuesday</t>
        </is>
      </c>
      <c r="N2" s="2" t="inlineStr">
        <is>
          <t>Wednesday</t>
        </is>
      </c>
      <c r="O2" s="2" t="inlineStr">
        <is>
          <t>Thursday</t>
        </is>
      </c>
      <c r="P2" s="2" t="inlineStr">
        <is>
          <t>Friday</t>
        </is>
      </c>
      <c r="Q2" s="2" t="inlineStr">
        <is>
          <t>Saturday</t>
        </is>
      </c>
      <c r="R2" s="2" t="inlineStr">
        <is>
          <t>Sunday</t>
        </is>
      </c>
      <c r="S2" s="2" t="inlineStr">
        <is>
          <t>Monday</t>
        </is>
      </c>
      <c r="T2" s="2" t="inlineStr">
        <is>
          <t>Tuesday</t>
        </is>
      </c>
      <c r="U2" s="2" t="inlineStr">
        <is>
          <t>Wednesday</t>
        </is>
      </c>
      <c r="V2" s="2" t="inlineStr">
        <is>
          <t>Thursday</t>
        </is>
      </c>
      <c r="W2" s="2" t="inlineStr">
        <is>
          <t>Friday</t>
        </is>
      </c>
      <c r="X2" s="2" t="inlineStr">
        <is>
          <t>Saturday</t>
        </is>
      </c>
      <c r="Y2" s="2" t="inlineStr">
        <is>
          <t>Sunday</t>
        </is>
      </c>
      <c r="Z2" s="2" t="inlineStr">
        <is>
          <t>Monday</t>
        </is>
      </c>
      <c r="AA2" s="2" t="inlineStr">
        <is>
          <t>Tuesday</t>
        </is>
      </c>
      <c r="AB2" s="2" t="inlineStr">
        <is>
          <t>Wednesday</t>
        </is>
      </c>
      <c r="AC2" s="2" t="inlineStr">
        <is>
          <t>Thursday</t>
        </is>
      </c>
      <c r="AD2" s="2" t="inlineStr">
        <is>
          <t>Friday</t>
        </is>
      </c>
      <c r="AE2" s="2" t="inlineStr">
        <is>
          <t>Saturday</t>
        </is>
      </c>
      <c r="AF2" s="2" t="inlineStr">
        <is>
          <t>Sunday</t>
        </is>
      </c>
      <c r="AG2" s="2" t="inlineStr">
        <is>
          <t>Total</t>
        </is>
      </c>
    </row>
    <row r="3" hidden="1">
      <c r="A3" s="1" t="n"/>
      <c r="B3" s="7" t="inlineStr">
        <is>
          <t>1st</t>
        </is>
      </c>
      <c r="C3" s="7" t="inlineStr">
        <is>
          <t>2nd</t>
        </is>
      </c>
      <c r="D3" s="7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7" t="inlineStr">
        <is>
          <t>25th</t>
        </is>
      </c>
      <c r="AA3" s="7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idden="1" ht="15.75" customHeight="1">
      <c r="A4" s="8" t="inlineStr">
        <is>
          <t>B-HAM CITY COUNCIL-200790-70489166</t>
        </is>
      </c>
      <c r="B4" s="59" t="n"/>
      <c r="C4" s="59" t="n"/>
      <c r="D4" s="59" t="n"/>
      <c r="E4" s="59" t="n"/>
      <c r="F4" s="59" t="n"/>
      <c r="G4" s="59" t="n"/>
      <c r="H4" s="28" t="n">
        <v>64186.4</v>
      </c>
      <c r="I4" s="9" t="n"/>
      <c r="J4" s="12" t="n"/>
      <c r="K4" s="9" t="n"/>
      <c r="L4" s="12" t="n"/>
      <c r="M4" s="12" t="n"/>
      <c r="N4" s="12" t="n"/>
      <c r="O4" s="12" t="n"/>
      <c r="P4" s="12" t="n"/>
      <c r="Q4" s="9" t="n"/>
      <c r="R4" s="9" t="n"/>
      <c r="S4" s="9" t="n"/>
      <c r="T4" s="9" t="n"/>
      <c r="U4" s="9" t="n"/>
      <c r="V4" s="12" t="n">
        <v>5041.28</v>
      </c>
      <c r="W4" s="9" t="n"/>
      <c r="X4" s="9" t="n"/>
      <c r="Y4" s="9" t="n"/>
      <c r="Z4" s="9" t="n"/>
      <c r="AA4" s="9" t="n"/>
      <c r="AB4" s="9" t="n"/>
      <c r="AC4" s="9" t="n"/>
      <c r="AD4" s="9" t="n"/>
      <c r="AE4" s="60" t="n"/>
      <c r="AF4" s="60" t="inlineStr"/>
      <c r="AG4" s="13">
        <f>SUM(B4:AF4)</f>
        <v/>
      </c>
    </row>
    <row r="5" hidden="1" ht="15.75" customHeight="1">
      <c r="A5" s="8" t="inlineStr">
        <is>
          <t>Accord/Age uk</t>
        </is>
      </c>
      <c r="B5" s="9" t="inlineStr"/>
      <c r="C5" s="9" t="inlineStr"/>
      <c r="D5" s="9" t="n"/>
      <c r="E5" s="9" t="inlineStr"/>
      <c r="F5" s="9" t="inlineStr"/>
      <c r="G5" s="9" t="inlineStr"/>
      <c r="H5" s="12" t="n"/>
      <c r="I5" s="9" t="n"/>
      <c r="J5" s="9" t="n"/>
      <c r="K5" s="9" t="n"/>
      <c r="L5" s="12" t="n"/>
      <c r="M5" s="9" t="n"/>
      <c r="N5" s="9" t="n"/>
      <c r="O5" s="9" t="n"/>
      <c r="P5" s="12" t="n"/>
      <c r="Q5" s="9" t="n"/>
      <c r="R5" s="9" t="n"/>
      <c r="S5" s="9" t="n"/>
      <c r="T5" s="12" t="n"/>
      <c r="U5" s="9" t="n"/>
      <c r="V5" s="12" t="n"/>
      <c r="W5" s="9" t="n"/>
      <c r="X5" s="9" t="n"/>
      <c r="Y5" s="9" t="n"/>
      <c r="Z5" s="12" t="n"/>
      <c r="AA5" s="12" t="n"/>
      <c r="AB5" s="9" t="n"/>
      <c r="AC5" s="12" t="n">
        <v>4080</v>
      </c>
      <c r="AD5" s="9" t="n"/>
      <c r="AE5" s="9" t="n"/>
      <c r="AF5" s="9" t="inlineStr"/>
      <c r="AG5" s="13">
        <f>SUM(B5:AF5)</f>
        <v/>
      </c>
    </row>
    <row r="6" hidden="1" ht="15.75" customHeight="1">
      <c r="A6" s="8" t="inlineStr">
        <is>
          <t>Buckingham</t>
        </is>
      </c>
      <c r="B6" s="9" t="inlineStr"/>
      <c r="C6" s="9" t="inlineStr"/>
      <c r="D6" s="9" t="inlineStr"/>
      <c r="E6" s="9" t="inlineStr"/>
      <c r="F6" s="9" t="inlineStr"/>
      <c r="G6" s="9" t="inlineStr"/>
      <c r="H6" s="12" t="n"/>
      <c r="I6" s="9" t="n"/>
      <c r="J6" s="9" t="n"/>
      <c r="K6" s="9" t="n"/>
      <c r="L6" s="12" t="n"/>
      <c r="M6" s="9" t="n"/>
      <c r="N6" s="9" t="n"/>
      <c r="O6" s="9" t="n"/>
      <c r="P6" s="12" t="n"/>
      <c r="Q6" s="9" t="n"/>
      <c r="R6" s="9" t="n"/>
      <c r="S6" s="9" t="n"/>
      <c r="T6" s="12" t="n"/>
      <c r="U6" s="9" t="n"/>
      <c r="V6" s="12" t="n"/>
      <c r="W6" s="12" t="n">
        <v>4937.64</v>
      </c>
      <c r="X6" s="9" t="n"/>
      <c r="Y6" s="9" t="n"/>
      <c r="Z6" s="9" t="n"/>
      <c r="AA6" s="12" t="n"/>
      <c r="AB6" s="9" t="n"/>
      <c r="AC6" s="9" t="n"/>
      <c r="AD6" s="9" t="n"/>
      <c r="AE6" s="9" t="inlineStr"/>
      <c r="AF6" s="9" t="inlineStr"/>
      <c r="AG6" s="13">
        <f>SUM(B6:AF6)</f>
        <v/>
      </c>
    </row>
    <row r="7" hidden="1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>
        <v>12000</v>
      </c>
      <c r="AF7" s="9" t="inlineStr"/>
      <c r="AG7" s="13">
        <f>SUM(B7:AF7)</f>
        <v/>
      </c>
    </row>
    <row r="8" hidden="1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>
        <v>20000</v>
      </c>
      <c r="AF8" s="9" t="n"/>
      <c r="AG8" s="13">
        <f>SUM(B8:AF8)</f>
        <v/>
      </c>
    </row>
    <row r="9" hidden="1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>
        <v>25000</v>
      </c>
      <c r="AF9" s="9" t="inlineStr"/>
      <c r="AG9" s="13">
        <f>SUM(B9:AF9)</f>
        <v/>
      </c>
    </row>
    <row r="10" hidden="1" ht="18.75" customHeight="1">
      <c r="A10" s="8" t="inlineStr">
        <is>
          <t>Ideal for All Ltd</t>
        </is>
      </c>
      <c r="B10" s="9" t="inlineStr"/>
      <c r="C10" s="9" t="n"/>
      <c r="D10" s="9" t="n"/>
      <c r="E10" s="11" t="n"/>
      <c r="G10" s="9" t="n"/>
      <c r="H10" s="12" t="n"/>
      <c r="I10" s="28" t="n">
        <v>3556.45</v>
      </c>
      <c r="J10" s="11" t="n"/>
      <c r="K10" s="9" t="n"/>
      <c r="L10" s="12" t="n"/>
      <c r="M10" s="11" t="n"/>
      <c r="N10" s="12" t="n"/>
      <c r="O10" s="12" t="n">
        <v>2402.4</v>
      </c>
      <c r="P10" s="12" t="n"/>
      <c r="Q10" s="12" t="n"/>
      <c r="R10" s="11" t="n"/>
      <c r="S10" s="12" t="n"/>
      <c r="T10" s="12" t="n">
        <v>2516.8</v>
      </c>
      <c r="U10" s="12" t="n"/>
      <c r="V10" s="9" t="inlineStr"/>
      <c r="W10" s="9" t="inlineStr"/>
      <c r="X10" s="9" t="inlineStr"/>
      <c r="Y10" s="9" t="inlineStr"/>
      <c r="Z10" s="9" t="inlineStr"/>
      <c r="AA10" s="9" t="inlineStr"/>
      <c r="AB10" s="9" t="inlineStr"/>
      <c r="AC10" s="9" t="inlineStr"/>
      <c r="AD10" s="9" t="inlineStr"/>
      <c r="AE10" s="9" t="inlineStr"/>
      <c r="AF10" s="9" t="inlineStr"/>
      <c r="AG10" s="13">
        <f>SUM(B10:AF10)</f>
        <v/>
      </c>
    </row>
    <row r="11" hidden="1" ht="15.75" customHeight="1">
      <c r="A11" s="8" t="inlineStr">
        <is>
          <t>KIRKLEES COUNCIL-204312-63046958</t>
        </is>
      </c>
      <c r="B11" s="9" t="inlineStr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12" t="n"/>
      <c r="N11" s="9" t="n"/>
      <c r="O11" s="9" t="n"/>
      <c r="P11" s="12" t="n"/>
      <c r="Q11" s="12" t="n">
        <v>5554.89</v>
      </c>
      <c r="R11" s="12" t="n"/>
      <c r="S11" s="12" t="n"/>
      <c r="T11" s="9" t="n"/>
      <c r="U11" s="9" t="n"/>
      <c r="V11" s="9" t="inlineStr"/>
      <c r="W11" s="9" t="inlineStr"/>
      <c r="X11" s="9" t="inlineStr"/>
      <c r="Y11" s="9" t="inlineStr"/>
      <c r="Z11" s="9" t="inlineStr"/>
      <c r="AA11" s="9" t="inlineStr"/>
      <c r="AB11" s="9" t="inlineStr"/>
      <c r="AC11" s="9" t="inlineStr"/>
      <c r="AD11" s="9" t="inlineStr"/>
      <c r="AE11" s="9" t="inlineStr"/>
      <c r="AF11" s="9" t="inlineStr"/>
      <c r="AG11" s="13">
        <f>SUM(B11:AF11)</f>
        <v/>
      </c>
    </row>
    <row r="12" hidden="1" ht="15.75" customHeight="1">
      <c r="A12" s="8" t="inlineStr">
        <is>
          <t>LBH PAYMENTS BACS-602210-72430192</t>
        </is>
      </c>
      <c r="B12" s="9" t="inlineStr"/>
      <c r="C12" s="9" t="n"/>
      <c r="D12" s="9" t="n"/>
      <c r="F12" s="9" t="n"/>
      <c r="G12" s="9" t="n"/>
      <c r="H12" s="12" t="n"/>
      <c r="I12" s="9" t="n"/>
      <c r="J12" s="9" t="n"/>
      <c r="K12" s="9" t="n"/>
      <c r="L12" s="9" t="n"/>
      <c r="M12" s="12" t="n">
        <v>5040</v>
      </c>
      <c r="N12" s="12" t="n"/>
      <c r="O12" s="9" t="n"/>
      <c r="P12" s="9" t="n"/>
      <c r="Q12" s="9" t="n"/>
      <c r="R12" s="9" t="n"/>
      <c r="S12" s="9" t="n"/>
      <c r="T12" s="9" t="n"/>
      <c r="U12" s="9" t="n"/>
      <c r="V12" s="9" t="inlineStr"/>
      <c r="W12" s="9" t="inlineStr"/>
      <c r="X12" s="9" t="inlineStr"/>
      <c r="Y12" s="9" t="inlineStr"/>
      <c r="Z12" s="9" t="inlineStr"/>
      <c r="AA12" s="9" t="inlineStr"/>
      <c r="AB12" s="9" t="inlineStr"/>
      <c r="AC12" s="9" t="inlineStr"/>
      <c r="AD12" s="9" t="inlineStr"/>
      <c r="AE12" s="9" t="inlineStr"/>
      <c r="AF12" s="9" t="inlineStr"/>
      <c r="AG12" s="13">
        <f>SUM(B12:AF12)</f>
        <v/>
      </c>
    </row>
    <row r="13" hidden="1" ht="15.75" customHeight="1">
      <c r="A13" s="8" t="inlineStr">
        <is>
          <t>NHS BIRMINGHAM &amp; S-607080-10017097</t>
        </is>
      </c>
      <c r="B13" s="9" t="inlineStr"/>
      <c r="C13" s="9" t="n"/>
      <c r="D13" s="9" t="n"/>
      <c r="E13" s="9" t="inlineStr"/>
      <c r="F13" s="9" t="inlineStr"/>
      <c r="G13" s="9" t="inlineStr"/>
      <c r="H13" s="9" t="inlineStr"/>
      <c r="I13" s="9" t="inlineStr"/>
      <c r="J13" s="9" t="n"/>
      <c r="K13" s="9" t="n"/>
      <c r="L13" s="9" t="inlineStr"/>
      <c r="M13" s="12" t="n">
        <v>7636.98</v>
      </c>
      <c r="N13" s="9" t="inlineStr"/>
      <c r="O13" s="9" t="inlineStr"/>
      <c r="P13" s="9" t="inlineStr"/>
      <c r="Q13" s="9" t="inlineStr"/>
      <c r="R13" s="9" t="inlineStr"/>
      <c r="S13" s="9" t="inlineStr"/>
      <c r="T13" s="9" t="inlineStr"/>
      <c r="U13" s="9" t="inlineStr"/>
      <c r="V13" s="9" t="inlineStr"/>
      <c r="W13" s="9" t="inlineStr"/>
      <c r="X13" s="9" t="n">
        <v>7099.34</v>
      </c>
      <c r="Y13" s="9" t="inlineStr"/>
      <c r="Z13" s="9" t="inlineStr"/>
      <c r="AA13" s="9" t="inlineStr"/>
      <c r="AB13" s="9" t="inlineStr"/>
      <c r="AC13" s="9" t="inlineStr"/>
      <c r="AD13" s="9" t="inlineStr"/>
      <c r="AE13" s="9" t="inlineStr"/>
      <c r="AF13" s="9" t="inlineStr"/>
      <c r="AG13" s="13">
        <f>SUM(B13:AF13)</f>
        <v/>
      </c>
    </row>
    <row r="14" hidden="1" ht="15.75" customHeight="1">
      <c r="A14" s="8" t="inlineStr">
        <is>
          <t>NHS BLACK COUNTRY-607080-10015272</t>
        </is>
      </c>
      <c r="B14" s="9" t="inlineStr"/>
      <c r="C14" s="9" t="inlineStr"/>
      <c r="D14" s="9" t="inlineStr"/>
      <c r="E14" s="9" t="inlineStr"/>
      <c r="F14" s="9" t="inlineStr"/>
      <c r="G14" s="9" t="inlineStr"/>
      <c r="H14" s="9" t="inlineStr"/>
      <c r="I14" s="9" t="inlineStr"/>
      <c r="J14" s="9" t="n"/>
      <c r="K14" s="9" t="n"/>
      <c r="L14" s="9" t="inlineStr"/>
      <c r="M14" s="9" t="inlineStr"/>
      <c r="N14" s="9" t="inlineStr"/>
      <c r="O14" s="9" t="inlineStr"/>
      <c r="P14" s="9" t="n">
        <v>13185.64</v>
      </c>
      <c r="Q14" s="9" t="inlineStr"/>
      <c r="R14" s="9" t="inlineStr"/>
      <c r="S14" s="9" t="inlineStr"/>
      <c r="T14" s="9" t="inlineStr"/>
      <c r="U14" s="9" t="inlineStr"/>
      <c r="V14" s="9" t="inlineStr"/>
      <c r="W14" s="9" t="inlineStr"/>
      <c r="X14" s="9" t="inlineStr"/>
      <c r="Y14" s="9" t="n">
        <v>3304.8</v>
      </c>
      <c r="Z14" s="9" t="inlineStr"/>
      <c r="AA14" s="9" t="inlineStr"/>
      <c r="AB14" s="9" t="inlineStr"/>
      <c r="AC14" s="9" t="n">
        <v>8073.21</v>
      </c>
      <c r="AD14" s="9" t="inlineStr"/>
      <c r="AE14" s="9" t="inlineStr"/>
      <c r="AF14" s="9" t="inlineStr"/>
      <c r="AG14" s="13">
        <f>SUM(B14:AF14)</f>
        <v/>
      </c>
    </row>
    <row r="15" hidden="1" ht="15.75" customHeight="1">
      <c r="A15" s="14" t="inlineStr">
        <is>
          <t>SANDWELL MBC  BEN-601539-69624151</t>
        </is>
      </c>
      <c r="B15" s="9" t="inlineStr"/>
      <c r="C15" s="9" t="inlineStr"/>
      <c r="D15" s="9" t="inlineStr"/>
      <c r="E15" s="9" t="inlineStr"/>
      <c r="F15" s="9" t="inlineStr"/>
      <c r="G15" s="9" t="inlineStr"/>
      <c r="H15" s="9" t="inlineStr"/>
      <c r="I15" s="9" t="inlineStr"/>
      <c r="J15" s="9" t="n"/>
      <c r="K15" s="9" t="n"/>
      <c r="L15" s="9" t="inlineStr"/>
      <c r="M15" s="9" t="inlineStr"/>
      <c r="N15" s="9" t="n">
        <v>3042.78</v>
      </c>
      <c r="O15" s="9" t="inlineStr"/>
      <c r="P15" s="9" t="inlineStr"/>
      <c r="Q15" s="9" t="inlineStr"/>
      <c r="R15" s="9" t="inlineStr"/>
      <c r="S15" s="9" t="inlineStr"/>
      <c r="T15" s="9" t="inlineStr"/>
      <c r="U15" s="9" t="inlineStr"/>
      <c r="V15" s="9" t="inlineStr"/>
      <c r="W15" s="9" t="inlineStr"/>
      <c r="X15" s="9" t="inlineStr"/>
      <c r="Y15" s="9" t="inlineStr"/>
      <c r="Z15" s="9" t="inlineStr"/>
      <c r="AA15" s="9" t="inlineStr"/>
      <c r="AB15" s="9" t="inlineStr"/>
      <c r="AC15" s="9" t="inlineStr"/>
      <c r="AD15" s="9" t="n"/>
      <c r="AE15" s="9" t="inlineStr"/>
      <c r="AF15" s="9" t="inlineStr"/>
      <c r="AG15" s="13">
        <f>SUM(B15:AF15)</f>
        <v/>
      </c>
    </row>
    <row r="16" hidden="1" ht="15.75" customHeight="1">
      <c r="A16" s="14" t="inlineStr">
        <is>
          <t>SANDWELL MBC-601539-69624135</t>
        </is>
      </c>
      <c r="B16" s="9" t="inlineStr"/>
      <c r="C16" s="9" t="inlineStr"/>
      <c r="D16" s="9" t="inlineStr"/>
      <c r="E16" s="9" t="inlineStr"/>
      <c r="F16" s="9" t="inlineStr"/>
      <c r="G16" s="9" t="inlineStr"/>
      <c r="H16" s="9" t="inlineStr"/>
      <c r="I16" s="9" t="inlineStr"/>
      <c r="J16" s="9" t="n"/>
      <c r="K16" s="9" t="n"/>
      <c r="L16" s="9" t="inlineStr"/>
      <c r="M16" s="9" t="inlineStr"/>
      <c r="N16" s="9" t="n">
        <v>115000</v>
      </c>
      <c r="O16" s="9" t="inlineStr"/>
      <c r="P16" s="9" t="inlineStr"/>
      <c r="Q16" s="9" t="inlineStr"/>
      <c r="R16" s="9" t="inlineStr"/>
      <c r="S16" s="9" t="inlineStr"/>
      <c r="T16" s="9" t="inlineStr"/>
      <c r="U16" s="9" t="inlineStr"/>
      <c r="V16" s="9" t="n">
        <v>115000</v>
      </c>
      <c r="W16" s="9" t="inlineStr"/>
      <c r="X16" s="9" t="inlineStr"/>
      <c r="Y16" s="9" t="inlineStr"/>
      <c r="Z16" s="9" t="inlineStr"/>
      <c r="AA16" s="9" t="inlineStr"/>
      <c r="AB16" s="9" t="n"/>
      <c r="AC16" s="9" t="inlineStr"/>
      <c r="AD16" s="9" t="inlineStr"/>
      <c r="AE16" s="9" t="inlineStr"/>
      <c r="AF16" s="9" t="inlineStr"/>
      <c r="AG16" s="13">
        <f>SUM(B16:AF16)</f>
        <v/>
      </c>
    </row>
    <row r="17" hidden="1" ht="15.75" customHeight="1">
      <c r="A17" s="15" t="inlineStr">
        <is>
          <t>SOLIHULL MBC EXP.-200771-00561525</t>
        </is>
      </c>
      <c r="B17" s="9" t="inlineStr"/>
      <c r="C17" s="9" t="inlineStr"/>
      <c r="D17" s="9" t="inlineStr"/>
      <c r="E17" s="9" t="inlineStr"/>
      <c r="F17" s="9" t="inlineStr"/>
      <c r="G17" s="27" t="n">
        <v>30000.6</v>
      </c>
      <c r="H17" s="9" t="inlineStr"/>
      <c r="I17" s="9" t="inlineStr"/>
      <c r="J17" s="9" t="n"/>
      <c r="K17" s="9" t="n"/>
      <c r="L17" s="9" t="n"/>
      <c r="M17" s="9" t="inlineStr"/>
      <c r="N17" s="9" t="inlineStr"/>
      <c r="O17" s="9" t="inlineStr"/>
      <c r="P17" s="9" t="inlineStr"/>
      <c r="Q17" s="9" t="inlineStr"/>
      <c r="R17" s="9" t="inlineStr"/>
      <c r="S17" s="9" t="inlineStr"/>
      <c r="T17" s="9" t="inlineStr"/>
      <c r="U17" s="9" t="inlineStr"/>
      <c r="V17" s="9" t="inlineStr"/>
      <c r="W17" s="9" t="inlineStr"/>
      <c r="X17" s="9" t="inlineStr"/>
      <c r="Y17" s="9" t="inlineStr"/>
      <c r="Z17" s="9" t="inlineStr"/>
      <c r="AA17" s="9" t="inlineStr"/>
      <c r="AB17" s="9" t="inlineStr"/>
      <c r="AC17" s="9" t="inlineStr"/>
      <c r="AD17" s="9" t="inlineStr"/>
      <c r="AE17" s="9" t="inlineStr"/>
      <c r="AF17" s="9" t="inlineStr"/>
      <c r="AG17" s="13">
        <f>SUM(B17:AF17)</f>
        <v/>
      </c>
    </row>
    <row r="18" hidden="1" ht="15.75" customHeight="1">
      <c r="A18" s="15" t="inlineStr">
        <is>
          <t>WALSALL MBC BARC-209073-10731692</t>
        </is>
      </c>
      <c r="B18" s="9" t="inlineStr"/>
      <c r="C18" s="9" t="inlineStr"/>
      <c r="D18" s="9" t="inlineStr"/>
      <c r="E18" s="9" t="inlineStr"/>
      <c r="F18" s="9" t="inlineStr"/>
      <c r="G18" s="9" t="inlineStr"/>
      <c r="H18" s="9" t="inlineStr"/>
      <c r="I18" s="9" t="inlineStr"/>
      <c r="J18" s="9" t="n"/>
      <c r="K18" s="9" t="n"/>
      <c r="L18" s="9" t="inlineStr"/>
      <c r="M18" s="9" t="inlineStr"/>
      <c r="N18" s="9" t="inlineStr"/>
      <c r="O18" s="9" t="inlineStr"/>
      <c r="P18" s="9" t="inlineStr"/>
      <c r="Q18" s="9" t="inlineStr"/>
      <c r="R18" s="9" t="inlineStr"/>
      <c r="S18" s="9" t="inlineStr"/>
      <c r="T18" s="9" t="inlineStr"/>
      <c r="U18" s="9" t="inlineStr"/>
      <c r="V18" s="9" t="n">
        <v>158000</v>
      </c>
      <c r="W18" s="9" t="inlineStr"/>
      <c r="X18" s="9" t="inlineStr"/>
      <c r="Y18" s="9" t="inlineStr"/>
      <c r="Z18" s="9" t="inlineStr"/>
      <c r="AA18" s="9" t="inlineStr"/>
      <c r="AB18" s="9" t="inlineStr"/>
      <c r="AC18" s="9" t="inlineStr"/>
      <c r="AD18" s="9" t="inlineStr"/>
      <c r="AE18" s="9" t="inlineStr"/>
      <c r="AF18" s="9" t="inlineStr"/>
      <c r="AG18" s="13">
        <f>SUM(B18:AF18)</f>
        <v/>
      </c>
    </row>
    <row r="19" hidden="1" ht="15.75" customHeight="1">
      <c r="A19" s="15" t="inlineStr">
        <is>
          <t>WOLVERHAMPTON CC-560069-44470320</t>
        </is>
      </c>
      <c r="B19" s="9" t="n"/>
      <c r="C19" s="9" t="n"/>
      <c r="D19" s="9" t="n"/>
      <c r="E19" s="9" t="n"/>
      <c r="F19" s="9" t="n"/>
      <c r="G19" s="9" t="n"/>
      <c r="H19" s="27" t="n">
        <v>103000</v>
      </c>
      <c r="I19" s="9" t="n"/>
      <c r="J19" s="9" t="n"/>
      <c r="K19" s="9" t="n"/>
      <c r="L19" s="9" t="n"/>
      <c r="M19" s="9" t="n"/>
      <c r="N19" s="9" t="n"/>
      <c r="O19" s="9" t="n">
        <v>103000</v>
      </c>
      <c r="Q19" s="9" t="n"/>
      <c r="R19" s="9" t="n"/>
      <c r="S19" s="9" t="n"/>
      <c r="T19" s="9" t="n"/>
      <c r="U19" s="9" t="n"/>
      <c r="V19" s="9" t="n">
        <v>103000</v>
      </c>
      <c r="W19" s="9" t="n"/>
      <c r="X19" s="9" t="n"/>
      <c r="Y19" s="9" t="n"/>
      <c r="Z19" s="9" t="n"/>
      <c r="AA19" s="9" t="n"/>
      <c r="AB19" s="9" t="n"/>
      <c r="AC19" s="12" t="n"/>
      <c r="AD19" s="9" t="n"/>
      <c r="AE19" s="9" t="n"/>
      <c r="AF19" s="9" t="n"/>
      <c r="AG19" s="13">
        <f>SUM(B19:AF19)</f>
        <v/>
      </c>
    </row>
    <row r="20" hidden="1" ht="15.75" customHeight="1">
      <c r="A20" s="15" t="inlineStr">
        <is>
          <t>TLC</t>
        </is>
      </c>
      <c r="B20" s="12" t="n"/>
      <c r="C20" s="9" t="n"/>
      <c r="D20" s="12" t="n"/>
      <c r="E20" s="12" t="n">
        <v>8529.25</v>
      </c>
      <c r="F20" s="9" t="n"/>
      <c r="G20" s="9" t="n"/>
      <c r="H20" s="9" t="n"/>
      <c r="I20" s="9" t="n"/>
      <c r="J20" s="9" t="n"/>
      <c r="K20" s="9" t="n"/>
      <c r="L20" s="28" t="n">
        <v>1155.4</v>
      </c>
      <c r="M20" s="12" t="n">
        <v>1744</v>
      </c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12" t="n">
        <v>261.6</v>
      </c>
      <c r="Y20" s="9" t="n"/>
      <c r="Z20" s="9" t="n">
        <v>8284</v>
      </c>
      <c r="AA20" s="9" t="n">
        <v>1155.4</v>
      </c>
      <c r="AB20" s="9" t="n"/>
      <c r="AC20" s="12" t="n"/>
      <c r="AD20" s="9" t="n"/>
      <c r="AE20" s="9" t="n">
        <v>1744</v>
      </c>
      <c r="AF20" s="9" t="n"/>
      <c r="AG20" s="13">
        <f>SUM(B20:AF20)</f>
        <v/>
      </c>
    </row>
    <row r="21" hidden="1" ht="15.75" customHeight="1">
      <c r="A21" s="15" t="inlineStr">
        <is>
          <t>HB SC</t>
        </is>
      </c>
      <c r="B21" s="63" t="n">
        <v>2500</v>
      </c>
      <c r="C21" s="63" t="n">
        <v>2500</v>
      </c>
      <c r="D21" s="63" t="n">
        <v>2500</v>
      </c>
      <c r="E21" s="63" t="n">
        <v>2500</v>
      </c>
      <c r="F21" s="63" t="n">
        <v>2500</v>
      </c>
      <c r="G21" s="63" t="n">
        <v>2500</v>
      </c>
      <c r="H21" s="63" t="n">
        <v>2500</v>
      </c>
      <c r="I21" s="63" t="n">
        <v>2500</v>
      </c>
      <c r="J21" s="10" t="n">
        <v>2500</v>
      </c>
      <c r="K21" s="10" t="n">
        <v>2500</v>
      </c>
      <c r="L21" s="10" t="n">
        <v>2500</v>
      </c>
      <c r="M21" s="10" t="n">
        <v>2500</v>
      </c>
      <c r="N21" s="10" t="n">
        <v>2500</v>
      </c>
      <c r="O21" s="10" t="n">
        <v>2500</v>
      </c>
      <c r="P21" s="10" t="n">
        <v>2500</v>
      </c>
      <c r="Q21" s="10" t="n">
        <v>2500</v>
      </c>
      <c r="R21" s="10" t="n">
        <v>2500</v>
      </c>
      <c r="S21" s="10" t="n">
        <v>2500</v>
      </c>
      <c r="T21" s="10" t="n">
        <v>2500</v>
      </c>
      <c r="U21" s="10" t="n">
        <v>2500</v>
      </c>
      <c r="V21" s="10" t="n">
        <v>2500</v>
      </c>
      <c r="W21" s="10" t="n">
        <v>2500</v>
      </c>
      <c r="X21" s="10" t="n">
        <v>2500</v>
      </c>
      <c r="Y21" s="10" t="n">
        <v>2500</v>
      </c>
      <c r="Z21" s="10" t="n">
        <v>2500</v>
      </c>
      <c r="AA21" s="10" t="n">
        <v>2500</v>
      </c>
      <c r="AB21" s="10" t="n">
        <v>2500</v>
      </c>
      <c r="AC21" s="10" t="n">
        <v>2500</v>
      </c>
      <c r="AD21" s="10" t="n">
        <v>2500</v>
      </c>
      <c r="AE21" s="10" t="n">
        <v>2500</v>
      </c>
      <c r="AF21" s="10" t="n">
        <v>2500</v>
      </c>
      <c r="AG21" s="13">
        <f>SUM(B21:AF21)</f>
        <v/>
      </c>
    </row>
    <row r="22" hidden="1" ht="16.5" customHeight="1" thickBot="1">
      <c r="A22" s="15" t="inlineStr">
        <is>
          <t>Total</t>
        </is>
      </c>
      <c r="B22" t="n">
        <v>2500</v>
      </c>
      <c r="C22" t="n">
        <v>2500</v>
      </c>
      <c r="D22" t="n">
        <v>2500</v>
      </c>
      <c r="E22" t="n">
        <v>16069.25</v>
      </c>
      <c r="F22" t="n">
        <v>4902.4</v>
      </c>
      <c r="G22" t="n">
        <v>32500.6</v>
      </c>
      <c r="H22" t="n">
        <v>169686.4</v>
      </c>
      <c r="I22" t="n">
        <v>6056.45</v>
      </c>
      <c r="J22" t="n">
        <v>2500</v>
      </c>
      <c r="K22" t="n">
        <v>2500</v>
      </c>
      <c r="L22" t="n">
        <v>3655.4</v>
      </c>
      <c r="M22" t="n">
        <v>11880.98</v>
      </c>
      <c r="N22" t="n">
        <v>120542.78</v>
      </c>
      <c r="O22" t="n">
        <v>105500</v>
      </c>
      <c r="P22" t="n">
        <v>15685.64</v>
      </c>
      <c r="Q22" t="n">
        <v>8054.89</v>
      </c>
      <c r="R22" t="n">
        <v>2500</v>
      </c>
      <c r="S22" t="n">
        <v>2500</v>
      </c>
      <c r="T22" t="n">
        <v>5016.8</v>
      </c>
      <c r="U22" t="n">
        <v>2500</v>
      </c>
      <c r="V22" t="n">
        <v>383541.28</v>
      </c>
      <c r="W22" t="n">
        <v>7437.64</v>
      </c>
      <c r="X22" t="n">
        <v>9860.940000000001</v>
      </c>
      <c r="Y22" t="n">
        <v>5804.8</v>
      </c>
      <c r="Z22" t="n">
        <v>10784</v>
      </c>
      <c r="AA22" t="n">
        <v>3655.4</v>
      </c>
      <c r="AB22" t="n">
        <v>2500</v>
      </c>
      <c r="AC22" t="n">
        <v>14653.21</v>
      </c>
      <c r="AD22" t="n">
        <v>2500</v>
      </c>
      <c r="AE22" t="n">
        <v>61244</v>
      </c>
      <c r="AF22" t="n">
        <v>2500</v>
      </c>
      <c r="AG22" s="22">
        <f>SUM(AG4:AG21)</f>
        <v/>
      </c>
      <c r="AH22" s="25" t="n"/>
    </row>
    <row r="23" hidden="1" ht="15" customHeight="1" thickTop="1">
      <c r="A23" s="15" t="inlineStr">
        <is>
          <t>Ruunning Total</t>
        </is>
      </c>
      <c r="B23" t="n">
        <v>2500</v>
      </c>
      <c r="C23" t="n">
        <v>5000</v>
      </c>
      <c r="D23" t="n">
        <v>7500</v>
      </c>
      <c r="E23" t="n">
        <v>23569.25</v>
      </c>
      <c r="F23" t="n">
        <v>28471.65</v>
      </c>
      <c r="G23" t="n">
        <v>60972.25</v>
      </c>
      <c r="H23" t="n">
        <v>230658.65</v>
      </c>
      <c r="I23" t="n">
        <v>236715.1</v>
      </c>
      <c r="J23" t="n">
        <v>239215.1</v>
      </c>
      <c r="K23" t="n">
        <v>241715.1</v>
      </c>
      <c r="L23" t="n">
        <v>245370.5</v>
      </c>
      <c r="M23" t="n">
        <v>257251.48</v>
      </c>
      <c r="N23" t="n">
        <v>377794.26</v>
      </c>
      <c r="O23" t="n">
        <v>483294.26</v>
      </c>
      <c r="P23" t="n">
        <v>498979.9</v>
      </c>
      <c r="Q23" t="n">
        <v>507034.79</v>
      </c>
      <c r="R23" t="n">
        <v>509534.79</v>
      </c>
      <c r="S23" t="n">
        <v>512034.79</v>
      </c>
      <c r="T23" t="n">
        <v>517051.59</v>
      </c>
      <c r="U23" t="n">
        <v>519551.59</v>
      </c>
      <c r="V23" t="n">
        <v>903092.8700000001</v>
      </c>
      <c r="W23" t="n">
        <v>910530.5100000001</v>
      </c>
      <c r="X23" t="n">
        <v>920391.4500000001</v>
      </c>
      <c r="Y23" t="n">
        <v>926196.2500000001</v>
      </c>
      <c r="Z23" t="n">
        <v>936980.2500000001</v>
      </c>
      <c r="AA23" t="n">
        <v>940635.6500000001</v>
      </c>
      <c r="AB23" t="n">
        <v>943135.6500000001</v>
      </c>
      <c r="AC23" t="n">
        <v>957788.8600000001</v>
      </c>
      <c r="AD23" t="n">
        <v>960288.8600000001</v>
      </c>
      <c r="AE23" t="n">
        <v>1021532.86</v>
      </c>
      <c r="AF23" t="n">
        <v>1024032.86</v>
      </c>
    </row>
    <row r="26">
      <c r="A26" s="1" t="n"/>
      <c r="B26" s="2" t="inlineStr">
        <is>
          <t>Dec</t>
        </is>
      </c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1" t="n"/>
      <c r="AF26" s="1" t="n"/>
      <c r="AG26" s="1" t="n"/>
    </row>
    <row r="27">
      <c r="A27" s="1" t="n"/>
      <c r="B27" s="2" t="inlineStr">
        <is>
          <t>Friday</t>
        </is>
      </c>
      <c r="C27" s="2" t="inlineStr">
        <is>
          <t>Saturday</t>
        </is>
      </c>
      <c r="D27" s="2" t="inlineStr">
        <is>
          <t>Sunday</t>
        </is>
      </c>
      <c r="E27" s="2" t="inlineStr">
        <is>
          <t>Monday</t>
        </is>
      </c>
      <c r="F27" s="2" t="inlineStr">
        <is>
          <t>Tuesday</t>
        </is>
      </c>
      <c r="G27" s="2" t="inlineStr">
        <is>
          <t>Wednesday</t>
        </is>
      </c>
      <c r="H27" s="2" t="inlineStr">
        <is>
          <t>Thursday</t>
        </is>
      </c>
      <c r="I27" s="2" t="inlineStr">
        <is>
          <t>Friday</t>
        </is>
      </c>
      <c r="J27" s="2" t="inlineStr">
        <is>
          <t>Saturday</t>
        </is>
      </c>
      <c r="K27" s="2" t="inlineStr">
        <is>
          <t>Sunday</t>
        </is>
      </c>
      <c r="L27" s="2" t="inlineStr">
        <is>
          <t>Monday</t>
        </is>
      </c>
      <c r="M27" s="2" t="inlineStr">
        <is>
          <t>Tuesday</t>
        </is>
      </c>
      <c r="N27" s="2" t="inlineStr">
        <is>
          <t>Wednesday</t>
        </is>
      </c>
      <c r="O27" s="2" t="inlineStr">
        <is>
          <t>Thursday</t>
        </is>
      </c>
      <c r="P27" s="2" t="inlineStr">
        <is>
          <t>Friday</t>
        </is>
      </c>
      <c r="Q27" s="2" t="inlineStr">
        <is>
          <t>Saturday</t>
        </is>
      </c>
      <c r="R27" s="2" t="inlineStr">
        <is>
          <t>Sunday</t>
        </is>
      </c>
      <c r="S27" s="2" t="inlineStr">
        <is>
          <t>Monday</t>
        </is>
      </c>
      <c r="T27" s="2" t="inlineStr">
        <is>
          <t>Tuesday</t>
        </is>
      </c>
      <c r="U27" s="2" t="inlineStr">
        <is>
          <t>Wednesday</t>
        </is>
      </c>
      <c r="V27" s="2" t="inlineStr">
        <is>
          <t>Thursday</t>
        </is>
      </c>
      <c r="W27" s="2" t="inlineStr">
        <is>
          <t>Friday</t>
        </is>
      </c>
      <c r="X27" s="2" t="inlineStr">
        <is>
          <t>Saturday</t>
        </is>
      </c>
      <c r="Y27" s="2" t="inlineStr">
        <is>
          <t>Sunday</t>
        </is>
      </c>
      <c r="Z27" s="2" t="inlineStr">
        <is>
          <t>Monday</t>
        </is>
      </c>
      <c r="AA27" s="2" t="inlineStr">
        <is>
          <t>Tuesday</t>
        </is>
      </c>
      <c r="AB27" s="2" t="inlineStr">
        <is>
          <t>Wednesday</t>
        </is>
      </c>
      <c r="AC27" s="2" t="inlineStr">
        <is>
          <t>Thursday</t>
        </is>
      </c>
      <c r="AD27" s="2" t="inlineStr">
        <is>
          <t>Friday</t>
        </is>
      </c>
      <c r="AE27" s="2" t="inlineStr">
        <is>
          <t>Saturday</t>
        </is>
      </c>
      <c r="AF27" s="2" t="inlineStr">
        <is>
          <t>Sunday</t>
        </is>
      </c>
      <c r="AG27" s="2" t="inlineStr">
        <is>
          <t>Total</t>
        </is>
      </c>
    </row>
    <row r="28">
      <c r="A28" s="1" t="n"/>
      <c r="B28" s="7" t="inlineStr">
        <is>
          <t>1st</t>
        </is>
      </c>
      <c r="C28" s="7" t="inlineStr">
        <is>
          <t>2nd</t>
        </is>
      </c>
      <c r="D28" s="7" t="inlineStr">
        <is>
          <t>3rd</t>
        </is>
      </c>
      <c r="E28" s="4" t="inlineStr">
        <is>
          <t>4th</t>
        </is>
      </c>
      <c r="F28" s="4" t="inlineStr">
        <is>
          <t>5th</t>
        </is>
      </c>
      <c r="G28" s="4" t="inlineStr">
        <is>
          <t>6th</t>
        </is>
      </c>
      <c r="H28" s="4" t="inlineStr">
        <is>
          <t>7th</t>
        </is>
      </c>
      <c r="I28" s="4" t="inlineStr">
        <is>
          <t>8th</t>
        </is>
      </c>
      <c r="J28" s="4" t="inlineStr">
        <is>
          <t>9th</t>
        </is>
      </c>
      <c r="K28" s="4" t="inlineStr">
        <is>
          <t>10th</t>
        </is>
      </c>
      <c r="L28" s="5" t="inlineStr">
        <is>
          <t>11th</t>
        </is>
      </c>
      <c r="M28" s="5" t="inlineStr">
        <is>
          <t>12th</t>
        </is>
      </c>
      <c r="N28" s="5" t="inlineStr">
        <is>
          <t>13th</t>
        </is>
      </c>
      <c r="O28" s="5" t="inlineStr">
        <is>
          <t>14th</t>
        </is>
      </c>
      <c r="P28" s="5" t="inlineStr">
        <is>
          <t>15th</t>
        </is>
      </c>
      <c r="Q28" s="5" t="inlineStr">
        <is>
          <t>16th</t>
        </is>
      </c>
      <c r="R28" s="5" t="inlineStr">
        <is>
          <t>17th</t>
        </is>
      </c>
      <c r="S28" s="6" t="inlineStr">
        <is>
          <t>18th</t>
        </is>
      </c>
      <c r="T28" s="6" t="inlineStr">
        <is>
          <t>19th</t>
        </is>
      </c>
      <c r="U28" s="6" t="inlineStr">
        <is>
          <t>20th</t>
        </is>
      </c>
      <c r="V28" s="6" t="inlineStr">
        <is>
          <t>21st</t>
        </is>
      </c>
      <c r="W28" s="6" t="inlineStr">
        <is>
          <t>22nd</t>
        </is>
      </c>
      <c r="X28" s="6" t="inlineStr">
        <is>
          <t>23rd</t>
        </is>
      </c>
      <c r="Y28" s="6" t="inlineStr">
        <is>
          <t>24th</t>
        </is>
      </c>
      <c r="Z28" s="7" t="inlineStr">
        <is>
          <t>25th</t>
        </is>
      </c>
      <c r="AA28" s="7" t="inlineStr">
        <is>
          <t>26th</t>
        </is>
      </c>
      <c r="AB28" s="7" t="inlineStr">
        <is>
          <t>27th</t>
        </is>
      </c>
      <c r="AC28" s="7" t="inlineStr">
        <is>
          <t>28th</t>
        </is>
      </c>
      <c r="AD28" s="7" t="inlineStr">
        <is>
          <t>29th</t>
        </is>
      </c>
      <c r="AE28" s="7" t="inlineStr">
        <is>
          <t>30th</t>
        </is>
      </c>
      <c r="AF28" s="7" t="inlineStr">
        <is>
          <t>31st</t>
        </is>
      </c>
      <c r="AG28" s="1" t="n"/>
    </row>
    <row r="29" ht="15.75" customHeight="1">
      <c r="A29" s="8" t="inlineStr">
        <is>
          <t>B-HAM CITY COUNCIL-200790-70489166</t>
        </is>
      </c>
      <c r="B29" s="59" t="n"/>
      <c r="C29" s="59" t="n"/>
      <c r="D29" s="59" t="n"/>
      <c r="E29" s="59" t="n"/>
      <c r="F29" t="n">
        <v>64186.4</v>
      </c>
      <c r="G29" t="n">
        <v>1220.36</v>
      </c>
      <c r="H29" s="12" t="n"/>
      <c r="I29" s="9" t="n"/>
      <c r="J29" s="12" t="n"/>
      <c r="K29" s="9" t="n"/>
      <c r="L29" s="12" t="n"/>
      <c r="M29" s="12" t="n"/>
      <c r="N29" s="31" t="n"/>
      <c r="O29" s="31" t="n">
        <v>3896.04</v>
      </c>
      <c r="P29" s="31" t="n"/>
      <c r="Q29" s="9" t="n"/>
      <c r="R29" s="9" t="n"/>
      <c r="S29" t="n">
        <v>1298.68</v>
      </c>
      <c r="T29" s="26" t="n"/>
      <c r="U29" s="9" t="n"/>
      <c r="V29" t="n">
        <v>5041.28</v>
      </c>
      <c r="W29" t="n">
        <v>7335.99</v>
      </c>
      <c r="X29" s="9" t="n"/>
      <c r="Y29" s="9" t="n"/>
      <c r="Z29" s="9" t="n"/>
      <c r="AA29" s="9" t="n"/>
      <c r="AB29" s="9" t="n"/>
      <c r="AC29" s="9" t="n"/>
      <c r="AD29" s="9" t="n"/>
      <c r="AE29" s="60" t="n"/>
      <c r="AF29" s="60" t="n"/>
      <c r="AG29" s="13">
        <f>SUM(B29:AF29)</f>
        <v/>
      </c>
    </row>
    <row r="30" ht="15.75" customHeight="1">
      <c r="A30" s="8" t="inlineStr">
        <is>
          <t>Accord/Age uk</t>
        </is>
      </c>
      <c r="B30" s="9" t="n"/>
      <c r="C30" s="9" t="n"/>
      <c r="D30" s="9" t="n"/>
      <c r="E30" s="9" t="n"/>
      <c r="F30" s="9" t="n"/>
      <c r="G30" s="9" t="n"/>
      <c r="H30" s="12" t="n"/>
      <c r="I30" s="9" t="n"/>
      <c r="J30" s="9" t="n"/>
      <c r="K30" s="9" t="n"/>
      <c r="L30" s="12" t="n"/>
      <c r="M30" s="9" t="n"/>
      <c r="N30" s="26" t="n"/>
      <c r="O30" s="26" t="n"/>
      <c r="P30" s="31" t="n"/>
      <c r="Q30" s="9" t="n"/>
      <c r="R30" s="9" t="n"/>
      <c r="S30" s="9" t="n"/>
      <c r="T30" s="31" t="n"/>
      <c r="U30" s="9" t="n"/>
      <c r="V30" s="12" t="n"/>
      <c r="W30" s="9" t="n"/>
      <c r="X30" s="9" t="n"/>
      <c r="Y30" s="9" t="n"/>
      <c r="Z30" s="12" t="n"/>
      <c r="AA30" s="12" t="n"/>
      <c r="AB30" s="9" t="n"/>
      <c r="AD30" s="9" t="n"/>
      <c r="AE30" s="33" t="n"/>
      <c r="AF30" s="32" t="n"/>
      <c r="AG30" s="13">
        <f>SUM(B30:AF30)</f>
        <v/>
      </c>
    </row>
    <row r="31" ht="15.75" customHeight="1">
      <c r="A31" s="8" t="inlineStr">
        <is>
          <t>Buckingham</t>
        </is>
      </c>
      <c r="B31" s="9" t="n"/>
      <c r="C31" s="9" t="n"/>
      <c r="D31" s="9" t="n"/>
      <c r="E31" s="9" t="n"/>
      <c r="F31" s="9" t="n"/>
      <c r="G31" s="9" t="n"/>
      <c r="H31" s="12" t="n"/>
      <c r="I31" s="9" t="n"/>
      <c r="J31" s="9" t="n"/>
      <c r="K31" s="9" t="n"/>
      <c r="L31" s="12" t="n"/>
      <c r="M31" s="9" t="n"/>
      <c r="N31" s="26" t="n"/>
      <c r="O31" s="26" t="n"/>
      <c r="P31" s="31" t="n"/>
      <c r="Q31" s="9" t="n"/>
      <c r="R31" s="9" t="n"/>
      <c r="S31" s="9" t="n"/>
      <c r="T31" s="31" t="n"/>
      <c r="U31" s="9" t="n"/>
      <c r="V31" s="12" t="n"/>
      <c r="W31" t="n">
        <v>4937.64</v>
      </c>
      <c r="X31" s="9" t="n"/>
      <c r="Y31" s="9" t="n"/>
      <c r="Z31" s="9" t="n"/>
      <c r="AA31" s="12" t="n"/>
      <c r="AB31" s="9" t="n"/>
      <c r="AC31" s="9" t="n"/>
      <c r="AD31" s="9" t="n"/>
      <c r="AE31" s="32" t="n"/>
      <c r="AF31" s="32" t="n"/>
      <c r="AG31" s="13">
        <f>SUM(B31:AF31)</f>
        <v/>
      </c>
    </row>
    <row r="32" ht="15.75" customHeight="1">
      <c r="A32" s="8" t="inlineStr">
        <is>
          <t>Sandwell respite est</t>
        </is>
      </c>
      <c r="B32" s="9" t="n"/>
      <c r="C32" s="9" t="n"/>
      <c r="D32" s="9" t="n"/>
      <c r="E32" s="9" t="n"/>
      <c r="F32" s="9" t="n"/>
      <c r="G32" s="9" t="n"/>
      <c r="H32" s="9" t="n"/>
      <c r="I32" t="n">
        <v>1482.4</v>
      </c>
      <c r="J32" s="9" t="n"/>
      <c r="K32" s="9" t="n"/>
      <c r="L32" s="9" t="n"/>
      <c r="M32" s="9" t="n"/>
      <c r="N32" s="26" t="n"/>
      <c r="O32" s="26" t="n"/>
      <c r="P32" s="26" t="n"/>
      <c r="Q32" s="9" t="n"/>
      <c r="R32" s="9" t="n"/>
      <c r="S32" s="9" t="n"/>
      <c r="T32" s="31" t="n">
        <v>7156.39</v>
      </c>
      <c r="U32" t="n">
        <v>1088</v>
      </c>
      <c r="V32" s="9" t="n"/>
      <c r="X32" s="9" t="n"/>
      <c r="Y32" s="9" t="n"/>
      <c r="Z32" s="9" t="n"/>
      <c r="AA32" s="9" t="n"/>
      <c r="AB32" s="9" t="n"/>
      <c r="AC32" s="9" t="n"/>
      <c r="AD32" s="9" t="n"/>
      <c r="AE32" s="32" t="n"/>
      <c r="AF32" s="32" t="n"/>
      <c r="AG32" s="13">
        <f>SUM(B32:AF32)</f>
        <v/>
      </c>
    </row>
    <row r="33" ht="15.75" customHeight="1">
      <c r="A33" s="8" t="inlineStr">
        <is>
          <t xml:space="preserve">Wolverhampton respite est </t>
        </is>
      </c>
      <c r="B33" s="9" t="n"/>
      <c r="C33" s="9" t="n"/>
      <c r="D33" s="9" t="n"/>
      <c r="E33" s="9" t="n"/>
      <c r="F33" s="9" t="n"/>
      <c r="G33" s="9" t="n"/>
      <c r="H33" s="9" t="n"/>
      <c r="I33" s="9" t="n"/>
      <c r="J33" s="9" t="n"/>
      <c r="K33" s="9" t="n"/>
      <c r="L33" t="n">
        <v>11423.84</v>
      </c>
      <c r="M33" s="9" t="n"/>
      <c r="N33" s="26" t="n"/>
      <c r="O33" s="26" t="n"/>
      <c r="P33" s="26" t="n">
        <v>20861.36</v>
      </c>
      <c r="Q33" s="9" t="n"/>
      <c r="R33" s="9" t="n"/>
      <c r="S33" s="9" t="n"/>
      <c r="T33" s="26" t="n"/>
      <c r="V33" s="9" t="n"/>
      <c r="X33" s="9" t="n"/>
      <c r="Y33" s="9" t="n"/>
      <c r="Z33" s="9" t="n"/>
      <c r="AA33" s="9" t="n"/>
      <c r="AB33" s="9" t="n"/>
      <c r="AC33" s="9" t="n"/>
      <c r="AD33" s="9" t="n"/>
      <c r="AE33" s="32" t="n"/>
      <c r="AF33" s="32" t="n"/>
      <c r="AG33" s="13">
        <f>SUM(B33:AF33)</f>
        <v/>
      </c>
    </row>
    <row r="34" ht="15.75" customHeight="1">
      <c r="A34" s="8" t="inlineStr">
        <is>
          <t>Walsall Respite</t>
        </is>
      </c>
      <c r="B34" t="n">
        <v>2811.68</v>
      </c>
      <c r="C34" s="9" t="n"/>
      <c r="D34" s="9" t="n"/>
      <c r="E34" s="9" t="n"/>
      <c r="F34" s="9" t="n"/>
      <c r="G34" s="9" t="n"/>
      <c r="H34" s="9" t="n"/>
      <c r="I34" s="9" t="n"/>
      <c r="J34" s="9" t="n"/>
      <c r="K34" s="9" t="n"/>
      <c r="L34" s="9" t="n"/>
      <c r="M34" s="9" t="n"/>
      <c r="N34" s="26" t="n"/>
      <c r="O34" s="26" t="n"/>
      <c r="P34" s="26" t="n"/>
      <c r="Q34" s="9" t="n"/>
      <c r="R34" s="9" t="n"/>
      <c r="S34" s="9" t="n"/>
      <c r="T34" s="26" t="n">
        <v>21152</v>
      </c>
      <c r="U34" s="9" t="n"/>
      <c r="X34" s="9" t="n"/>
      <c r="Y34" s="9" t="n"/>
      <c r="Z34" s="9" t="n"/>
      <c r="AA34" s="9" t="n"/>
      <c r="AB34" s="9" t="n"/>
      <c r="AC34" t="n">
        <v>2938.24</v>
      </c>
      <c r="AD34" s="9" t="n"/>
      <c r="AE34" s="32" t="n"/>
      <c r="AF34" s="32" t="n"/>
      <c r="AG34" s="13">
        <f>SUM(B34:AF34)</f>
        <v/>
      </c>
    </row>
    <row r="35" ht="18.75" customHeight="1">
      <c r="A35" s="8" t="inlineStr">
        <is>
          <t>Ideal for All Ltd</t>
        </is>
      </c>
      <c r="B35" s="9" t="n"/>
      <c r="C35" s="9" t="n"/>
      <c r="D35" s="9" t="n"/>
      <c r="E35" t="n">
        <v>3216.15</v>
      </c>
      <c r="F35" s="12" t="n"/>
      <c r="G35" s="9" t="n"/>
      <c r="H35" s="12" t="n"/>
      <c r="I35" s="12" t="n"/>
      <c r="J35" s="11" t="n"/>
      <c r="K35" s="9" t="n"/>
      <c r="L35" s="12" t="n"/>
      <c r="M35" s="11" t="n"/>
      <c r="N35" s="31" t="n"/>
      <c r="O35" s="31" t="n"/>
      <c r="P35" s="31" t="n"/>
      <c r="Q35" s="12" t="n"/>
      <c r="R35" s="11" t="n"/>
      <c r="T35" s="31" t="n"/>
      <c r="U35" s="12" t="n"/>
      <c r="X35" s="9" t="inlineStr"/>
      <c r="Y35" s="9" t="inlineStr"/>
      <c r="Z35" s="9" t="inlineStr"/>
      <c r="AC35" s="9" t="inlineStr"/>
      <c r="AD35" s="9" t="inlineStr"/>
      <c r="AE35" s="33" t="n"/>
      <c r="AF35" s="33" t="n"/>
      <c r="AG35" s="13">
        <f>SUM(B35:AF35)</f>
        <v/>
      </c>
    </row>
    <row r="36" ht="15.75" customHeight="1">
      <c r="A36" s="8" t="inlineStr">
        <is>
          <t>KIRKLEES COUNCIL-204312-63046958</t>
        </is>
      </c>
      <c r="B36" s="9" t="n"/>
      <c r="C36" s="9" t="n"/>
      <c r="D36" s="9" t="n"/>
      <c r="E36" s="9" t="n"/>
      <c r="F36" s="9" t="n"/>
      <c r="G36" t="n">
        <v>5375.7</v>
      </c>
      <c r="H36" s="9" t="n"/>
      <c r="I36" s="9" t="n"/>
      <c r="J36" s="9" t="n"/>
      <c r="K36" s="9" t="n"/>
      <c r="L36" s="9" t="n"/>
      <c r="M36" s="12" t="n"/>
      <c r="N36" s="26" t="n"/>
      <c r="O36" s="26" t="n"/>
      <c r="P36" s="31" t="n"/>
      <c r="R36" s="12" t="n"/>
      <c r="S36" s="12" t="n"/>
      <c r="T36" s="26" t="n"/>
      <c r="V36" s="9" t="inlineStr"/>
      <c r="X36" s="9" t="inlineStr"/>
      <c r="Y36" s="9" t="inlineStr"/>
      <c r="Z36" s="9" t="inlineStr"/>
      <c r="AC36" s="9" t="inlineStr"/>
      <c r="AD36" s="9" t="inlineStr"/>
      <c r="AE36" s="33" t="n"/>
      <c r="AF36" s="32" t="n"/>
      <c r="AG36" s="13">
        <f>SUM(B36:AF36)</f>
        <v/>
      </c>
    </row>
    <row r="37" ht="15.75" customHeight="1">
      <c r="A37" s="8" t="inlineStr">
        <is>
          <t>LBH PAYMENTS BACS-602210-72430192</t>
        </is>
      </c>
      <c r="B37" s="9" t="n"/>
      <c r="C37" s="9" t="n"/>
      <c r="D37" s="9" t="n"/>
      <c r="E37" s="12" t="n"/>
      <c r="F37" s="9" t="n"/>
      <c r="G37" s="9" t="n"/>
      <c r="H37" s="12" t="n"/>
      <c r="I37" s="9" t="n"/>
      <c r="J37" s="9" t="n"/>
      <c r="K37" s="9" t="n"/>
      <c r="L37" s="9" t="n"/>
      <c r="N37" s="31" t="n"/>
      <c r="O37" s="26" t="n"/>
      <c r="P37" s="31" t="n"/>
      <c r="Q37" s="9" t="n"/>
      <c r="R37" s="9" t="n"/>
      <c r="T37" s="26" t="n"/>
      <c r="U37" s="9" t="n"/>
      <c r="V37" s="9" t="inlineStr"/>
      <c r="X37" s="9" t="inlineStr"/>
      <c r="Y37" s="9" t="inlineStr"/>
      <c r="Z37" s="9" t="inlineStr"/>
      <c r="AC37" s="9" t="inlineStr"/>
      <c r="AD37" s="31" t="n">
        <v>5040</v>
      </c>
      <c r="AE37" s="33" t="n"/>
      <c r="AF37" s="32" t="n"/>
      <c r="AG37" s="13">
        <f>SUM(B37:AF37)</f>
        <v/>
      </c>
    </row>
    <row r="38" ht="15.75" customHeight="1">
      <c r="A38" s="8" t="inlineStr">
        <is>
          <t>NHS BIRMINGHAM &amp; S-607080-10017097</t>
        </is>
      </c>
      <c r="B38" s="9" t="n"/>
      <c r="C38" s="9" t="n"/>
      <c r="D38" s="9" t="n"/>
      <c r="E38" s="9" t="n"/>
      <c r="F38" s="9" t="n"/>
      <c r="G38" s="9" t="n"/>
      <c r="H38" s="9" t="n"/>
      <c r="I38" s="9" t="n"/>
      <c r="J38" s="9" t="n"/>
      <c r="K38" s="9" t="n"/>
      <c r="L38" s="9" t="inlineStr"/>
      <c r="N38" s="31" t="n"/>
      <c r="O38" s="26" t="inlineStr"/>
      <c r="P38" s="31" t="n">
        <v>6891.9</v>
      </c>
      <c r="Q38" s="9" t="inlineStr"/>
      <c r="R38" s="9" t="inlineStr"/>
      <c r="S38" s="9" t="inlineStr"/>
      <c r="T38" s="26" t="inlineStr"/>
      <c r="U38" s="9" t="inlineStr"/>
      <c r="V38" s="9" t="inlineStr"/>
      <c r="W38" s="9" t="inlineStr"/>
      <c r="Y38" s="9" t="inlineStr"/>
      <c r="Z38" s="9" t="inlineStr"/>
      <c r="AC38" s="9" t="inlineStr"/>
      <c r="AD38" s="9" t="inlineStr"/>
      <c r="AE38" s="32" t="n"/>
      <c r="AF38" s="32" t="n"/>
      <c r="AG38" s="13">
        <f>SUM(B38:AF38)</f>
        <v/>
      </c>
    </row>
    <row r="39" ht="15.75" customHeight="1">
      <c r="A39" s="8" t="inlineStr">
        <is>
          <t>NHS BLACK COUNTRY-607080-10015272</t>
        </is>
      </c>
      <c r="B39" s="9" t="n"/>
      <c r="C39" s="9" t="n"/>
      <c r="D39" s="9" t="n"/>
      <c r="E39" s="9" t="n"/>
      <c r="F39" s="9" t="n"/>
      <c r="G39" s="9" t="n"/>
      <c r="H39" s="9" t="n"/>
      <c r="I39" s="9" t="n"/>
      <c r="J39" s="9" t="n"/>
      <c r="K39" s="9" t="n"/>
      <c r="L39" s="9" t="inlineStr"/>
      <c r="N39" s="26" t="inlineStr"/>
      <c r="O39" s="26" t="inlineStr"/>
      <c r="P39" s="26" t="n">
        <v>13625.17</v>
      </c>
      <c r="Q39" s="9" t="inlineStr"/>
      <c r="R39" s="9" t="inlineStr"/>
      <c r="S39" s="9" t="inlineStr"/>
      <c r="T39" s="26" t="inlineStr"/>
      <c r="U39" s="9" t="inlineStr"/>
      <c r="V39" s="9" t="inlineStr"/>
      <c r="W39" s="9" t="inlineStr"/>
      <c r="X39" s="9" t="inlineStr"/>
      <c r="Z39" s="9" t="inlineStr"/>
      <c r="AA39" s="9" t="inlineStr"/>
      <c r="AB39" s="9" t="n"/>
      <c r="AC39" t="n">
        <v>8342.32</v>
      </c>
      <c r="AD39" s="9" t="inlineStr"/>
      <c r="AE39" s="9" t="n"/>
      <c r="AF39" s="9" t="n"/>
      <c r="AG39" s="13">
        <f>SUM(B39:AF39)</f>
        <v/>
      </c>
    </row>
    <row r="40" ht="15.75" customHeight="1">
      <c r="A40" s="14" t="inlineStr">
        <is>
          <t>SANDWELL MBC  BEN-601539-69624151</t>
        </is>
      </c>
      <c r="B40" s="9" t="n"/>
      <c r="C40" s="9" t="n"/>
      <c r="D40" s="9" t="n"/>
      <c r="E40" s="9" t="n"/>
      <c r="F40" s="9" t="n"/>
      <c r="G40" s="9" t="n"/>
      <c r="H40" s="9" t="n"/>
      <c r="I40" s="9" t="n"/>
      <c r="J40" s="9" t="n"/>
      <c r="K40" s="9" t="n"/>
      <c r="L40" t="n">
        <v>2950.96</v>
      </c>
      <c r="N40" s="26" t="inlineStr"/>
      <c r="O40" s="26" t="inlineStr"/>
      <c r="P40" s="26" t="inlineStr"/>
      <c r="Q40" s="9" t="inlineStr"/>
      <c r="R40" s="9" t="inlineStr"/>
      <c r="S40" s="9" t="inlineStr"/>
      <c r="T40" s="26" t="inlineStr"/>
      <c r="U40" s="9" t="inlineStr"/>
      <c r="V40" s="9" t="inlineStr"/>
      <c r="W40" s="9" t="inlineStr"/>
      <c r="X40" s="9" t="inlineStr"/>
      <c r="Y40" s="9" t="inlineStr"/>
      <c r="Z40" s="9" t="inlineStr"/>
      <c r="AA40" s="9" t="inlineStr"/>
      <c r="AB40" s="9" t="inlineStr"/>
      <c r="AC40" s="9" t="inlineStr"/>
      <c r="AD40" s="9" t="n"/>
      <c r="AE40" s="9" t="n"/>
      <c r="AF40" s="9" t="n"/>
      <c r="AG40" s="13">
        <f>SUM(B40:AF40)</f>
        <v/>
      </c>
    </row>
    <row r="41" ht="15.75" customHeight="1">
      <c r="A41" s="14" t="inlineStr">
        <is>
          <t>SANDWELL MBC-601539-69624135</t>
        </is>
      </c>
      <c r="B41" s="9" t="n"/>
      <c r="C41" s="9" t="n"/>
      <c r="D41" s="9" t="n"/>
      <c r="E41" s="9" t="n"/>
      <c r="F41" s="9" t="n"/>
      <c r="G41" s="9" t="n"/>
      <c r="H41" s="9" t="n"/>
      <c r="J41" s="9" t="n"/>
      <c r="K41" s="9" t="n"/>
      <c r="L41" t="n">
        <v>112328.6</v>
      </c>
      <c r="N41" s="26" t="inlineStr"/>
      <c r="O41" s="26" t="inlineStr"/>
      <c r="P41" s="26" t="inlineStr"/>
      <c r="Q41" s="9" t="inlineStr"/>
      <c r="R41" s="9" t="inlineStr"/>
      <c r="S41" s="9" t="inlineStr"/>
      <c r="T41" s="26" t="inlineStr"/>
      <c r="U41" s="9" t="inlineStr"/>
      <c r="V41" t="n">
        <v>108090.88</v>
      </c>
      <c r="W41" s="9" t="inlineStr"/>
      <c r="X41" s="9" t="inlineStr"/>
      <c r="Y41" s="9" t="inlineStr"/>
      <c r="Z41" s="9" t="inlineStr"/>
      <c r="AA41" s="9" t="inlineStr"/>
      <c r="AB41" s="9" t="n"/>
      <c r="AC41" s="9" t="inlineStr"/>
      <c r="AD41" s="9" t="inlineStr"/>
      <c r="AE41" s="9" t="n"/>
      <c r="AF41" s="9" t="n"/>
      <c r="AG41" s="13">
        <f>SUM(B41:AF41)</f>
        <v/>
      </c>
    </row>
    <row r="42" ht="15.75" customHeight="1">
      <c r="A42" s="15" t="inlineStr">
        <is>
          <t>SOLIHULL MBC EXP.-200771-00561525</t>
        </is>
      </c>
      <c r="B42" s="9" t="n"/>
      <c r="C42" s="9" t="n"/>
      <c r="D42" s="9" t="n"/>
      <c r="E42" t="n">
        <v>30000.6</v>
      </c>
      <c r="F42" s="9" t="n"/>
      <c r="G42" s="9" t="n"/>
      <c r="H42" s="9" t="n"/>
      <c r="I42" s="9" t="n"/>
      <c r="J42" s="9" t="n"/>
      <c r="K42" s="9" t="n"/>
      <c r="L42" s="9" t="n"/>
      <c r="N42" s="26" t="inlineStr"/>
      <c r="O42" s="26" t="inlineStr"/>
      <c r="P42" s="26" t="inlineStr"/>
      <c r="Q42" s="9" t="inlineStr"/>
      <c r="R42" s="9" t="inlineStr"/>
      <c r="S42" s="9" t="inlineStr"/>
      <c r="T42" s="26" t="inlineStr"/>
      <c r="U42" s="9" t="inlineStr"/>
      <c r="V42" s="9" t="inlineStr"/>
      <c r="W42" s="9" t="inlineStr"/>
      <c r="X42" s="9" t="inlineStr"/>
      <c r="Y42" s="9" t="inlineStr"/>
      <c r="Z42" s="9" t="inlineStr"/>
      <c r="AA42" s="9" t="inlineStr"/>
      <c r="AB42" s="9" t="inlineStr"/>
      <c r="AC42" s="9" t="inlineStr"/>
      <c r="AD42" s="9" t="inlineStr"/>
      <c r="AE42" s="9" t="n"/>
      <c r="AF42" s="9" t="n"/>
      <c r="AG42" s="13">
        <f>SUM(B42:AF42)</f>
        <v/>
      </c>
    </row>
    <row r="43" ht="15.75" customHeight="1">
      <c r="A43" s="15" t="inlineStr">
        <is>
          <t>WALSALL MBC BARC-209073-10731692</t>
        </is>
      </c>
      <c r="B43" s="9" t="n"/>
      <c r="C43" s="9" t="n"/>
      <c r="D43" s="9" t="n"/>
      <c r="E43" s="9" t="n"/>
      <c r="F43" s="9" t="n"/>
      <c r="G43" s="9" t="n"/>
      <c r="H43" s="9" t="n"/>
      <c r="I43" s="9" t="n"/>
      <c r="J43" s="9" t="n"/>
      <c r="K43" s="9" t="n"/>
      <c r="L43" s="9" t="inlineStr"/>
      <c r="N43" s="26" t="inlineStr"/>
      <c r="O43" s="26" t="inlineStr"/>
      <c r="P43" s="26" t="inlineStr"/>
      <c r="Q43" s="9" t="inlineStr"/>
      <c r="R43" s="9" t="inlineStr"/>
      <c r="S43" s="9" t="inlineStr"/>
      <c r="T43" s="26" t="n">
        <v>172200.86</v>
      </c>
      <c r="U43" s="9" t="inlineStr"/>
      <c r="W43" s="9" t="inlineStr"/>
      <c r="X43" s="9" t="inlineStr"/>
      <c r="Y43" s="9" t="inlineStr"/>
      <c r="Z43" s="9" t="inlineStr"/>
      <c r="AA43" s="9" t="inlineStr"/>
      <c r="AB43" s="9" t="inlineStr"/>
      <c r="AC43" s="9" t="inlineStr"/>
      <c r="AD43" s="9" t="inlineStr"/>
      <c r="AE43" s="9" t="n"/>
      <c r="AF43" s="9" t="n"/>
      <c r="AG43" s="13">
        <f>SUM(B43:AF43)</f>
        <v/>
      </c>
    </row>
    <row r="44" ht="15.75" customHeight="1">
      <c r="A44" s="15" t="inlineStr">
        <is>
          <t>WOLVERHAMPTON CC-560069-44470320</t>
        </is>
      </c>
      <c r="B44" s="9" t="n"/>
      <c r="C44" s="9" t="n"/>
      <c r="D44" s="9" t="n"/>
      <c r="E44" s="9" t="n"/>
      <c r="F44" s="9" t="n"/>
      <c r="G44" s="9" t="n"/>
      <c r="H44" t="n">
        <v>115319.82</v>
      </c>
      <c r="I44" s="9" t="n"/>
      <c r="J44" s="9" t="n"/>
      <c r="K44" s="9" t="n"/>
      <c r="L44" s="9" t="n"/>
      <c r="N44" s="26" t="n"/>
      <c r="O44" s="26" t="n">
        <v>110144.82</v>
      </c>
      <c r="P44" s="31" t="n"/>
      <c r="Q44" s="9" t="n"/>
      <c r="R44" s="9" t="n"/>
      <c r="S44" s="9" t="n"/>
      <c r="T44" s="26" t="n"/>
      <c r="U44" s="16" t="n">
        <v>3191.28</v>
      </c>
      <c r="V44" s="31" t="n">
        <v>109958.82</v>
      </c>
      <c r="W44" s="9" t="n"/>
      <c r="X44" s="9" t="n"/>
      <c r="Y44" s="9" t="n"/>
      <c r="Z44" s="9" t="n"/>
      <c r="AA44" s="9" t="n"/>
      <c r="AB44" s="9" t="n"/>
      <c r="AC44" s="12" t="n"/>
      <c r="AD44" s="9" t="n"/>
      <c r="AE44" s="9" t="n"/>
      <c r="AF44" s="9" t="n"/>
      <c r="AG44" s="13">
        <f>SUM(B44:AF44)</f>
        <v/>
      </c>
    </row>
    <row r="45" ht="15.75" customHeight="1">
      <c r="A45" s="15" t="inlineStr">
        <is>
          <t>TLC</t>
        </is>
      </c>
      <c r="B45" t="n">
        <v>1455.15</v>
      </c>
      <c r="C45" s="9" t="n"/>
      <c r="D45" s="12" t="n"/>
      <c r="E45" s="12" t="n"/>
      <c r="F45" s="9" t="n"/>
      <c r="G45" s="9" t="n"/>
      <c r="H45" s="9" t="n"/>
      <c r="I45" s="9" t="n"/>
      <c r="J45" s="9" t="n"/>
      <c r="K45" s="9" t="n"/>
      <c r="L45" t="n">
        <v>8485.65</v>
      </c>
      <c r="N45" s="31">
        <f>7735+1090</f>
        <v/>
      </c>
      <c r="O45" s="31" t="n"/>
      <c r="P45" s="31" t="n"/>
      <c r="Q45" s="9" t="n"/>
      <c r="R45" s="9" t="n"/>
      <c r="S45" t="n">
        <v>642.12</v>
      </c>
      <c r="T45" s="26" t="n"/>
      <c r="U45" s="26" t="n"/>
      <c r="V45" s="26" t="n"/>
      <c r="W45">
        <f>8104.15+1351.6</f>
        <v/>
      </c>
      <c r="X45" s="12" t="n"/>
      <c r="Y45" s="9" t="n"/>
      <c r="Z45" s="9" t="n"/>
      <c r="AA45" s="9" t="n"/>
      <c r="AB45" s="9" t="n"/>
      <c r="AC45" s="12" t="n"/>
      <c r="AD45" s="9" t="n"/>
      <c r="AE45" s="9" t="n"/>
      <c r="AF45" s="9" t="n"/>
      <c r="AG45" s="13">
        <f>SUM(B45:AF45)</f>
        <v/>
      </c>
    </row>
    <row r="46" ht="15.75" customHeight="1">
      <c r="A46" s="15" t="inlineStr">
        <is>
          <t>HB SC</t>
        </is>
      </c>
      <c r="B46" t="n">
        <v>6009.74</v>
      </c>
      <c r="C46" t="n">
        <v>150</v>
      </c>
      <c r="D46" t="n">
        <v>0</v>
      </c>
      <c r="E46" t="n">
        <v>6309.789999999995</v>
      </c>
      <c r="F46" t="n">
        <v>3140.37</v>
      </c>
      <c r="G46" s="16" t="n">
        <v>720.87</v>
      </c>
      <c r="H46" s="16" t="n">
        <v>1849.789999999994</v>
      </c>
      <c r="I46" s="16" t="n">
        <v>2657.16</v>
      </c>
      <c r="J46" s="16" t="n">
        <v>0</v>
      </c>
      <c r="K46" s="16" t="n">
        <v>357.69</v>
      </c>
      <c r="L46" s="16" t="n">
        <v>5619.390000000001</v>
      </c>
      <c r="M46" s="16" t="n">
        <v>5638.930000000001</v>
      </c>
      <c r="N46" s="16" t="n">
        <v>3434.25</v>
      </c>
      <c r="O46" s="16" t="n">
        <v>3114.950000000005</v>
      </c>
      <c r="P46" s="16" t="n">
        <v>4556.799999999996</v>
      </c>
      <c r="Q46" s="16" t="n">
        <v>150</v>
      </c>
      <c r="R46" s="16" t="n">
        <v>260</v>
      </c>
      <c r="S46" s="16" t="n">
        <v>4524.99</v>
      </c>
      <c r="T46" s="16" t="n">
        <v>2270.229999999995</v>
      </c>
      <c r="U46" s="16" t="n">
        <v>5982.02</v>
      </c>
      <c r="V46" s="16">
        <f>4946.8+4179.11</f>
        <v/>
      </c>
      <c r="W46" s="16" t="n">
        <v>5456.520000000001</v>
      </c>
      <c r="X46" s="16" t="n">
        <v>0</v>
      </c>
      <c r="Y46" s="16" t="n">
        <v>0</v>
      </c>
      <c r="Z46" s="16" t="n">
        <v>0</v>
      </c>
      <c r="AA46" s="16" t="n">
        <v>213.18</v>
      </c>
      <c r="AB46" s="16" t="n">
        <v>6903.32</v>
      </c>
      <c r="AC46" s="16" t="n">
        <v>9894.18</v>
      </c>
      <c r="AD46" s="16">
        <f>11524.39-AD37</f>
        <v/>
      </c>
      <c r="AE46" s="10" t="n">
        <v>411.67</v>
      </c>
      <c r="AF46" s="10" t="n">
        <v>0</v>
      </c>
      <c r="AG46" s="13">
        <f>SUM(B46:AF46)</f>
        <v/>
      </c>
    </row>
    <row r="47" ht="16.5" customHeight="1" thickBot="1">
      <c r="A47" s="53" t="inlineStr">
        <is>
          <t>Total</t>
        </is>
      </c>
      <c r="B47" s="29">
        <f>SUM(B29:B46)</f>
        <v/>
      </c>
      <c r="C47" s="29">
        <f>SUM(C29:C46)</f>
        <v/>
      </c>
      <c r="D47" s="29">
        <f>SUM(D29:D46)</f>
        <v/>
      </c>
      <c r="E47" s="29">
        <f>SUM(E29:E46)</f>
        <v/>
      </c>
      <c r="F47" s="29">
        <f>SUM(F29:F46)</f>
        <v/>
      </c>
      <c r="G47" s="29">
        <f>SUM(G29:G46)</f>
        <v/>
      </c>
      <c r="H47" s="29">
        <f>SUM(H29:H46)</f>
        <v/>
      </c>
      <c r="I47" s="29">
        <f>SUM(I29:I46)</f>
        <v/>
      </c>
      <c r="J47" s="29">
        <f>SUM(J29:J46)</f>
        <v/>
      </c>
      <c r="K47" s="29">
        <f>SUM(K29:K46)</f>
        <v/>
      </c>
      <c r="L47" s="29">
        <f>SUM(L29:L46)</f>
        <v/>
      </c>
      <c r="M47" s="29">
        <f>SUM(M29:M46)</f>
        <v/>
      </c>
      <c r="N47" s="58">
        <f>SUM(N29:N46)</f>
        <v/>
      </c>
      <c r="O47" s="58">
        <f>SUM(O29:O46)</f>
        <v/>
      </c>
      <c r="P47" s="58">
        <f>SUM(P29:P46)</f>
        <v/>
      </c>
      <c r="Q47" s="58">
        <f>SUM(Q29:Q46)</f>
        <v/>
      </c>
      <c r="R47" s="58">
        <f>SUM(R29:R46)</f>
        <v/>
      </c>
      <c r="S47" s="58">
        <f>SUM(S29:S46)</f>
        <v/>
      </c>
      <c r="T47" s="29">
        <f>SUM(T29:T46)</f>
        <v/>
      </c>
      <c r="U47" s="58">
        <f>SUM(U29:U46)</f>
        <v/>
      </c>
      <c r="V47" s="58">
        <f>SUM(V29:V46)</f>
        <v/>
      </c>
      <c r="W47" s="58">
        <f>SUM(W29:W46)</f>
        <v/>
      </c>
      <c r="X47" s="58">
        <f>SUM(X29:X46)</f>
        <v/>
      </c>
      <c r="Y47" s="58">
        <f>SUM(Y29:Y46)</f>
        <v/>
      </c>
      <c r="Z47" s="58">
        <f>SUM(Z29:Z46)</f>
        <v/>
      </c>
      <c r="AA47" s="58">
        <f>SUM(AA29:AA46)</f>
        <v/>
      </c>
      <c r="AB47" s="58">
        <f>SUM(AB29:AB46)</f>
        <v/>
      </c>
      <c r="AC47" s="58">
        <f>SUM(AC29:AC46)</f>
        <v/>
      </c>
      <c r="AD47" s="58">
        <f>SUM(AD29:AD46)</f>
        <v/>
      </c>
      <c r="AE47" s="29">
        <f>SUM(AE29:AE46)</f>
        <v/>
      </c>
      <c r="AF47" s="29">
        <f>SUM(AF29:AF46)</f>
        <v/>
      </c>
      <c r="AG47" s="22">
        <f>SUM(AG29:AG46)-AE30-AF35-AE35-AE36-AF38</f>
        <v/>
      </c>
      <c r="AH47" s="25" t="n"/>
    </row>
    <row r="48" ht="15.75" customHeight="1" thickTop="1">
      <c r="A48" s="15" t="inlineStr">
        <is>
          <t>Ruunning Total</t>
        </is>
      </c>
      <c r="B48">
        <f>SUM(B29:B46)</f>
        <v/>
      </c>
      <c r="C48">
        <f>SUM(C47+B48)</f>
        <v/>
      </c>
      <c r="D48">
        <f>SUM(D47+C48)</f>
        <v/>
      </c>
      <c r="E48">
        <f>SUM(E47+D48)</f>
        <v/>
      </c>
      <c r="F48">
        <f>SUM(F47+E48)</f>
        <v/>
      </c>
      <c r="G48">
        <f>SUM(G47+F48)</f>
        <v/>
      </c>
      <c r="H48">
        <f>SUM(H47+G48)</f>
        <v/>
      </c>
      <c r="I48">
        <f>SUM(I47+H48)</f>
        <v/>
      </c>
      <c r="J48">
        <f>SUM(J47+I48)</f>
        <v/>
      </c>
      <c r="K48">
        <f>SUM(K47+J48)</f>
        <v/>
      </c>
      <c r="L48">
        <f>SUM(L47+K48)</f>
        <v/>
      </c>
      <c r="M48">
        <f>SUM(M47+L48)</f>
        <v/>
      </c>
      <c r="N48">
        <f>SUM(N47+M48)</f>
        <v/>
      </c>
      <c r="O48">
        <f>SUM(O47+N48)</f>
        <v/>
      </c>
      <c r="P48">
        <f>SUM(P47+O48)</f>
        <v/>
      </c>
      <c r="Q48" s="31">
        <f>SUM(Q47+P48)</f>
        <v/>
      </c>
      <c r="R48" s="31">
        <f>SUM(R47+Q48)</f>
        <v/>
      </c>
      <c r="S48" s="31">
        <f>SUM(S47+R48)</f>
        <v/>
      </c>
      <c r="T48">
        <f>SUM(T47+S48)</f>
        <v/>
      </c>
      <c r="U48" s="31">
        <f>SUM(U47+T48)</f>
        <v/>
      </c>
      <c r="V48" s="31">
        <f>SUM(V47+U48)</f>
        <v/>
      </c>
      <c r="W48" s="31">
        <f>SUM(W47+V48)</f>
        <v/>
      </c>
      <c r="X48" s="31">
        <f>SUM(X47+W48)</f>
        <v/>
      </c>
      <c r="Y48" s="31">
        <f>SUM(Y47+X48)</f>
        <v/>
      </c>
      <c r="Z48" s="31">
        <f>SUM(Z47+Y48)</f>
        <v/>
      </c>
      <c r="AA48" s="31">
        <f>SUM(AA47+Z48)</f>
        <v/>
      </c>
      <c r="AB48" s="31">
        <f>SUM(AB47+AA48)</f>
        <v/>
      </c>
      <c r="AC48" s="31">
        <f>SUM(AC47+AB48)</f>
        <v/>
      </c>
      <c r="AD48" s="31">
        <f>SUM(AD47+AC48)</f>
        <v/>
      </c>
      <c r="AE48">
        <f>SUM(AE47+AD48)</f>
        <v/>
      </c>
      <c r="AF48">
        <f>SUM(AF47+AE48)</f>
        <v/>
      </c>
    </row>
    <row r="49">
      <c r="A49" s="61" t="inlineStr">
        <is>
          <t>Money out</t>
        </is>
      </c>
      <c r="B49" s="62" t="n">
        <v>-73022.14999999999</v>
      </c>
      <c r="C49" s="62" t="n">
        <v>0</v>
      </c>
      <c r="D49" s="62" t="n">
        <v>0</v>
      </c>
      <c r="E49" s="62" t="n">
        <v>-13840.65</v>
      </c>
      <c r="F49" s="62" t="n">
        <v>-73813.64999999999</v>
      </c>
      <c r="G49" s="62" t="n">
        <v>-15484.29</v>
      </c>
      <c r="H49" s="62" t="n">
        <v>-39742.16</v>
      </c>
      <c r="I49" s="62" t="n">
        <v>-4665.23</v>
      </c>
      <c r="J49" s="62" t="n">
        <v>0</v>
      </c>
      <c r="K49" s="62" t="n">
        <v>0</v>
      </c>
      <c r="L49" s="62" t="n">
        <v>-20563.62</v>
      </c>
      <c r="M49" s="65" t="n">
        <v>-13250.1</v>
      </c>
      <c r="N49" s="65" t="n">
        <v>-3896.5</v>
      </c>
      <c r="O49" s="65" t="n">
        <v>-29595.75</v>
      </c>
      <c r="P49" s="65" t="n">
        <v>-23291.4</v>
      </c>
      <c r="Q49" s="65" t="n">
        <v>0</v>
      </c>
      <c r="R49" s="65" t="n">
        <v>0</v>
      </c>
      <c r="S49" s="65" t="n">
        <v>-6198.110000000001</v>
      </c>
      <c r="T49" s="65" t="n">
        <v>-14464</v>
      </c>
      <c r="U49" s="65" t="n">
        <v>-6838.41</v>
      </c>
      <c r="V49" s="65" t="n">
        <v>-665546.83</v>
      </c>
      <c r="W49" s="65" t="n">
        <v>-317.57</v>
      </c>
      <c r="X49" s="65" t="n">
        <v>-1630.1</v>
      </c>
      <c r="Y49" s="65" t="n">
        <v>-19212.15</v>
      </c>
      <c r="Z49" s="65" t="n">
        <v>0</v>
      </c>
      <c r="AA49" s="65" t="n">
        <v>0</v>
      </c>
      <c r="AB49" s="65" t="n">
        <v>-60078.77</v>
      </c>
      <c r="AC49" s="65" t="n">
        <v>-2644.28</v>
      </c>
      <c r="AD49" s="65" t="n">
        <v>-699881.2099999998</v>
      </c>
      <c r="AE49" s="64" t="n">
        <v>0</v>
      </c>
      <c r="AF49" s="64" t="n">
        <v>0</v>
      </c>
      <c r="AG49" s="62">
        <f>SUM(B49:AF49)</f>
        <v/>
      </c>
    </row>
    <row r="52">
      <c r="A52" s="51" t="inlineStr">
        <is>
          <t>Chasing</t>
        </is>
      </c>
      <c r="P52" s="25" t="n"/>
      <c r="U52" s="25" t="n"/>
    </row>
    <row r="53">
      <c r="A53" t="inlineStr">
        <is>
          <t>Birmingham</t>
        </is>
      </c>
      <c r="P53" s="25" t="n"/>
      <c r="U53" s="25" t="n"/>
    </row>
    <row r="54">
      <c r="A54" t="inlineStr">
        <is>
          <t>Nhs Birmingham</t>
        </is>
      </c>
      <c r="B54" t="n">
        <v>6891.9</v>
      </c>
    </row>
    <row r="55">
      <c r="A55" t="inlineStr">
        <is>
          <t>Nhs black country</t>
        </is>
      </c>
      <c r="B55" t="n">
        <v>13746.9</v>
      </c>
    </row>
    <row r="56">
      <c r="A56" t="inlineStr">
        <is>
          <t>Sandwell</t>
        </is>
      </c>
      <c r="B56" t="n">
        <v>22112.62</v>
      </c>
    </row>
    <row r="57">
      <c r="A57" s="52" t="inlineStr">
        <is>
          <t xml:space="preserve">Walsall </t>
        </is>
      </c>
      <c r="B57" t="n">
        <v>3425.88</v>
      </c>
    </row>
    <row r="58">
      <c r="A58" t="inlineStr">
        <is>
          <t>Wolverhampton</t>
        </is>
      </c>
      <c r="B58" t="n">
        <v>24208.24</v>
      </c>
    </row>
    <row r="59" ht="15.75" customHeight="1" thickBot="1">
      <c r="A59" s="50" t="inlineStr">
        <is>
          <t>Total</t>
        </is>
      </c>
      <c r="B59" s="29">
        <f>SUM(B54:B58)</f>
        <v/>
      </c>
    </row>
    <row r="60" ht="15.75" customHeight="1" thickTop="1"/>
  </sheetData>
  <pageMargins left="0.7" right="0.7" top="0.75" bottom="0.75" header="0.3" footer="0.3"/>
  <pageSetup orientation="landscape" paperSize="8" scale="5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AI58"/>
  <sheetViews>
    <sheetView topLeftCell="A24" zoomScale="85" zoomScaleNormal="85" workbookViewId="0">
      <selection activeCell="I36" sqref="I36"/>
    </sheetView>
  </sheetViews>
  <sheetFormatPr baseColWidth="8" defaultRowHeight="15"/>
  <cols>
    <col width="35.5703125" bestFit="1" customWidth="1" min="1" max="1"/>
    <col width="11" bestFit="1" customWidth="1" min="2" max="2"/>
    <col width="9.5703125" bestFit="1" customWidth="1" min="3" max="3"/>
    <col width="10.140625" bestFit="1" customWidth="1" min="4" max="5"/>
    <col width="11.28515625" bestFit="1" customWidth="1" min="6" max="7"/>
    <col width="10.140625" bestFit="1" customWidth="1" min="8" max="8"/>
    <col width="11.28515625" bestFit="1" customWidth="1" min="9" max="21"/>
    <col width="10.7109375" bestFit="1" customWidth="1" min="22" max="22"/>
    <col width="11.28515625" bestFit="1" customWidth="1" min="23" max="29"/>
    <col width="11.85546875" bestFit="1" customWidth="1" min="30" max="32"/>
    <col width="12.85546875" customWidth="1" min="33" max="33"/>
    <col width="9.140625" customWidth="1" min="34" max="36"/>
  </cols>
  <sheetData>
    <row r="1" hidden="1">
      <c r="A1" s="1" t="n"/>
      <c r="B1" s="2" t="inlineStr">
        <is>
          <t>Jan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 hidden="1">
      <c r="A2" s="1" t="n"/>
      <c r="B2" s="2" t="inlineStr">
        <is>
          <t>Monday</t>
        </is>
      </c>
      <c r="C2" s="2" t="inlineStr">
        <is>
          <t>Tuesday</t>
        </is>
      </c>
      <c r="D2" s="2" t="inlineStr">
        <is>
          <t>Wednesday</t>
        </is>
      </c>
      <c r="E2" s="2" t="inlineStr">
        <is>
          <t>Thursday</t>
        </is>
      </c>
      <c r="F2" s="2" t="inlineStr">
        <is>
          <t>Friday</t>
        </is>
      </c>
      <c r="G2" s="2" t="inlineStr">
        <is>
          <t>Saturday</t>
        </is>
      </c>
      <c r="H2" s="2" t="inlineStr">
        <is>
          <t>Sunday</t>
        </is>
      </c>
      <c r="I2" s="2" t="inlineStr">
        <is>
          <t>Monday</t>
        </is>
      </c>
      <c r="J2" s="2" t="inlineStr">
        <is>
          <t>Tuesday</t>
        </is>
      </c>
      <c r="K2" s="2" t="inlineStr">
        <is>
          <t>Wednesday</t>
        </is>
      </c>
      <c r="L2" s="2" t="inlineStr">
        <is>
          <t>Thursday</t>
        </is>
      </c>
      <c r="M2" s="2" t="inlineStr">
        <is>
          <t>Friday</t>
        </is>
      </c>
      <c r="N2" s="2" t="inlineStr">
        <is>
          <t>Saturday</t>
        </is>
      </c>
      <c r="O2" s="2" t="inlineStr">
        <is>
          <t>Sunday</t>
        </is>
      </c>
      <c r="P2" s="2" t="inlineStr">
        <is>
          <t>Monday</t>
        </is>
      </c>
      <c r="Q2" s="2" t="inlineStr">
        <is>
          <t>Tuesday</t>
        </is>
      </c>
      <c r="R2" s="2" t="inlineStr">
        <is>
          <t>Wednesday</t>
        </is>
      </c>
      <c r="S2" s="2" t="inlineStr">
        <is>
          <t>Thursday</t>
        </is>
      </c>
      <c r="T2" s="2" t="inlineStr">
        <is>
          <t>Friday</t>
        </is>
      </c>
      <c r="U2" s="2" t="inlineStr">
        <is>
          <t>Saturday</t>
        </is>
      </c>
      <c r="V2" s="2" t="inlineStr">
        <is>
          <t>Sunday</t>
        </is>
      </c>
      <c r="W2" s="2" t="inlineStr">
        <is>
          <t>Monday</t>
        </is>
      </c>
      <c r="X2" s="2" t="inlineStr">
        <is>
          <t>Tuesday</t>
        </is>
      </c>
      <c r="Y2" s="2" t="inlineStr">
        <is>
          <t>Wednesday</t>
        </is>
      </c>
      <c r="Z2" s="2" t="inlineStr">
        <is>
          <t>Thursday</t>
        </is>
      </c>
      <c r="AA2" s="2" t="inlineStr">
        <is>
          <t>Friday</t>
        </is>
      </c>
      <c r="AB2" s="2" t="inlineStr">
        <is>
          <t>Saturday</t>
        </is>
      </c>
      <c r="AC2" s="2" t="inlineStr">
        <is>
          <t>Sunday</t>
        </is>
      </c>
      <c r="AD2" s="2" t="inlineStr">
        <is>
          <t>Monday</t>
        </is>
      </c>
      <c r="AE2" s="2" t="inlineStr">
        <is>
          <t>Tuesday</t>
        </is>
      </c>
      <c r="AF2" s="2" t="inlineStr">
        <is>
          <t>Wednesday</t>
        </is>
      </c>
      <c r="AG2" s="2" t="inlineStr">
        <is>
          <t>Total</t>
        </is>
      </c>
    </row>
    <row r="3" hidden="1">
      <c r="A3" s="1" t="n"/>
      <c r="B3" s="3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idden="1" ht="15.75" customHeight="1">
      <c r="A4" s="8" t="inlineStr">
        <is>
          <t>B-HAM CITY COUNCIL-200790-70489166</t>
        </is>
      </c>
      <c r="B4" s="32" t="n"/>
      <c r="C4" t="n">
        <v>64186.4</v>
      </c>
      <c r="D4" t="n">
        <v>1220.36</v>
      </c>
      <c r="E4" s="12" t="n"/>
      <c r="F4" s="9" t="n"/>
      <c r="G4" s="12" t="n"/>
      <c r="H4" s="9" t="n"/>
      <c r="I4" s="12" t="n"/>
      <c r="J4" s="12" t="n"/>
      <c r="K4" s="31" t="n"/>
      <c r="L4" s="31" t="n">
        <v>3896.04</v>
      </c>
      <c r="M4" s="31" t="n"/>
      <c r="N4" s="9" t="n"/>
      <c r="O4" s="9" t="n"/>
      <c r="P4" t="n">
        <v>1298.68</v>
      </c>
      <c r="Q4" s="26" t="n"/>
      <c r="R4" s="9" t="n"/>
      <c r="S4" t="n">
        <v>5041.28</v>
      </c>
      <c r="T4" t="n">
        <v>7335.99</v>
      </c>
      <c r="U4" s="32" t="n"/>
      <c r="V4" s="32" t="n"/>
      <c r="W4" s="32" t="n"/>
      <c r="X4" s="12" t="n"/>
      <c r="Y4" s="32" t="n"/>
      <c r="Z4" s="32" t="n"/>
      <c r="AA4" s="32" t="n"/>
      <c r="AB4" s="32" t="n"/>
      <c r="AC4" s="32" t="n"/>
      <c r="AD4" s="32" t="n"/>
      <c r="AE4" s="32" t="n"/>
      <c r="AF4" s="32" t="n"/>
      <c r="AG4" s="13">
        <f>SUM(B4:AE4)</f>
        <v/>
      </c>
    </row>
    <row r="5" hidden="1" ht="18.75" customHeight="1">
      <c r="A5" s="8" t="inlineStr">
        <is>
          <t>Accord/Age uk</t>
        </is>
      </c>
      <c r="B5" s="32" t="n"/>
      <c r="C5" s="32" t="n"/>
      <c r="D5" s="9" t="n"/>
      <c r="E5" s="9" t="n"/>
      <c r="F5" s="33" t="n">
        <v>4080</v>
      </c>
      <c r="H5" s="12" t="n"/>
      <c r="I5" s="12" t="n"/>
      <c r="J5" s="12" t="n"/>
      <c r="K5" s="12" t="n"/>
      <c r="L5" s="12" t="n"/>
      <c r="M5" s="12" t="n"/>
      <c r="N5" s="12" t="n"/>
      <c r="O5" s="9" t="n"/>
      <c r="P5" s="11" t="n"/>
      <c r="Q5" s="9" t="n"/>
      <c r="R5" s="12" t="n">
        <v>1792.31</v>
      </c>
      <c r="S5" s="9" t="n"/>
      <c r="X5" s="9" t="n"/>
      <c r="Y5" s="9" t="n"/>
      <c r="Z5" s="12" t="n">
        <v>4080</v>
      </c>
      <c r="AA5" s="12" t="n"/>
      <c r="AB5" s="9" t="n"/>
      <c r="AC5" s="9" t="n"/>
      <c r="AD5" s="9" t="n"/>
      <c r="AE5" s="9" t="n"/>
      <c r="AF5" s="9" t="n"/>
      <c r="AG5" s="13">
        <f>SUM(B5:AE5)</f>
        <v/>
      </c>
    </row>
    <row r="6" hidden="1" ht="15.75" customHeight="1">
      <c r="A6" s="8" t="inlineStr">
        <is>
          <t>Buckingham</t>
        </is>
      </c>
      <c r="B6" s="32" t="n"/>
      <c r="C6" s="32" t="n"/>
      <c r="D6" s="9" t="n"/>
      <c r="E6" s="9" t="n"/>
      <c r="F6" s="9" t="n"/>
      <c r="G6" s="9" t="n"/>
      <c r="H6" s="12" t="n"/>
      <c r="I6" s="12" t="n"/>
      <c r="J6" s="9" t="n"/>
      <c r="K6" s="9" t="n"/>
      <c r="L6" s="9" t="n"/>
      <c r="M6" s="9" t="n"/>
      <c r="N6" s="9" t="n"/>
      <c r="O6" s="9" t="n"/>
      <c r="P6" s="9" t="n"/>
      <c r="Q6" s="9" t="n"/>
      <c r="R6" t="n">
        <v>4937.64</v>
      </c>
      <c r="S6" s="9" t="n"/>
      <c r="T6" s="9" t="n"/>
      <c r="U6" s="9" t="n"/>
      <c r="V6" s="9" t="n"/>
      <c r="W6" s="12" t="inlineStr">
        <is>
          <t>  </t>
        </is>
      </c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13">
        <f>SUM(B6:AE6)</f>
        <v/>
      </c>
    </row>
    <row r="7" hidden="1" ht="15.75" customHeight="1">
      <c r="A7" s="8" t="inlineStr">
        <is>
          <t>Sandwell respite est</t>
        </is>
      </c>
      <c r="B7" s="32" t="n"/>
      <c r="C7" s="32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>
        <v>12000</v>
      </c>
      <c r="AG7" s="13">
        <f>SUM(B7:AF7)</f>
        <v/>
      </c>
    </row>
    <row r="8" hidden="1" ht="15.75" customHeight="1">
      <c r="A8" s="8" t="inlineStr">
        <is>
          <t xml:space="preserve">Wolverhampton respite est </t>
        </is>
      </c>
      <c r="B8" s="32" t="n"/>
      <c r="C8" s="32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20000</v>
      </c>
      <c r="AG8" s="13">
        <f>SUM(B8:AF8)</f>
        <v/>
      </c>
    </row>
    <row r="9" hidden="1" ht="15.75" customHeight="1">
      <c r="A9" s="8" t="inlineStr">
        <is>
          <t>Walsall Respite</t>
        </is>
      </c>
      <c r="B9" s="32" t="n"/>
      <c r="C9" s="32" t="n"/>
      <c r="D9" s="9" t="n"/>
      <c r="E9" s="9" t="n"/>
      <c r="F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>
        <v>25000</v>
      </c>
      <c r="AG9" s="13">
        <f>SUM(B9:AF9)</f>
        <v/>
      </c>
    </row>
    <row r="10" hidden="1" ht="18.75" customHeight="1">
      <c r="A10" s="8" t="inlineStr">
        <is>
          <t>Ideal for All Ltd</t>
        </is>
      </c>
      <c r="B10" s="32" t="n"/>
      <c r="C10" s="33" t="n"/>
      <c r="D10" s="12" t="n"/>
      <c r="E10" s="11" t="n"/>
      <c r="F10" t="n">
        <v>3216.15</v>
      </c>
      <c r="G10" s="12" t="n"/>
      <c r="H10" s="9" t="n"/>
      <c r="I10" s="12" t="n"/>
      <c r="J10" s="12" t="n"/>
      <c r="K10" s="11" t="n"/>
      <c r="L10" s="9" t="n"/>
      <c r="M10" s="12" t="n"/>
      <c r="N10" s="11" t="n"/>
      <c r="O10" s="31" t="n"/>
      <c r="P10" s="31" t="n"/>
      <c r="Q10" s="31" t="n"/>
      <c r="R10" s="12" t="n"/>
      <c r="S10" s="11" t="n"/>
      <c r="U10" s="31" t="n"/>
      <c r="V10" s="12" t="n"/>
      <c r="W10" s="12" t="n">
        <v>2516.8</v>
      </c>
      <c r="X10" s="12" t="n">
        <v>2402.4</v>
      </c>
      <c r="Y10" s="9" t="n"/>
      <c r="Z10" s="9" t="n"/>
      <c r="AA10" s="9" t="n"/>
      <c r="AB10" s="9" t="n"/>
      <c r="AC10" s="9" t="n"/>
      <c r="AD10" s="9" t="n"/>
      <c r="AE10" s="33" t="n">
        <v>2402.4</v>
      </c>
      <c r="AF10" s="33" t="n">
        <v>2516.8</v>
      </c>
      <c r="AG10" s="13">
        <f>SUM(B10:AF10)</f>
        <v/>
      </c>
    </row>
    <row r="11" hidden="1" ht="15.75" customHeight="1">
      <c r="A11" s="8" t="inlineStr">
        <is>
          <t>KIRKLEES COUNCIL-204312-63046958</t>
        </is>
      </c>
      <c r="B11" s="32" t="n"/>
      <c r="C11" s="32" t="n"/>
      <c r="D11" s="9" t="n"/>
      <c r="E11" s="9" t="n"/>
      <c r="F11" s="9" t="n"/>
      <c r="G11" s="9" t="n"/>
      <c r="I11" t="n">
        <v>5375.7</v>
      </c>
      <c r="J11" s="9" t="n"/>
      <c r="K11" s="9" t="n"/>
      <c r="L11" s="9" t="n"/>
      <c r="M11" s="9" t="n"/>
      <c r="N11" s="9" t="n"/>
      <c r="O11" s="12" t="n"/>
      <c r="P11" s="26" t="n"/>
      <c r="Q11" s="26" t="n"/>
      <c r="R11" s="31" t="n"/>
      <c r="T11" s="12" t="n"/>
      <c r="U11" s="12" t="n"/>
      <c r="V11" s="26" t="n"/>
      <c r="X11" s="9" t="inlineStr"/>
      <c r="Z11" s="9" t="inlineStr"/>
      <c r="AA11" s="9" t="inlineStr"/>
      <c r="AB11" s="9" t="inlineStr"/>
      <c r="AE11" s="9" t="inlineStr"/>
      <c r="AF11" s="33" t="n">
        <v>5554.89</v>
      </c>
      <c r="AG11" s="13">
        <f>SUM(B11:AF11)</f>
        <v/>
      </c>
    </row>
    <row r="12" hidden="1" ht="15.75" customHeight="1">
      <c r="A12" s="8" t="inlineStr">
        <is>
          <t>LBH PAYMENTS BACS-602210-72430192</t>
        </is>
      </c>
      <c r="B12" s="32" t="n"/>
      <c r="C12" s="33" t="n"/>
      <c r="D12" s="9" t="n"/>
      <c r="E12" s="9" t="n"/>
      <c r="F12" s="12" t="n"/>
      <c r="G12" s="9" t="n"/>
      <c r="H12" s="9" t="n"/>
      <c r="I12" s="12" t="n"/>
      <c r="J12" s="9" t="n"/>
      <c r="K12" s="9" t="n"/>
      <c r="L12" s="9" t="n"/>
      <c r="M12" s="9" t="n"/>
      <c r="O12" s="31" t="n"/>
      <c r="P12" s="26" t="n"/>
      <c r="Q12" s="31" t="n"/>
      <c r="R12" s="9" t="n"/>
      <c r="S12" s="9" t="n"/>
      <c r="U12" s="26" t="n"/>
      <c r="V12" s="9" t="n"/>
      <c r="W12" s="9" t="inlineStr"/>
      <c r="Y12" s="9" t="n"/>
      <c r="Z12" s="9" t="n"/>
      <c r="AA12" s="9" t="n"/>
      <c r="AB12" s="9" t="n"/>
      <c r="AC12" s="9" t="n"/>
      <c r="AD12" s="12" t="n">
        <v>5040</v>
      </c>
      <c r="AE12" s="9" t="n"/>
      <c r="AF12" s="9" t="n"/>
      <c r="AG12" s="13">
        <f>SUM(B12:AF12)</f>
        <v/>
      </c>
    </row>
    <row r="13" hidden="1" ht="15.75" customHeight="1">
      <c r="A13" s="8" t="inlineStr">
        <is>
          <t>NHS BIRMINGHAM &amp; S-607080-10017097</t>
        </is>
      </c>
      <c r="B13" s="32" t="n"/>
      <c r="C13" s="32" t="n"/>
      <c r="D13" s="9" t="n"/>
      <c r="E13" s="12" t="n"/>
      <c r="F13" s="9" t="n"/>
      <c r="G13" s="9" t="n"/>
      <c r="H13" s="9" t="n"/>
      <c r="I13" s="9" t="n"/>
      <c r="J13" s="9" t="n"/>
      <c r="K13" s="9" t="n"/>
      <c r="L13" s="9" t="n"/>
      <c r="M13" s="31" t="n">
        <v>6891.9</v>
      </c>
      <c r="N13" s="9" t="inlineStr"/>
      <c r="O13" s="9" t="inlineStr"/>
      <c r="P13" s="9" t="inlineStr"/>
      <c r="Q13" s="26" t="inlineStr"/>
      <c r="R13" s="9" t="inlineStr"/>
      <c r="S13" s="9" t="inlineStr"/>
      <c r="T13" s="9" t="inlineStr"/>
      <c r="V13" s="9" t="inlineStr"/>
      <c r="W13" s="9" t="inlineStr"/>
      <c r="Z13" s="9" t="inlineStr"/>
      <c r="AA13" s="9" t="inlineStr"/>
      <c r="AB13" s="32" t="inlineStr"/>
      <c r="AC13" s="32" t="n">
        <v>7099.34</v>
      </c>
      <c r="AD13" s="9" t="n"/>
      <c r="AE13" s="9" t="n"/>
      <c r="AF13" s="9" t="n"/>
      <c r="AG13" s="13">
        <f>SUM(B13:AF13)</f>
        <v/>
      </c>
    </row>
    <row r="14" hidden="1" ht="15.75" customHeight="1">
      <c r="A14" s="8" t="inlineStr">
        <is>
          <t>NHS BLACK COUNTRY-607080-10015272</t>
        </is>
      </c>
      <c r="B14" s="33" t="n"/>
      <c r="C14" s="32" t="n"/>
      <c r="D14" s="12" t="n"/>
      <c r="E14" s="9" t="n"/>
      <c r="F14" s="9" t="n"/>
      <c r="G14" s="9" t="n"/>
      <c r="H14" s="9" t="n"/>
      <c r="I14" s="9" t="n"/>
      <c r="J14" s="9" t="n"/>
      <c r="K14" s="9" t="n"/>
      <c r="L14" s="9" t="n"/>
      <c r="M14" s="26" t="n">
        <v>13625.17</v>
      </c>
      <c r="N14" s="9" t="inlineStr"/>
      <c r="O14" s="9" t="inlineStr"/>
      <c r="P14" s="9" t="inlineStr"/>
      <c r="Q14" s="26" t="inlineStr"/>
      <c r="R14" s="9" t="inlineStr"/>
      <c r="S14" s="9" t="inlineStr"/>
      <c r="T14" s="9" t="inlineStr"/>
      <c r="U14" s="9" t="inlineStr"/>
      <c r="W14" s="9" t="inlineStr"/>
      <c r="X14" s="9" t="inlineStr"/>
      <c r="Y14" s="9" t="n"/>
      <c r="Z14" t="n">
        <v>8342.32</v>
      </c>
      <c r="AA14" s="9" t="inlineStr"/>
      <c r="AB14" s="9" t="inlineStr"/>
      <c r="AC14" s="9" t="inlineStr"/>
      <c r="AD14" s="9" t="n"/>
      <c r="AE14" s="9" t="n"/>
      <c r="AF14" s="9" t="n"/>
      <c r="AG14" s="13">
        <f>SUM(B14:AF14)</f>
        <v/>
      </c>
    </row>
    <row r="15" hidden="1" ht="15.75" customHeight="1">
      <c r="A15" s="14" t="inlineStr">
        <is>
          <t>SANDWELL MBC  BEN-601539-69624151</t>
        </is>
      </c>
      <c r="B15" s="32" t="n"/>
      <c r="C15" s="32" t="n"/>
      <c r="D15" s="9" t="n"/>
      <c r="E15" s="9" t="n"/>
      <c r="F15" s="9" t="n"/>
      <c r="G15" s="9" t="n"/>
      <c r="H15" s="9" t="n"/>
      <c r="I15" s="9" t="n"/>
      <c r="J15" s="9" t="n"/>
      <c r="K15" s="9" t="n"/>
      <c r="L15" s="12" t="n">
        <v>3685.52</v>
      </c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/>
      <c r="Z15" s="9" t="n"/>
      <c r="AA15" s="9" t="n"/>
      <c r="AB15" s="9" t="n"/>
      <c r="AC15" s="9" t="n"/>
      <c r="AD15" s="9" t="n"/>
      <c r="AE15" s="9" t="n"/>
      <c r="AF15" s="9" t="n"/>
      <c r="AG15" s="13">
        <f>SUM(B15:AF15)</f>
        <v/>
      </c>
    </row>
    <row r="16" hidden="1" ht="15.75" customHeight="1">
      <c r="A16" s="14" t="inlineStr">
        <is>
          <t>SANDWELL MBC-601539-69624135</t>
        </is>
      </c>
      <c r="B16" s="32" t="n"/>
      <c r="C16" s="32" t="n"/>
      <c r="D16" s="9" t="n"/>
      <c r="F16" s="9" t="n"/>
      <c r="G16" s="9" t="n"/>
      <c r="H16" s="9" t="n"/>
      <c r="I16" s="9" t="n">
        <v>110000</v>
      </c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  <c r="V16" s="9" t="n"/>
      <c r="W16" s="9" t="n">
        <v>110000</v>
      </c>
      <c r="X16" s="9" t="n"/>
      <c r="Y16" s="9" t="n"/>
      <c r="Z16" s="9" t="n"/>
      <c r="AA16" s="9" t="n"/>
      <c r="AB16" s="9" t="n"/>
      <c r="AC16" s="9" t="n"/>
      <c r="AD16" s="9" t="n"/>
      <c r="AE16" s="9" t="n"/>
      <c r="AF16" s="9" t="n"/>
      <c r="AG16" s="13">
        <f>SUM(B16:AF16)</f>
        <v/>
      </c>
    </row>
    <row r="17" hidden="1" ht="15.75" customHeight="1">
      <c r="A17" s="15" t="inlineStr">
        <is>
          <t>SOLIHULL MBC EXP.-200771-00561525</t>
        </is>
      </c>
      <c r="B17" s="32" t="n"/>
      <c r="C17" s="33" t="n">
        <v>30000.6</v>
      </c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X17" s="9" t="n"/>
      <c r="Y17" s="9" t="n"/>
      <c r="Z17" s="9" t="n"/>
      <c r="AA17" s="9" t="n"/>
      <c r="AB17" s="9" t="n"/>
      <c r="AC17" s="9" t="n"/>
      <c r="AD17" s="9" t="n"/>
      <c r="AE17" s="12" t="n">
        <v>30000.6</v>
      </c>
      <c r="AF17" s="9" t="n"/>
      <c r="AG17" s="13">
        <f>SUM(B17:AF17)</f>
        <v/>
      </c>
    </row>
    <row r="18" hidden="1" ht="15.75" customHeight="1">
      <c r="A18" s="15" t="inlineStr">
        <is>
          <t>WALSALL MBC BARC-209073-10731692</t>
        </is>
      </c>
      <c r="B18" s="32" t="n"/>
      <c r="C18" s="32" t="n"/>
      <c r="D18" s="9" t="n"/>
      <c r="E18" s="9" t="n"/>
      <c r="F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>
        <v>115117</v>
      </c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F18" s="9" t="n"/>
      <c r="AG18" s="13">
        <f>SUM(B18:AF18)</f>
        <v/>
      </c>
    </row>
    <row r="19" hidden="1" ht="15.75" customHeight="1">
      <c r="A19" s="15" t="inlineStr">
        <is>
          <t>WOLVERHAMPTON CC-560069-44470320</t>
        </is>
      </c>
      <c r="B19" s="32" t="n"/>
      <c r="C19" s="32" t="n"/>
      <c r="D19" s="9" t="n"/>
      <c r="E19" s="9" t="n">
        <v>103000</v>
      </c>
      <c r="F19" s="9" t="n">
        <v>103000</v>
      </c>
      <c r="G19" s="9" t="n"/>
      <c r="H19" s="9" t="n"/>
      <c r="I19" s="9" t="n"/>
      <c r="J19" s="9" t="n"/>
      <c r="K19" s="9" t="n"/>
      <c r="L19" s="9" t="n">
        <v>103000</v>
      </c>
      <c r="M19" s="9" t="n"/>
      <c r="N19" s="9" t="n"/>
      <c r="O19" s="9" t="n"/>
      <c r="P19" s="9" t="n"/>
      <c r="Q19" s="9" t="n"/>
      <c r="R19" s="9" t="n"/>
      <c r="S19" s="9" t="n">
        <v>103000</v>
      </c>
      <c r="T19" s="9" t="n"/>
      <c r="U19" s="9" t="n"/>
      <c r="V19" s="9" t="n"/>
      <c r="W19" s="9" t="n"/>
      <c r="X19" s="9" t="n"/>
      <c r="Y19" s="9" t="n"/>
      <c r="Z19" s="9" t="n">
        <v>103000</v>
      </c>
      <c r="AA19" s="9" t="n"/>
      <c r="AB19" s="9" t="n"/>
      <c r="AC19" s="9" t="n"/>
      <c r="AD19" s="9" t="n"/>
      <c r="AE19" s="9" t="n"/>
      <c r="AF19" s="9" t="n"/>
      <c r="AG19" s="13">
        <f>SUM(B19:AF19)</f>
        <v/>
      </c>
    </row>
    <row r="20" hidden="1" ht="15.75" customHeight="1">
      <c r="A20" s="15" t="inlineStr">
        <is>
          <t>TLC</t>
        </is>
      </c>
      <c r="B20" s="9" t="n"/>
      <c r="C20" s="9" t="n"/>
      <c r="D20" s="12" t="n"/>
      <c r="E20" s="12" t="n">
        <v>1300</v>
      </c>
      <c r="F20" s="9" t="n"/>
      <c r="G20" s="9" t="n"/>
      <c r="H20" s="9" t="n"/>
      <c r="I20" s="9" t="n"/>
      <c r="J20" s="9" t="n"/>
      <c r="K20" s="9" t="n"/>
      <c r="L20" s="12" t="n">
        <v>7320</v>
      </c>
      <c r="M20" s="12" t="n"/>
      <c r="N20" s="9" t="n"/>
      <c r="O20" s="12" t="n"/>
      <c r="P20" s="12" t="n"/>
      <c r="Q20" s="9" t="n"/>
      <c r="R20" s="9" t="n"/>
      <c r="S20" s="12" t="n">
        <v>7440</v>
      </c>
      <c r="T20" s="9" t="n"/>
      <c r="U20" s="9" t="n"/>
      <c r="V20" s="9" t="n"/>
      <c r="W20" s="9" t="n">
        <v>256</v>
      </c>
      <c r="X20" s="9" t="n"/>
      <c r="Y20" s="9" t="n"/>
      <c r="Z20" s="9" t="n"/>
      <c r="AA20" s="9" t="n"/>
      <c r="AB20" s="9" t="n"/>
      <c r="AC20" s="12" t="n"/>
      <c r="AD20" s="9" t="n"/>
      <c r="AE20" s="9" t="n"/>
      <c r="AF20" s="9" t="n"/>
      <c r="AG20" s="13">
        <f>SUM(B20:AF20)</f>
        <v/>
      </c>
    </row>
    <row r="21" hidden="1" ht="15.75" customHeight="1">
      <c r="A21" s="15" t="inlineStr">
        <is>
          <t>HB SC</t>
        </is>
      </c>
      <c r="B21" s="35" t="n">
        <v>2350</v>
      </c>
      <c r="C21" s="35" t="n">
        <v>2350</v>
      </c>
      <c r="D21" s="16" t="n">
        <v>2350</v>
      </c>
      <c r="E21" s="16" t="n">
        <v>2350</v>
      </c>
      <c r="F21" s="16" t="n">
        <v>2350</v>
      </c>
      <c r="G21" s="16" t="n">
        <v>2350</v>
      </c>
      <c r="H21" s="16" t="n">
        <v>2350</v>
      </c>
      <c r="I21" s="16" t="n">
        <v>2350</v>
      </c>
      <c r="J21" s="16" t="n">
        <v>2350</v>
      </c>
      <c r="K21" s="16" t="n">
        <v>2350</v>
      </c>
      <c r="L21" s="16" t="n">
        <v>2350</v>
      </c>
      <c r="M21" s="16" t="n">
        <v>2350</v>
      </c>
      <c r="N21" s="16" t="n">
        <v>2350</v>
      </c>
      <c r="O21" s="16" t="n">
        <v>2350</v>
      </c>
      <c r="P21" s="16" t="n">
        <v>2350</v>
      </c>
      <c r="Q21" s="16" t="n">
        <v>2350</v>
      </c>
      <c r="R21" s="16" t="n">
        <v>2350</v>
      </c>
      <c r="S21" s="16" t="n">
        <v>2350</v>
      </c>
      <c r="T21" s="16" t="n">
        <v>2350</v>
      </c>
      <c r="U21" s="16" t="n">
        <v>2350</v>
      </c>
      <c r="V21" s="16" t="n">
        <v>2350</v>
      </c>
      <c r="W21" s="16" t="n">
        <v>2350</v>
      </c>
      <c r="X21" s="16" t="n">
        <v>2350</v>
      </c>
      <c r="Y21" s="16" t="n">
        <v>2350</v>
      </c>
      <c r="Z21" s="16" t="n">
        <v>2350</v>
      </c>
      <c r="AA21" s="16" t="n">
        <v>2350</v>
      </c>
      <c r="AB21" s="16" t="n">
        <v>2350</v>
      </c>
      <c r="AC21" s="16" t="n">
        <v>2350</v>
      </c>
      <c r="AD21" s="16" t="n">
        <v>2350</v>
      </c>
      <c r="AE21" s="16" t="n">
        <v>2350</v>
      </c>
      <c r="AF21" s="16" t="n">
        <v>2350</v>
      </c>
      <c r="AG21" s="13">
        <f>SUM(B21:AF21)</f>
        <v/>
      </c>
    </row>
    <row r="22" hidden="1" ht="16.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>
        <f>SUM(E4:E21)</f>
        <v/>
      </c>
      <c r="F22">
        <f>SUM(F4:F21)</f>
        <v/>
      </c>
      <c r="G22">
        <f>SUM(G4:G21)</f>
        <v/>
      </c>
      <c r="H22">
        <f>SUM(H4:H21)</f>
        <v/>
      </c>
      <c r="I22">
        <f>SUM(I4:I21)</f>
        <v/>
      </c>
      <c r="J22">
        <f>SUM(J4:J21)</f>
        <v/>
      </c>
      <c r="K22">
        <f>SUM(K4:K21)</f>
        <v/>
      </c>
      <c r="L22">
        <f>SUM(L4:L21)</f>
        <v/>
      </c>
      <c r="M22">
        <f>SUM(M4:M21)</f>
        <v/>
      </c>
      <c r="N22">
        <f>SUM(N4:N21)</f>
        <v/>
      </c>
      <c r="O22">
        <f>SUM(O4:O21)</f>
        <v/>
      </c>
      <c r="P22">
        <f>SUM(P4:P21)</f>
        <v/>
      </c>
      <c r="Q22">
        <f>SUM(Q4:Q21)</f>
        <v/>
      </c>
      <c r="R22">
        <f>SUM(R4:R21)</f>
        <v/>
      </c>
      <c r="S22">
        <f>SUM(S4:S21)</f>
        <v/>
      </c>
      <c r="T22">
        <f>SUM(T4:T21)</f>
        <v/>
      </c>
      <c r="U22">
        <f>SUM(U4:U21)</f>
        <v/>
      </c>
      <c r="V22">
        <f>SUM(V4:V21)</f>
        <v/>
      </c>
      <c r="W22">
        <f>SUM(W4:W21)</f>
        <v/>
      </c>
      <c r="X22">
        <f>SUM(X4:X21)</f>
        <v/>
      </c>
      <c r="Y22">
        <f>SUM(Y4:Y21)</f>
        <v/>
      </c>
      <c r="Z22">
        <f>SUM(Z4:Z21)</f>
        <v/>
      </c>
      <c r="AA22">
        <f>SUM(AA4:AA21)</f>
        <v/>
      </c>
      <c r="AB22">
        <f>SUM(AB4:AB21)</f>
        <v/>
      </c>
      <c r="AC22">
        <f>SUM(AC4:AC21)</f>
        <v/>
      </c>
      <c r="AD22">
        <f>SUM(AD4:AD21)</f>
        <v/>
      </c>
      <c r="AE22">
        <f>SUM(AE4:AE21)</f>
        <v/>
      </c>
      <c r="AF22">
        <f>SUM(AF4:AF21)</f>
        <v/>
      </c>
      <c r="AG22" s="22">
        <f>SUM(AG4:AG21)</f>
        <v/>
      </c>
    </row>
    <row r="23" hidden="1" ht="15.75" customHeight="1" thickTop="1">
      <c r="A23" s="15" t="inlineStr">
        <is>
          <t>Ruunning Total</t>
        </is>
      </c>
      <c r="B23">
        <f>B22</f>
        <v/>
      </c>
      <c r="C23">
        <f>B23+C22</f>
        <v/>
      </c>
      <c r="D23">
        <f>C23+D22</f>
        <v/>
      </c>
      <c r="E23">
        <f>D23+E22</f>
        <v/>
      </c>
      <c r="F23">
        <f>E23+F22</f>
        <v/>
      </c>
      <c r="G23">
        <f>F23+G22</f>
        <v/>
      </c>
      <c r="H23">
        <f>G23+H22</f>
        <v/>
      </c>
      <c r="I23">
        <f>H23+I22</f>
        <v/>
      </c>
      <c r="J23">
        <f>I23+J22</f>
        <v/>
      </c>
      <c r="K23">
        <f>J23+K22</f>
        <v/>
      </c>
      <c r="L23">
        <f>K23+L22</f>
        <v/>
      </c>
      <c r="M23">
        <f>L23+M22</f>
        <v/>
      </c>
      <c r="N23">
        <f>M23+N22</f>
        <v/>
      </c>
      <c r="O23">
        <f>N23+O22</f>
        <v/>
      </c>
      <c r="P23">
        <f>O23+P22</f>
        <v/>
      </c>
      <c r="Q23">
        <f>P23+Q22</f>
        <v/>
      </c>
      <c r="R23">
        <f>Q23+R22</f>
        <v/>
      </c>
      <c r="S23">
        <f>R23+S22</f>
        <v/>
      </c>
      <c r="T23">
        <f>S23+T22</f>
        <v/>
      </c>
      <c r="U23">
        <f>T23+U22</f>
        <v/>
      </c>
      <c r="V23">
        <f>U23+V22</f>
        <v/>
      </c>
      <c r="W23">
        <f>V23+W22</f>
        <v/>
      </c>
      <c r="X23">
        <f>W23+X22</f>
        <v/>
      </c>
      <c r="Y23">
        <f>X23+Y22</f>
        <v/>
      </c>
      <c r="Z23">
        <f>Y23+Z22</f>
        <v/>
      </c>
      <c r="AA23">
        <f>Z23+AA22</f>
        <v/>
      </c>
      <c r="AB23">
        <f>AA23+AB22</f>
        <v/>
      </c>
      <c r="AC23">
        <f>AB23+AC22</f>
        <v/>
      </c>
      <c r="AD23">
        <f>AC23+AD22</f>
        <v/>
      </c>
      <c r="AE23">
        <f>AD23+AE22</f>
        <v/>
      </c>
      <c r="AF23">
        <f>AE23+AF22</f>
        <v/>
      </c>
    </row>
    <row r="26">
      <c r="A26" s="1" t="n"/>
      <c r="B26" s="2" t="inlineStr">
        <is>
          <t>Jan</t>
        </is>
      </c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1" t="n"/>
      <c r="AF26" s="1" t="n"/>
      <c r="AG26" s="1" t="n"/>
    </row>
    <row r="27">
      <c r="A27" s="1" t="n"/>
      <c r="B27" s="2" t="inlineStr">
        <is>
          <t>Monday</t>
        </is>
      </c>
      <c r="C27" s="2" t="inlineStr">
        <is>
          <t>Tuesday</t>
        </is>
      </c>
      <c r="D27" s="2" t="inlineStr">
        <is>
          <t>Wednesday</t>
        </is>
      </c>
      <c r="E27" s="2" t="inlineStr">
        <is>
          <t>Thursday</t>
        </is>
      </c>
      <c r="F27" s="2" t="inlineStr">
        <is>
          <t>Friday</t>
        </is>
      </c>
      <c r="G27" s="2" t="inlineStr">
        <is>
          <t>Saturday</t>
        </is>
      </c>
      <c r="H27" s="2" t="inlineStr">
        <is>
          <t>Sunday</t>
        </is>
      </c>
      <c r="I27" s="2" t="inlineStr">
        <is>
          <t>Monday</t>
        </is>
      </c>
      <c r="J27" s="2" t="inlineStr">
        <is>
          <t>Tuesday</t>
        </is>
      </c>
      <c r="K27" s="2" t="inlineStr">
        <is>
          <t>Wednesday</t>
        </is>
      </c>
      <c r="L27" s="2" t="inlineStr">
        <is>
          <t>Thursday</t>
        </is>
      </c>
      <c r="M27" s="2" t="inlineStr">
        <is>
          <t>Friday</t>
        </is>
      </c>
      <c r="N27" s="2" t="inlineStr">
        <is>
          <t>Saturday</t>
        </is>
      </c>
      <c r="O27" s="2" t="inlineStr">
        <is>
          <t>Sunday</t>
        </is>
      </c>
      <c r="P27" s="2" t="inlineStr">
        <is>
          <t>Monday</t>
        </is>
      </c>
      <c r="Q27" s="2" t="inlineStr">
        <is>
          <t>Tuesday</t>
        </is>
      </c>
      <c r="R27" s="2" t="inlineStr">
        <is>
          <t>Wednesday</t>
        </is>
      </c>
      <c r="S27" s="2" t="inlineStr">
        <is>
          <t>Thursday</t>
        </is>
      </c>
      <c r="T27" s="2" t="inlineStr">
        <is>
          <t>Friday</t>
        </is>
      </c>
      <c r="U27" s="2" t="inlineStr">
        <is>
          <t>Saturday</t>
        </is>
      </c>
      <c r="V27" s="2" t="inlineStr">
        <is>
          <t>Sunday</t>
        </is>
      </c>
      <c r="W27" s="2" t="inlineStr">
        <is>
          <t>Monday</t>
        </is>
      </c>
      <c r="X27" s="2" t="inlineStr">
        <is>
          <t>Tuesday</t>
        </is>
      </c>
      <c r="Y27" s="2" t="inlineStr">
        <is>
          <t>Wednesday</t>
        </is>
      </c>
      <c r="Z27" s="2" t="inlineStr">
        <is>
          <t>Thursday</t>
        </is>
      </c>
      <c r="AA27" s="2" t="inlineStr">
        <is>
          <t>Friday</t>
        </is>
      </c>
      <c r="AB27" s="2" t="inlineStr">
        <is>
          <t>Saturday</t>
        </is>
      </c>
      <c r="AC27" s="2" t="inlineStr">
        <is>
          <t>Sunday</t>
        </is>
      </c>
      <c r="AD27" s="2" t="inlineStr">
        <is>
          <t>Monday</t>
        </is>
      </c>
      <c r="AE27" s="2" t="inlineStr">
        <is>
          <t>Tuesday</t>
        </is>
      </c>
      <c r="AF27" s="2" t="inlineStr">
        <is>
          <t>Wednesday</t>
        </is>
      </c>
      <c r="AG27" s="2" t="inlineStr">
        <is>
          <t>Total</t>
        </is>
      </c>
    </row>
    <row r="28">
      <c r="A28" s="1" t="n"/>
      <c r="B28" s="3" t="inlineStr">
        <is>
          <t>1st</t>
        </is>
      </c>
      <c r="C28" s="3" t="inlineStr">
        <is>
          <t>2nd</t>
        </is>
      </c>
      <c r="D28" s="3" t="inlineStr">
        <is>
          <t>3rd</t>
        </is>
      </c>
      <c r="E28" s="3" t="inlineStr">
        <is>
          <t>4th</t>
        </is>
      </c>
      <c r="F28" s="3" t="inlineStr">
        <is>
          <t>5th</t>
        </is>
      </c>
      <c r="G28" s="3" t="inlineStr">
        <is>
          <t>6th</t>
        </is>
      </c>
      <c r="H28" s="3" t="inlineStr">
        <is>
          <t>7th</t>
        </is>
      </c>
      <c r="I28" s="4" t="inlineStr">
        <is>
          <t>8th</t>
        </is>
      </c>
      <c r="J28" s="4" t="inlineStr">
        <is>
          <t>9th</t>
        </is>
      </c>
      <c r="K28" s="4" t="inlineStr">
        <is>
          <t>10th</t>
        </is>
      </c>
      <c r="L28" s="4" t="inlineStr">
        <is>
          <t>11th</t>
        </is>
      </c>
      <c r="M28" s="4" t="inlineStr">
        <is>
          <t>12th</t>
        </is>
      </c>
      <c r="N28" s="4" t="inlineStr">
        <is>
          <t>13th</t>
        </is>
      </c>
      <c r="O28" s="4" t="inlineStr">
        <is>
          <t>14th</t>
        </is>
      </c>
      <c r="P28" s="5" t="inlineStr">
        <is>
          <t>15th</t>
        </is>
      </c>
      <c r="Q28" s="5" t="inlineStr">
        <is>
          <t>16th</t>
        </is>
      </c>
      <c r="R28" s="5" t="inlineStr">
        <is>
          <t>17th</t>
        </is>
      </c>
      <c r="S28" s="5" t="inlineStr">
        <is>
          <t>18th</t>
        </is>
      </c>
      <c r="T28" s="5" t="inlineStr">
        <is>
          <t>19th</t>
        </is>
      </c>
      <c r="U28" s="5" t="inlineStr">
        <is>
          <t>20th</t>
        </is>
      </c>
      <c r="V28" s="5" t="inlineStr">
        <is>
          <t>21st</t>
        </is>
      </c>
      <c r="W28" s="6" t="inlineStr">
        <is>
          <t>22nd</t>
        </is>
      </c>
      <c r="X28" s="6" t="inlineStr">
        <is>
          <t>23rd</t>
        </is>
      </c>
      <c r="Y28" s="6" t="inlineStr">
        <is>
          <t>24th</t>
        </is>
      </c>
      <c r="Z28" s="6" t="inlineStr">
        <is>
          <t>25th</t>
        </is>
      </c>
      <c r="AA28" s="6" t="inlineStr">
        <is>
          <t>26th</t>
        </is>
      </c>
      <c r="AB28" s="6" t="inlineStr">
        <is>
          <t>27th</t>
        </is>
      </c>
      <c r="AC28" s="6" t="inlineStr">
        <is>
          <t>28th</t>
        </is>
      </c>
      <c r="AD28" s="7" t="inlineStr">
        <is>
          <t>29th</t>
        </is>
      </c>
      <c r="AE28" s="7" t="inlineStr">
        <is>
          <t>30th</t>
        </is>
      </c>
      <c r="AF28" s="7" t="inlineStr">
        <is>
          <t>31st</t>
        </is>
      </c>
      <c r="AG28" s="1" t="n"/>
    </row>
    <row r="29" ht="15.75" customHeight="1">
      <c r="A29" s="8" t="inlineStr">
        <is>
          <t>B-HAM CITY COUNCIL-200790-70489166</t>
        </is>
      </c>
      <c r="B29" s="32" t="n"/>
      <c r="E29" s="12" t="n"/>
      <c r="F29" t="n">
        <v>65406.76</v>
      </c>
      <c r="G29" s="12" t="n"/>
      <c r="H29" s="9" t="n"/>
      <c r="J29" t="n">
        <v>2088.57</v>
      </c>
      <c r="N29" s="9" t="n"/>
      <c r="O29" s="9" t="n"/>
      <c r="R29" s="9" t="n"/>
      <c r="T29" t="n">
        <v>7335.99</v>
      </c>
      <c r="U29" s="9" t="n"/>
      <c r="V29" s="9" t="n"/>
      <c r="Y29" s="12" t="n"/>
      <c r="Z29" s="9" t="n"/>
      <c r="AB29" s="9" t="n"/>
      <c r="AC29" s="9" t="n"/>
      <c r="AF29" s="12" t="n"/>
      <c r="AG29" s="13">
        <f>SUM(B29:AF29)</f>
        <v/>
      </c>
      <c r="AH29" s="12" t="n">
        <v>1298.68</v>
      </c>
      <c r="AI29" s="12">
        <f>5041.28+AK29</f>
        <v/>
      </c>
    </row>
    <row r="30" ht="15.75" customHeight="1">
      <c r="A30" s="8" t="inlineStr">
        <is>
          <t>Accord/Age uk</t>
        </is>
      </c>
      <c r="B30" s="32" t="n"/>
      <c r="C30" s="32" t="n"/>
      <c r="D30" s="9" t="n"/>
      <c r="E30" s="9" t="n"/>
      <c r="H30" s="12" t="n"/>
      <c r="I30" s="12" t="n"/>
      <c r="J30" s="12" t="n"/>
      <c r="M30" s="12" t="n"/>
      <c r="N30" s="12" t="n"/>
      <c r="O30" s="9" t="n"/>
      <c r="S30" s="9" t="n"/>
      <c r="U30" s="12" t="n"/>
      <c r="V30" s="12" t="n"/>
      <c r="W30" s="12" t="n"/>
      <c r="AA30" s="12" t="n"/>
      <c r="AB30" s="9" t="n"/>
      <c r="AC30" s="9" t="n"/>
      <c r="AD30" s="12" t="n"/>
      <c r="AE30" s="33" t="n"/>
      <c r="AF30" s="12" t="n"/>
      <c r="AG30" s="13">
        <f>SUM(B30:AF30)</f>
        <v/>
      </c>
      <c r="AI30" s="12" t="n"/>
    </row>
    <row r="31" ht="15.75" customHeight="1">
      <c r="A31" s="8" t="inlineStr">
        <is>
          <t>Buckingham</t>
        </is>
      </c>
      <c r="B31" s="32" t="n"/>
      <c r="C31" s="32" t="n"/>
      <c r="D31" s="9" t="n"/>
      <c r="E31" s="9" t="n"/>
      <c r="F31" s="9" t="n"/>
      <c r="G31" s="9" t="n"/>
      <c r="H31" s="12" t="n"/>
      <c r="I31" s="12" t="n"/>
      <c r="J31" s="9" t="n"/>
      <c r="K31" s="9" t="n"/>
      <c r="L31" s="9" t="n"/>
      <c r="M31" s="9" t="n"/>
      <c r="N31" s="9" t="n"/>
      <c r="O31" s="9" t="n"/>
      <c r="Q31" s="9" t="n"/>
      <c r="S31" s="9" t="n"/>
      <c r="T31" t="n">
        <v>4937.64</v>
      </c>
      <c r="U31" s="9" t="n"/>
      <c r="V31" s="9" t="n"/>
      <c r="W31" s="12" t="inlineStr">
        <is>
          <t>  </t>
        </is>
      </c>
      <c r="X31" s="9" t="n"/>
      <c r="Z31" s="9" t="n"/>
      <c r="AA31" s="9" t="n"/>
      <c r="AB31" s="9" t="n"/>
      <c r="AC31" s="9" t="n"/>
      <c r="AF31" s="12" t="n"/>
      <c r="AG31" s="13">
        <f>SUM(B31:AF31)</f>
        <v/>
      </c>
      <c r="AI31" s="12" t="n"/>
    </row>
    <row r="32" ht="15.75" customHeight="1">
      <c r="A32" s="8" t="inlineStr">
        <is>
          <t>Sandwell respite est</t>
        </is>
      </c>
      <c r="B32" s="32" t="n"/>
      <c r="C32" s="32" t="n"/>
      <c r="D32" s="9" t="n"/>
      <c r="E32" s="9" t="n"/>
      <c r="F32" t="n">
        <v>2284.8</v>
      </c>
      <c r="G32" s="9" t="n"/>
      <c r="H32" s="9" t="n"/>
      <c r="I32" s="9" t="n"/>
      <c r="J32" s="9" t="n"/>
      <c r="K32" s="9" t="n"/>
      <c r="L32" s="9" t="n"/>
      <c r="M32" s="9" t="n"/>
      <c r="N32" s="9" t="n"/>
      <c r="O32" s="9" t="n"/>
      <c r="Q32" s="9" t="n"/>
      <c r="R32" t="n">
        <v>7210.98</v>
      </c>
      <c r="S32" s="9" t="n"/>
      <c r="T32" t="n">
        <v>11682.4</v>
      </c>
      <c r="U32" s="9" t="n"/>
      <c r="V32" s="9" t="n"/>
      <c r="W32" s="9" t="n"/>
      <c r="X32" s="9" t="n"/>
      <c r="Y32" s="9" t="n"/>
      <c r="Z32" s="9" t="n"/>
      <c r="AA32" s="9" t="n"/>
      <c r="AB32" s="9" t="n"/>
      <c r="AC32" s="9" t="n"/>
      <c r="AD32" s="9" t="n"/>
      <c r="AF32" s="9" t="n"/>
      <c r="AG32" s="13">
        <f>SUM(B32:AF32)</f>
        <v/>
      </c>
      <c r="AI32" s="9" t="n"/>
    </row>
    <row r="33" ht="15.75" customHeight="1">
      <c r="A33" s="8" t="inlineStr">
        <is>
          <t xml:space="preserve">Wolverhampton respite est </t>
        </is>
      </c>
      <c r="B33" s="32" t="n"/>
      <c r="C33" s="32" t="n"/>
      <c r="D33" s="9" t="n"/>
      <c r="E33" s="9" t="n"/>
      <c r="F33" s="9" t="n"/>
      <c r="G33" s="9" t="n"/>
      <c r="H33" s="9" t="n"/>
      <c r="I33" t="n">
        <v>11423.84</v>
      </c>
      <c r="J33" s="9" t="n"/>
      <c r="K33" s="9" t="n"/>
      <c r="L33" s="9" t="n"/>
      <c r="M33" t="n">
        <v>14598.72</v>
      </c>
      <c r="N33" s="9" t="n"/>
      <c r="O33" s="9" t="n"/>
      <c r="Q33" s="26" t="n"/>
      <c r="R33" t="n">
        <v>1782</v>
      </c>
      <c r="S33" s="9" t="n"/>
      <c r="T33" s="9" t="n"/>
      <c r="U33" s="9" t="n"/>
      <c r="V33" s="9" t="n"/>
      <c r="W33" s="9" t="n"/>
      <c r="X33" s="9" t="n"/>
      <c r="Y33" s="9" t="n"/>
      <c r="Z33" s="26" t="n">
        <v>6869.82</v>
      </c>
      <c r="AA33" s="9" t="n"/>
      <c r="AB33" s="9" t="n"/>
      <c r="AC33" s="9" t="n"/>
      <c r="AD33" s="9" t="n"/>
      <c r="AF33" s="9" t="n"/>
      <c r="AG33" s="13">
        <f>SUM(B33:AF33)</f>
        <v/>
      </c>
      <c r="AI33" s="9" t="n"/>
    </row>
    <row r="34" ht="15.75" customHeight="1">
      <c r="A34" s="8" t="inlineStr">
        <is>
          <t>Walsall Respite</t>
        </is>
      </c>
      <c r="B34" s="32" t="n"/>
      <c r="C34" s="32" t="n"/>
      <c r="D34" s="9" t="n"/>
      <c r="E34" s="9" t="n"/>
      <c r="F34" s="9" t="n"/>
      <c r="H34" s="9" t="n"/>
      <c r="I34" s="9" t="n"/>
      <c r="J34" s="9" t="n"/>
      <c r="K34" s="9" t="n"/>
      <c r="L34" s="9" t="n"/>
      <c r="M34" s="9" t="n"/>
      <c r="N34" s="9" t="n"/>
      <c r="O34" s="9" t="n"/>
      <c r="Q34" s="26" t="n">
        <v>15636.4</v>
      </c>
      <c r="R34" s="9" t="n"/>
      <c r="S34" s="9" t="n"/>
      <c r="T34" s="9" t="n"/>
      <c r="U34" s="9" t="n"/>
      <c r="V34" s="9" t="n"/>
      <c r="W34" s="9" t="n"/>
      <c r="X34" s="9" t="n"/>
      <c r="Y34" s="9" t="n"/>
      <c r="Z34" s="9" t="n"/>
      <c r="AA34" t="n">
        <v>2938.24</v>
      </c>
      <c r="AB34" s="9" t="n"/>
      <c r="AC34" s="9" t="n"/>
      <c r="AD34" s="9" t="n"/>
      <c r="AF34" s="9" t="n"/>
      <c r="AG34" s="13">
        <f>SUM(B34:AF34)</f>
        <v/>
      </c>
      <c r="AI34" s="9" t="n"/>
    </row>
    <row r="35" ht="18.75" customHeight="1">
      <c r="A35" s="8" t="inlineStr">
        <is>
          <t>Ideal for All Ltd</t>
        </is>
      </c>
      <c r="B35" s="32" t="n"/>
      <c r="C35" s="33" t="n"/>
      <c r="D35" s="12" t="n"/>
      <c r="E35" s="11" t="n"/>
      <c r="F35" t="n">
        <v>3216.15</v>
      </c>
      <c r="G35" s="12" t="n"/>
      <c r="H35" s="9" t="n"/>
      <c r="I35" t="n">
        <v>3580.46</v>
      </c>
      <c r="J35" s="12" t="n"/>
      <c r="K35" s="11" t="n"/>
      <c r="L35" t="n">
        <v>2516.8</v>
      </c>
      <c r="M35" s="12" t="n"/>
      <c r="N35" s="11" t="n"/>
      <c r="O35" s="12" t="n"/>
      <c r="Q35" s="31" t="n"/>
      <c r="R35" s="12" t="n"/>
      <c r="S35" s="11" t="n"/>
      <c r="T35" t="n">
        <v>2173.6</v>
      </c>
      <c r="U35" s="12" t="n"/>
      <c r="V35" s="12" t="n"/>
      <c r="X35" s="12" t="n"/>
      <c r="Y35" s="9" t="n"/>
      <c r="Z35" s="9" t="n"/>
      <c r="AA35" s="12" t="n"/>
      <c r="AB35" s="9" t="n"/>
      <c r="AC35" s="9" t="n"/>
      <c r="AD35" s="9" t="n"/>
      <c r="AF35" s="33" t="n"/>
      <c r="AG35" s="13">
        <f>SUM(B35:AF35)</f>
        <v/>
      </c>
      <c r="AI35" s="33" t="n">
        <v>2402.4</v>
      </c>
    </row>
    <row r="36" ht="15.75" customHeight="1">
      <c r="A36" s="8" t="inlineStr">
        <is>
          <t>KIRKLEES COUNCIL-204312-63046958</t>
        </is>
      </c>
      <c r="B36" s="32" t="n"/>
      <c r="C36" s="32" t="n"/>
      <c r="D36" s="9" t="n"/>
      <c r="E36" s="9" t="n"/>
      <c r="F36" s="9" t="n"/>
      <c r="G36" s="9" t="n"/>
      <c r="J36" s="9" t="n"/>
      <c r="K36" s="9" t="n"/>
      <c r="L36" s="9" t="n"/>
      <c r="M36" t="n">
        <v>5375.7</v>
      </c>
      <c r="N36" s="9" t="n"/>
      <c r="O36" s="12" t="n"/>
      <c r="Q36" s="26" t="n"/>
      <c r="R36" s="12" t="n"/>
      <c r="S36" s="12" t="n"/>
      <c r="T36" s="12" t="n"/>
      <c r="U36" s="12" t="n"/>
      <c r="V36" s="9" t="n"/>
      <c r="W36" s="12" t="n"/>
      <c r="X36" s="9" t="inlineStr"/>
      <c r="Y36" s="12" t="n"/>
      <c r="Z36" s="9" t="inlineStr"/>
      <c r="AA36" s="9" t="inlineStr"/>
      <c r="AB36" s="9" t="inlineStr"/>
      <c r="AC36" s="12" t="n"/>
      <c r="AD36" s="12" t="n"/>
      <c r="AE36" s="9" t="inlineStr"/>
      <c r="AF36" s="33" t="n"/>
      <c r="AG36" s="13">
        <f>SUM(B36:AF36)</f>
        <v/>
      </c>
    </row>
    <row r="37" ht="15.75" customHeight="1">
      <c r="A37" s="8" t="inlineStr">
        <is>
          <t>LBH PAYMENTS BACS-602210-72430192</t>
        </is>
      </c>
      <c r="B37" s="32" t="n"/>
      <c r="C37" s="33" t="n"/>
      <c r="D37" s="9" t="n"/>
      <c r="E37" s="9" t="n"/>
      <c r="F37" s="12" t="n"/>
      <c r="G37" s="9" t="n"/>
      <c r="H37" s="9" t="n"/>
      <c r="I37" s="12" t="n"/>
      <c r="J37" s="9" t="n"/>
      <c r="K37" s="9" t="n"/>
      <c r="L37" s="9" t="n"/>
      <c r="M37" s="9" t="n"/>
      <c r="N37" s="12" t="n"/>
      <c r="O37" s="12" t="n"/>
      <c r="Q37" s="26" t="n"/>
      <c r="R37" s="9" t="n"/>
      <c r="S37" s="9" t="n"/>
      <c r="T37" s="12" t="n"/>
      <c r="U37" s="9" t="n"/>
      <c r="V37" s="9" t="n"/>
      <c r="W37" s="9" t="inlineStr"/>
      <c r="X37" s="12" t="n"/>
      <c r="Y37" t="n">
        <v>5040</v>
      </c>
      <c r="Z37" s="9" t="n"/>
      <c r="AA37" s="9" t="n"/>
      <c r="AB37" s="9" t="n"/>
      <c r="AC37" s="9" t="n"/>
      <c r="AD37" s="12" t="n"/>
      <c r="AE37" s="9" t="n"/>
      <c r="AF37" s="9" t="n"/>
      <c r="AG37" s="13">
        <f>SUM(B37:AF37)</f>
        <v/>
      </c>
    </row>
    <row r="38" ht="15.75" customHeight="1">
      <c r="A38" s="8" t="inlineStr">
        <is>
          <t>NHS BIRMINGHAM &amp; S-607080-10017097</t>
        </is>
      </c>
      <c r="B38" s="32" t="n"/>
      <c r="C38" s="32" t="n"/>
      <c r="D38" s="9" t="n"/>
      <c r="E38" s="12" t="n"/>
      <c r="F38" s="9" t="n"/>
      <c r="G38" s="9" t="n"/>
      <c r="H38" s="9" t="n"/>
      <c r="I38" s="9" t="n"/>
      <c r="J38" s="9" t="n"/>
      <c r="K38" s="9" t="n"/>
      <c r="L38" t="n">
        <v>7121.63</v>
      </c>
      <c r="M38" s="12" t="n"/>
      <c r="N38" s="9" t="inlineStr"/>
      <c r="O38" s="9" t="inlineStr"/>
      <c r="Q38" s="26" t="inlineStr"/>
      <c r="R38" s="9" t="inlineStr"/>
      <c r="S38" s="9" t="inlineStr"/>
      <c r="T38" s="9" t="inlineStr"/>
      <c r="U38" s="12" t="n"/>
      <c r="V38" s="9" t="inlineStr"/>
      <c r="W38" s="9" t="inlineStr"/>
      <c r="X38" s="12" t="n"/>
      <c r="Y38" s="12" t="n"/>
      <c r="Z38" s="9" t="inlineStr"/>
      <c r="AA38" s="9" t="inlineStr"/>
      <c r="AB38" s="9" t="inlineStr"/>
      <c r="AC38" s="32" t="n"/>
      <c r="AD38" s="9" t="n"/>
      <c r="AE38" s="9" t="n"/>
      <c r="AF38" s="9" t="n"/>
      <c r="AG38" s="13">
        <f>SUM(B38:AF38)</f>
        <v/>
      </c>
    </row>
    <row r="39" ht="15.75" customHeight="1">
      <c r="A39" s="8" t="inlineStr">
        <is>
          <t>NHS BLACK COUNTRY-607080-10015272</t>
        </is>
      </c>
      <c r="B39" s="33" t="n"/>
      <c r="C39" s="32" t="n"/>
      <c r="D39" s="12" t="n"/>
      <c r="E39" s="9" t="n"/>
      <c r="F39" s="9" t="n"/>
      <c r="G39" s="9" t="n"/>
      <c r="H39" s="9" t="n"/>
      <c r="I39" s="9" t="n"/>
      <c r="J39" s="9" t="n"/>
      <c r="K39" s="9" t="n"/>
      <c r="L39" s="9" t="n"/>
      <c r="N39" s="9" t="inlineStr"/>
      <c r="O39" s="9" t="inlineStr"/>
      <c r="Q39" s="31" t="n">
        <v>13625.17</v>
      </c>
      <c r="R39" s="9" t="inlineStr"/>
      <c r="S39" s="9" t="inlineStr"/>
      <c r="T39" s="9" t="inlineStr"/>
      <c r="U39" s="9" t="inlineStr"/>
      <c r="V39" s="12" t="n"/>
      <c r="W39" s="9" t="inlineStr"/>
      <c r="X39" s="9" t="inlineStr"/>
      <c r="Y39" s="9" t="n"/>
      <c r="AA39" s="9" t="inlineStr"/>
      <c r="AB39" s="9" t="inlineStr"/>
      <c r="AC39" s="9" t="inlineStr"/>
      <c r="AE39" t="n">
        <v>8342.32</v>
      </c>
      <c r="AF39" s="12" t="n"/>
      <c r="AG39" s="13">
        <f>SUM(B39:AF39)</f>
        <v/>
      </c>
    </row>
    <row r="40" ht="15.75" customHeight="1">
      <c r="A40" s="14" t="inlineStr">
        <is>
          <t>SANDWELL MBC  BEN-601539-69624151</t>
        </is>
      </c>
      <c r="B40" s="32" t="n"/>
      <c r="C40" s="32" t="n"/>
      <c r="D40" s="9" t="n"/>
      <c r="E40" s="9" t="n"/>
      <c r="F40" s="9" t="n"/>
      <c r="G40" s="9" t="n"/>
      <c r="H40" s="9" t="n"/>
      <c r="I40" t="n">
        <v>2950.96</v>
      </c>
      <c r="J40" s="9" t="n"/>
      <c r="K40" s="9" t="n"/>
      <c r="L40" s="12" t="n"/>
      <c r="M40" s="9" t="n"/>
      <c r="N40" s="9" t="n"/>
      <c r="O40" s="9" t="n"/>
      <c r="Q40" s="26" t="n"/>
      <c r="R40" s="9" t="n"/>
      <c r="S40" s="9" t="n"/>
      <c r="T40" s="9" t="n"/>
      <c r="U40" s="9" t="n"/>
      <c r="V40" s="9" t="n"/>
      <c r="W40" s="9" t="n"/>
      <c r="X40" s="9" t="n"/>
      <c r="Y40" s="12" t="n"/>
      <c r="Z40" s="9" t="n"/>
      <c r="AA40" s="9" t="n"/>
      <c r="AB40" s="9" t="n"/>
      <c r="AC40" s="9" t="n"/>
      <c r="AD40" s="9" t="n"/>
      <c r="AE40" s="9" t="n"/>
      <c r="AF40" s="9" t="n"/>
      <c r="AG40" s="13">
        <f>SUM(B40:AF40)</f>
        <v/>
      </c>
    </row>
    <row r="41" ht="15.75" customHeight="1">
      <c r="A41" s="14" t="inlineStr">
        <is>
          <t>SANDWELL MBC-601539-69624135</t>
        </is>
      </c>
      <c r="B41" s="32" t="n"/>
      <c r="C41" s="32" t="n"/>
      <c r="D41" s="9" t="n"/>
      <c r="F41" s="9" t="n"/>
      <c r="G41" s="9" t="n"/>
      <c r="H41" s="9" t="n"/>
      <c r="I41" t="n">
        <v>108090.88</v>
      </c>
      <c r="J41" s="9" t="n"/>
      <c r="K41" s="9" t="n"/>
      <c r="L41" s="9" t="n"/>
      <c r="M41" s="9" t="n"/>
      <c r="N41" s="9" t="n"/>
      <c r="O41" s="9" t="n"/>
      <c r="P41" s="9" t="n"/>
      <c r="Q41" s="26" t="n"/>
      <c r="R41" s="9" t="n"/>
      <c r="S41" s="9" t="n"/>
      <c r="T41" s="9" t="n"/>
      <c r="U41" s="9" t="n"/>
      <c r="V41" s="9" t="n"/>
      <c r="W41" t="n">
        <v>108090.88</v>
      </c>
      <c r="X41" s="9" t="n"/>
      <c r="Y41" s="9" t="n"/>
      <c r="Z41" s="9" t="n"/>
      <c r="AA41" s="9" t="n"/>
      <c r="AB41" s="9" t="n"/>
      <c r="AC41" s="9" t="n"/>
      <c r="AD41" s="9" t="n"/>
      <c r="AE41" s="9" t="n"/>
      <c r="AF41" s="9" t="n"/>
      <c r="AG41" s="13">
        <f>SUM(B41:AF41)</f>
        <v/>
      </c>
    </row>
    <row r="42" ht="15.75" customHeight="1">
      <c r="A42" s="15" t="inlineStr">
        <is>
          <t>SOLIHULL MBC EXP.-200771-00561525</t>
        </is>
      </c>
      <c r="B42" s="32" t="n"/>
      <c r="D42" s="9" t="n"/>
      <c r="E42" s="9" t="n"/>
      <c r="F42" s="9" t="n"/>
      <c r="G42" s="9" t="n"/>
      <c r="H42" s="9" t="n"/>
      <c r="I42" t="n">
        <v>30000.6</v>
      </c>
      <c r="J42" s="9" t="n"/>
      <c r="K42" s="9" t="n"/>
      <c r="L42" s="9" t="n"/>
      <c r="M42" s="9" t="n"/>
      <c r="N42" s="9" t="n"/>
      <c r="O42" s="9" t="n"/>
      <c r="P42" s="9" t="n"/>
      <c r="Q42" s="26" t="n"/>
      <c r="R42" s="12" t="n"/>
      <c r="S42" s="9" t="n"/>
      <c r="T42" s="9" t="n"/>
      <c r="U42" s="9" t="n"/>
      <c r="V42" s="9" t="n"/>
      <c r="W42" s="12" t="n"/>
      <c r="X42" s="9" t="n"/>
      <c r="Y42" s="9" t="n"/>
      <c r="Z42" s="9" t="n"/>
      <c r="AA42" s="9" t="n"/>
      <c r="AB42" s="9" t="n"/>
      <c r="AC42" s="9" t="n"/>
      <c r="AD42" s="9" t="n"/>
      <c r="AE42" s="12" t="n"/>
      <c r="AF42" t="n">
        <v>30000.6</v>
      </c>
      <c r="AG42" s="13">
        <f>SUM(B42:AF42)</f>
        <v/>
      </c>
    </row>
    <row r="43" ht="15.75" customHeight="1">
      <c r="A43" s="15" t="inlineStr">
        <is>
          <t>WALSALL MBC BARC-209073-10731692</t>
        </is>
      </c>
      <c r="B43" s="32" t="n"/>
      <c r="C43" s="32" t="n"/>
      <c r="D43" s="9" t="n"/>
      <c r="E43" s="9" t="n"/>
      <c r="F43" s="9" t="n"/>
      <c r="H43" s="9" t="n"/>
      <c r="I43" s="9" t="n"/>
      <c r="J43" s="9" t="n"/>
      <c r="K43" s="9" t="n"/>
      <c r="L43" s="9" t="n"/>
      <c r="M43" s="9" t="n"/>
      <c r="N43" s="9" t="n"/>
      <c r="O43" s="9" t="n"/>
      <c r="P43" s="9" t="n"/>
      <c r="Q43" s="26" t="n">
        <v>161758.12</v>
      </c>
      <c r="R43" s="9" t="n"/>
      <c r="S43" s="9" t="n"/>
      <c r="T43" s="9" t="n"/>
      <c r="U43" s="9" t="n"/>
      <c r="V43" s="9" t="n"/>
      <c r="W43" s="9" t="n"/>
      <c r="X43" s="9" t="n"/>
      <c r="Y43" s="9" t="n"/>
      <c r="Z43" s="9" t="n"/>
      <c r="AA43" s="9" t="n"/>
      <c r="AB43" s="9" t="n"/>
      <c r="AC43" s="9" t="n"/>
      <c r="AD43" s="9" t="n"/>
      <c r="AE43" s="12" t="n"/>
      <c r="AF43" s="9" t="n"/>
      <c r="AG43" s="13">
        <f>SUM(B43:AF43)</f>
        <v/>
      </c>
    </row>
    <row r="44" ht="15.75" customHeight="1">
      <c r="A44" s="15" t="inlineStr">
        <is>
          <t>WOLVERHAMPTON CC-560069-44470320</t>
        </is>
      </c>
      <c r="B44" s="32" t="n"/>
      <c r="C44" s="32" t="n"/>
      <c r="D44" s="9" t="n"/>
      <c r="E44" s="9" t="n"/>
      <c r="F44" s="26" t="n">
        <v>218742.94</v>
      </c>
      <c r="G44" s="9" t="n"/>
      <c r="H44" s="9" t="n"/>
      <c r="I44" s="9" t="n"/>
      <c r="J44" s="9" t="n"/>
      <c r="K44" s="9" t="n"/>
      <c r="L44" t="n">
        <v>110067.76</v>
      </c>
      <c r="M44" s="9" t="n"/>
      <c r="N44" s="9" t="n"/>
      <c r="O44" s="9" t="n"/>
      <c r="P44" s="9" t="n"/>
      <c r="Q44" s="26" t="n"/>
      <c r="R44" s="9" t="n"/>
      <c r="T44" t="n">
        <v>110624.82</v>
      </c>
      <c r="U44" s="9" t="n"/>
      <c r="V44" s="9" t="n"/>
      <c r="W44" s="9" t="n"/>
      <c r="X44" s="9" t="n"/>
      <c r="Y44" s="9" t="n"/>
      <c r="Z44" s="26" t="n">
        <v>104511</v>
      </c>
      <c r="AA44" s="9" t="n"/>
      <c r="AB44" s="9" t="n"/>
      <c r="AC44" s="9" t="n"/>
      <c r="AD44" s="9" t="n"/>
      <c r="AE44" s="9" t="n"/>
      <c r="AF44" s="9" t="n"/>
      <c r="AG44" s="13">
        <f>SUM(B44:AF44)</f>
        <v/>
      </c>
    </row>
    <row r="45" ht="15.75" customHeight="1">
      <c r="A45" s="15" t="inlineStr">
        <is>
          <t>TLC</t>
        </is>
      </c>
      <c r="B45" s="9" t="n"/>
      <c r="C45" s="9" t="n"/>
      <c r="D45" s="12" t="n"/>
      <c r="F45" s="9" t="n"/>
      <c r="G45" s="9" t="n"/>
      <c r="H45" s="9" t="n"/>
      <c r="I45" t="n">
        <v>8311.25</v>
      </c>
      <c r="J45" s="9" t="n"/>
      <c r="M45" t="n">
        <v>1220.8</v>
      </c>
      <c r="N45" s="9" t="n"/>
      <c r="O45" s="12" t="n"/>
      <c r="P45" s="12" t="n"/>
      <c r="Q45" s="9" t="n"/>
      <c r="R45" s="12" t="n"/>
      <c r="T45" s="9" t="n"/>
      <c r="U45" s="9" t="n"/>
      <c r="V45" s="9" t="n"/>
      <c r="W45" s="9" t="n"/>
      <c r="Y45" t="n">
        <v>3230.15</v>
      </c>
      <c r="Z45" s="9" t="n"/>
      <c r="AB45" s="9" t="n"/>
      <c r="AC45" s="12" t="n"/>
      <c r="AE45" s="9" t="n"/>
      <c r="AF45" t="n">
        <v>8104.15</v>
      </c>
      <c r="AG45" s="13">
        <f>SUM(B45:AF45)</f>
        <v/>
      </c>
    </row>
    <row r="46" ht="15.75" customHeight="1">
      <c r="A46" s="15" t="inlineStr">
        <is>
          <t>HB SC</t>
        </is>
      </c>
      <c r="B46" s="16" t="n">
        <v>150</v>
      </c>
      <c r="C46" s="16" t="n">
        <v>7983.62</v>
      </c>
      <c r="D46" s="16" t="n">
        <v>3756.239999999999</v>
      </c>
      <c r="E46" s="16" t="n">
        <v>4159.589999999997</v>
      </c>
      <c r="F46" s="31" t="n">
        <v>5962.819999999942</v>
      </c>
      <c r="G46" s="16" t="n">
        <v>200</v>
      </c>
      <c r="H46" s="16" t="n">
        <v>0</v>
      </c>
      <c r="I46" s="16" t="n">
        <v>6387.289999999993</v>
      </c>
      <c r="J46" s="16" t="n">
        <v>3518.760000000001</v>
      </c>
      <c r="K46" s="16" t="n">
        <v>3078.61</v>
      </c>
      <c r="L46" s="16">
        <f>2459.33+4560</f>
        <v/>
      </c>
      <c r="M46" s="16" t="n">
        <v>8878.509999999995</v>
      </c>
      <c r="N46" s="16" t="n">
        <v>600</v>
      </c>
      <c r="O46" s="16" t="n">
        <v>387.69</v>
      </c>
      <c r="P46" s="16" t="n">
        <v>4455.7</v>
      </c>
      <c r="Q46" s="16" t="n">
        <v>5185.930000000006</v>
      </c>
      <c r="R46" s="16" t="n">
        <v>1278.83</v>
      </c>
      <c r="S46" s="16" t="n">
        <v>2084.31</v>
      </c>
      <c r="T46" s="16" t="n">
        <v>3134.91</v>
      </c>
      <c r="U46" s="16" t="n">
        <v>400</v>
      </c>
      <c r="V46" s="16" t="n">
        <v>0</v>
      </c>
      <c r="W46" s="16" t="n">
        <v>4747.889999999999</v>
      </c>
      <c r="X46" s="16" t="n">
        <v>4616.77</v>
      </c>
      <c r="Y46" s="16" t="n">
        <v>1364.26</v>
      </c>
      <c r="Z46" s="16" t="n">
        <v>9345.409999999989</v>
      </c>
      <c r="AA46" s="16" t="n">
        <v>3810.39</v>
      </c>
      <c r="AB46" s="16" t="n">
        <v>0</v>
      </c>
      <c r="AC46" s="16" t="n">
        <v>200</v>
      </c>
      <c r="AD46" s="16" t="n">
        <v>7712.35</v>
      </c>
      <c r="AE46" s="16" t="n">
        <v>4086.910000000033</v>
      </c>
      <c r="AF46" s="16" t="n">
        <v>5911.890000000001</v>
      </c>
      <c r="AG46" s="13">
        <f>SUM(B46:AF46)</f>
        <v/>
      </c>
    </row>
    <row r="47" ht="16.5" customHeight="1" thickBot="1">
      <c r="A47" s="53" t="inlineStr">
        <is>
          <t>Total</t>
        </is>
      </c>
      <c r="B47" s="29">
        <f>SUM(B29:B46)</f>
        <v/>
      </c>
      <c r="C47" s="29">
        <f>SUM(C29:C46)</f>
        <v/>
      </c>
      <c r="D47" s="29">
        <f>SUM(D29:D46)</f>
        <v/>
      </c>
      <c r="E47" s="29">
        <f>SUM(E29:E46)</f>
        <v/>
      </c>
      <c r="F47" s="29">
        <f>SUM(F29:F46)</f>
        <v/>
      </c>
      <c r="G47" s="29">
        <f>SUM(G29:G46)</f>
        <v/>
      </c>
      <c r="H47" s="29">
        <f>SUM(H29:H46)</f>
        <v/>
      </c>
      <c r="I47" s="29">
        <f>SUM(I29:I46)</f>
        <v/>
      </c>
      <c r="J47" s="29">
        <f>SUM(J29:J46)</f>
        <v/>
      </c>
      <c r="K47" s="29">
        <f>SUM(K29:K46)</f>
        <v/>
      </c>
      <c r="L47" s="29">
        <f>SUM(L29:L46)</f>
        <v/>
      </c>
      <c r="M47" s="29">
        <f>SUM(M29:M46)</f>
        <v/>
      </c>
      <c r="N47" s="58">
        <f>SUM(N29:N46)</f>
        <v/>
      </c>
      <c r="O47" s="58">
        <f>SUM(O29:O46)</f>
        <v/>
      </c>
      <c r="P47" s="58">
        <f>SUM(P29:P46)</f>
        <v/>
      </c>
      <c r="Q47" s="58">
        <f>SUM(Q29:Q46)</f>
        <v/>
      </c>
      <c r="R47" s="58">
        <f>SUM(R29:R46)</f>
        <v/>
      </c>
      <c r="S47" s="58">
        <f>SUM(S29:S46)</f>
        <v/>
      </c>
      <c r="T47" s="29">
        <f>SUM(T29:T46)</f>
        <v/>
      </c>
      <c r="U47" s="58">
        <f>SUM(U29:U46)</f>
        <v/>
      </c>
      <c r="V47" s="58">
        <f>SUM(V29:V46)</f>
        <v/>
      </c>
      <c r="W47" s="58">
        <f>SUM(W29:W46)</f>
        <v/>
      </c>
      <c r="X47" s="58">
        <f>SUM(X29:X46)</f>
        <v/>
      </c>
      <c r="Y47" s="58">
        <f>SUM(Y29:Y46)</f>
        <v/>
      </c>
      <c r="Z47" s="58">
        <f>SUM(Z29:Z46)</f>
        <v/>
      </c>
      <c r="AA47" s="58">
        <f>SUM(AA29:AA46)</f>
        <v/>
      </c>
      <c r="AB47" s="58">
        <f>SUM(AB29:AB46)</f>
        <v/>
      </c>
      <c r="AC47" s="58">
        <f>SUM(AC29:AC46)</f>
        <v/>
      </c>
      <c r="AD47" s="58">
        <f>SUM(AD29:AD46)</f>
        <v/>
      </c>
      <c r="AE47" s="29">
        <f>SUM(AE29:AE46)</f>
        <v/>
      </c>
      <c r="AF47" s="29">
        <f>SUM(AF29:AF46)</f>
        <v/>
      </c>
      <c r="AG47" s="22">
        <f>SUM(AG29:AG46)</f>
        <v/>
      </c>
      <c r="AH47" s="25" t="n"/>
    </row>
    <row r="48" ht="15.75" customHeight="1" thickTop="1">
      <c r="A48" s="15" t="inlineStr">
        <is>
          <t>Ruunning Total</t>
        </is>
      </c>
      <c r="B48">
        <f>SUM(B29:B46)</f>
        <v/>
      </c>
      <c r="C48">
        <f>SUM(C47+B48)</f>
        <v/>
      </c>
      <c r="D48">
        <f>SUM(D47+C48)</f>
        <v/>
      </c>
      <c r="E48">
        <f>SUM(E47+D48)</f>
        <v/>
      </c>
      <c r="F48">
        <f>SUM(F47+E48)</f>
        <v/>
      </c>
      <c r="G48">
        <f>SUM(G47+F48)</f>
        <v/>
      </c>
      <c r="H48">
        <f>SUM(H47+G48)</f>
        <v/>
      </c>
      <c r="I48">
        <f>SUM(I47+H48)</f>
        <v/>
      </c>
      <c r="J48">
        <f>SUM(J47+I48)</f>
        <v/>
      </c>
      <c r="K48">
        <f>SUM(K47+J48)</f>
        <v/>
      </c>
      <c r="L48">
        <f>SUM(L47+K48)</f>
        <v/>
      </c>
      <c r="M48">
        <f>SUM(M47+L48)</f>
        <v/>
      </c>
      <c r="N48">
        <f>SUM(N47+M48)</f>
        <v/>
      </c>
      <c r="O48">
        <f>SUM(O47+N48)</f>
        <v/>
      </c>
      <c r="P48">
        <f>SUM(P47+O48)</f>
        <v/>
      </c>
      <c r="Q48" s="31">
        <f>SUM(Q47+P48)</f>
        <v/>
      </c>
      <c r="R48" s="31">
        <f>SUM(R47+Q48)</f>
        <v/>
      </c>
      <c r="S48" s="31">
        <f>SUM(S47+R48)</f>
        <v/>
      </c>
      <c r="T48">
        <f>SUM(T47+S48)</f>
        <v/>
      </c>
      <c r="U48" s="31">
        <f>SUM(U47+T48)</f>
        <v/>
      </c>
      <c r="V48" s="31">
        <f>SUM(V47+U48)</f>
        <v/>
      </c>
      <c r="W48" s="31">
        <f>SUM(W47+V48)</f>
        <v/>
      </c>
      <c r="X48" s="31">
        <f>SUM(X47+W48)</f>
        <v/>
      </c>
      <c r="Y48" s="31">
        <f>SUM(Y47+X48)</f>
        <v/>
      </c>
      <c r="Z48" s="31">
        <f>SUM(Z47+Y48)</f>
        <v/>
      </c>
      <c r="AA48" s="31">
        <f>SUM(AA47+Z48)</f>
        <v/>
      </c>
      <c r="AB48" s="31">
        <f>SUM(AB47+AA48)</f>
        <v/>
      </c>
      <c r="AC48" s="31">
        <f>SUM(AC47+AB48)</f>
        <v/>
      </c>
      <c r="AD48" s="31">
        <f>SUM(AD47+AC48)</f>
        <v/>
      </c>
      <c r="AE48">
        <f>SUM(AE47+AD48)</f>
        <v/>
      </c>
      <c r="AF48">
        <f>SUM(AF47+AE48)</f>
        <v/>
      </c>
    </row>
    <row r="49">
      <c r="A49" s="61" t="inlineStr">
        <is>
          <t>Money out</t>
        </is>
      </c>
      <c r="B49" s="62" t="n">
        <v>-73022.14999999999</v>
      </c>
      <c r="C49" s="62" t="n">
        <v>-48424.96</v>
      </c>
      <c r="D49" s="62" t="n">
        <v>-13250.49</v>
      </c>
      <c r="E49" s="62" t="n">
        <v>-145249.43</v>
      </c>
      <c r="F49" s="62">
        <f>-234428.53+138461.74</f>
        <v/>
      </c>
      <c r="G49" s="62" t="n">
        <v>0</v>
      </c>
      <c r="H49" s="62" t="n">
        <v>0</v>
      </c>
      <c r="I49" s="62" t="n">
        <v>-28350.15000000001</v>
      </c>
      <c r="J49" s="62" t="n">
        <v>-28350.15000000001</v>
      </c>
      <c r="K49" s="62" t="n">
        <v>-4000.17</v>
      </c>
      <c r="L49" s="62" t="n">
        <v>-3447.669999999998</v>
      </c>
      <c r="M49" s="65" t="n">
        <v>-82708.43000000001</v>
      </c>
      <c r="N49" s="65" t="n">
        <v>0</v>
      </c>
      <c r="O49" s="65" t="n">
        <v>0</v>
      </c>
      <c r="P49" s="65" t="n">
        <v>-24069.39</v>
      </c>
      <c r="Q49" s="65" t="n">
        <v>-5303.880000000005</v>
      </c>
      <c r="R49" s="65" t="n">
        <v>-73.93000000000001</v>
      </c>
      <c r="S49" s="65" t="n">
        <v>-1391.22</v>
      </c>
      <c r="T49" s="65" t="n">
        <v>-75720.62000000001</v>
      </c>
      <c r="U49" s="65" t="n">
        <v>0</v>
      </c>
      <c r="V49" s="65" t="n">
        <v>0</v>
      </c>
      <c r="W49" s="65" t="n">
        <v>-23768.98999999999</v>
      </c>
      <c r="X49" s="65" t="n">
        <v>-6698.49</v>
      </c>
      <c r="Y49" s="65" t="n">
        <v>-24268.39999999999</v>
      </c>
      <c r="Z49" s="65" t="n">
        <v>-97849.25</v>
      </c>
      <c r="AA49" s="65" t="n">
        <v>-42496.26000000001</v>
      </c>
      <c r="AB49" s="65" t="n">
        <v>0</v>
      </c>
      <c r="AC49" s="65" t="n">
        <v>-706</v>
      </c>
      <c r="AD49" s="65" t="n">
        <v>-7874.23</v>
      </c>
      <c r="AE49" s="65" t="n">
        <v>-7874.23</v>
      </c>
      <c r="AF49" s="65" t="n">
        <v>-767360.04</v>
      </c>
      <c r="AG49" s="62" t="n"/>
    </row>
    <row r="51">
      <c r="A51" s="51" t="inlineStr">
        <is>
          <t>Chasing</t>
        </is>
      </c>
    </row>
    <row r="52">
      <c r="A52" t="inlineStr">
        <is>
          <t>Birmingham</t>
        </is>
      </c>
      <c r="B52" t="n">
        <v>11478.92</v>
      </c>
    </row>
    <row r="53">
      <c r="A53" t="inlineStr">
        <is>
          <t>Nhs Birmingham</t>
        </is>
      </c>
    </row>
    <row r="54">
      <c r="A54" t="inlineStr">
        <is>
          <t>Nhs black country</t>
        </is>
      </c>
      <c r="B54" t="n">
        <v>16471</v>
      </c>
    </row>
    <row r="55">
      <c r="A55" t="inlineStr">
        <is>
          <t>Sandwell</t>
        </is>
      </c>
      <c r="B55" t="n">
        <v>18000</v>
      </c>
    </row>
    <row r="56">
      <c r="A56" s="52" t="inlineStr">
        <is>
          <t xml:space="preserve">Walsall </t>
        </is>
      </c>
    </row>
    <row r="57">
      <c r="A57" t="inlineStr">
        <is>
          <t>Wolverhampton</t>
        </is>
      </c>
    </row>
    <row r="58" ht="15.75" customHeight="1" thickBot="1">
      <c r="A58" s="50" t="inlineStr">
        <is>
          <t>Total</t>
        </is>
      </c>
      <c r="B58" s="29">
        <f>SUM(B52:B57)</f>
        <v/>
      </c>
    </row>
    <row r="59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4:AH35"/>
  <sheetViews>
    <sheetView zoomScale="70" zoomScaleNormal="70" workbookViewId="0">
      <selection activeCell="E38" sqref="E38"/>
    </sheetView>
  </sheetViews>
  <sheetFormatPr baseColWidth="8" defaultRowHeight="15"/>
  <cols>
    <col width="40.42578125" bestFit="1" customWidth="1" min="1" max="1"/>
    <col width="12.5703125" bestFit="1" customWidth="1" min="2" max="2"/>
    <col width="11.140625" bestFit="1" customWidth="1" min="3" max="3"/>
    <col width="10.7109375" bestFit="1" customWidth="1" min="4" max="4"/>
    <col width="9.85546875" bestFit="1" customWidth="1" min="5" max="5"/>
    <col width="11.140625" bestFit="1" customWidth="1" min="6" max="6"/>
    <col width="12.5703125" bestFit="1" customWidth="1" min="7" max="7"/>
    <col width="13.140625" bestFit="1" customWidth="1" min="8" max="8"/>
    <col width="12.5703125" bestFit="1" customWidth="1" min="9" max="9"/>
    <col width="9.85546875" bestFit="1" customWidth="1" min="10" max="10"/>
    <col width="10.7109375" bestFit="1" customWidth="1" min="11" max="11"/>
    <col width="9.85546875" bestFit="1" customWidth="1" min="12" max="13"/>
    <col width="12.5703125" bestFit="1" customWidth="1" min="14" max="14"/>
    <col width="13.140625" bestFit="1" customWidth="1" min="15" max="15"/>
    <col width="12.5703125" bestFit="1" customWidth="1" min="16" max="16"/>
    <col width="9.85546875" bestFit="1" customWidth="1" min="17" max="17"/>
    <col width="10.7109375" bestFit="1" customWidth="1" min="18" max="18"/>
    <col width="9.85546875" bestFit="1" customWidth="1" min="19" max="20"/>
    <col width="12.5703125" bestFit="1" customWidth="1" min="21" max="21"/>
    <col width="13.140625" bestFit="1" customWidth="1" min="22" max="22"/>
    <col width="12.5703125" bestFit="1" customWidth="1" min="23" max="23"/>
    <col width="9.85546875" bestFit="1" customWidth="1" min="24" max="24"/>
    <col width="10.7109375" bestFit="1" customWidth="1" min="25" max="25"/>
    <col width="9.85546875" bestFit="1" customWidth="1" min="26" max="26"/>
    <col width="12.28515625" bestFit="1" customWidth="1" min="27" max="27"/>
    <col width="10.140625" bestFit="1" customWidth="1" min="28" max="28"/>
    <col width="13.140625" bestFit="1" customWidth="1" min="29" max="29"/>
    <col width="11.140625" bestFit="1" customWidth="1" min="30" max="30"/>
    <col width="9.85546875" bestFit="1" customWidth="1" min="31" max="31"/>
    <col width="10.140625" bestFit="1" customWidth="1" min="32" max="32"/>
    <col width="13.5703125" bestFit="1" customWidth="1" min="33" max="33"/>
  </cols>
  <sheetData>
    <row r="4">
      <c r="A4" s="1" t="n"/>
      <c r="B4" s="2" t="inlineStr">
        <is>
          <t>Feb</t>
        </is>
      </c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  <c r="W4" s="2" t="n"/>
      <c r="X4" s="2" t="n"/>
      <c r="Y4" s="2" t="n"/>
      <c r="Z4" s="2" t="n"/>
      <c r="AA4" s="2" t="n"/>
      <c r="AB4" s="2" t="n"/>
      <c r="AC4" s="2" t="n"/>
      <c r="AD4" s="2" t="n"/>
      <c r="AE4" s="1" t="n"/>
      <c r="AF4" s="1" t="n"/>
      <c r="AG4" s="1" t="n"/>
    </row>
    <row r="5">
      <c r="A5" s="1" t="n"/>
      <c r="B5" s="2" t="inlineStr">
        <is>
          <t>Thursday</t>
        </is>
      </c>
      <c r="C5" s="2" t="inlineStr">
        <is>
          <t>Friday</t>
        </is>
      </c>
      <c r="D5" s="2" t="inlineStr">
        <is>
          <t>Saturday</t>
        </is>
      </c>
      <c r="E5" s="2" t="inlineStr">
        <is>
          <t>Sunday</t>
        </is>
      </c>
      <c r="F5" s="2" t="inlineStr">
        <is>
          <t>Monday</t>
        </is>
      </c>
      <c r="G5" s="2" t="inlineStr">
        <is>
          <t>Tuesday</t>
        </is>
      </c>
      <c r="H5" s="2" t="inlineStr">
        <is>
          <t>Wednesday</t>
        </is>
      </c>
      <c r="I5" s="2" t="inlineStr">
        <is>
          <t>Thursday</t>
        </is>
      </c>
      <c r="J5" s="2" t="inlineStr">
        <is>
          <t>Friday</t>
        </is>
      </c>
      <c r="K5" s="2" t="inlineStr">
        <is>
          <t>Saturday</t>
        </is>
      </c>
      <c r="L5" s="2" t="inlineStr">
        <is>
          <t>Sunday</t>
        </is>
      </c>
      <c r="M5" s="2" t="inlineStr">
        <is>
          <t>Monday</t>
        </is>
      </c>
      <c r="N5" s="2" t="inlineStr">
        <is>
          <t>Tuesday</t>
        </is>
      </c>
      <c r="O5" s="2" t="inlineStr">
        <is>
          <t>Wednesday</t>
        </is>
      </c>
      <c r="P5" s="2" t="inlineStr">
        <is>
          <t>Thursday</t>
        </is>
      </c>
      <c r="Q5" s="2" t="inlineStr">
        <is>
          <t>Friday</t>
        </is>
      </c>
      <c r="R5" s="2" t="inlineStr">
        <is>
          <t>Saturday</t>
        </is>
      </c>
      <c r="S5" s="2" t="inlineStr">
        <is>
          <t>Sunday</t>
        </is>
      </c>
      <c r="T5" s="2" t="inlineStr">
        <is>
          <t>Monday</t>
        </is>
      </c>
      <c r="U5" s="2" t="inlineStr">
        <is>
          <t>Tuesday</t>
        </is>
      </c>
      <c r="V5" s="2" t="inlineStr">
        <is>
          <t>Wednesday</t>
        </is>
      </c>
      <c r="W5" s="2" t="inlineStr">
        <is>
          <t>Thursday</t>
        </is>
      </c>
      <c r="X5" s="2" t="inlineStr">
        <is>
          <t>Friday</t>
        </is>
      </c>
      <c r="Y5" s="2" t="inlineStr">
        <is>
          <t>Saturday</t>
        </is>
      </c>
      <c r="Z5" s="2" t="inlineStr">
        <is>
          <t>Sunday</t>
        </is>
      </c>
      <c r="AA5" s="2" t="inlineStr">
        <is>
          <t>Monday</t>
        </is>
      </c>
      <c r="AB5" s="2" t="inlineStr">
        <is>
          <t>Tuesday</t>
        </is>
      </c>
      <c r="AC5" s="2" t="inlineStr">
        <is>
          <t>Wednesday</t>
        </is>
      </c>
      <c r="AD5" s="2" t="inlineStr">
        <is>
          <t>Thursday</t>
        </is>
      </c>
      <c r="AE5" s="2" t="n"/>
      <c r="AF5" s="2" t="n"/>
      <c r="AG5" s="2" t="inlineStr">
        <is>
          <t>Total</t>
        </is>
      </c>
    </row>
    <row r="6">
      <c r="A6" s="1" t="n"/>
      <c r="B6" s="7" t="inlineStr">
        <is>
          <t>1st</t>
        </is>
      </c>
      <c r="C6" s="7" t="inlineStr">
        <is>
          <t>2nd</t>
        </is>
      </c>
      <c r="D6" s="7" t="inlineStr">
        <is>
          <t>3rd</t>
        </is>
      </c>
      <c r="E6" s="7" t="inlineStr">
        <is>
          <t>4th</t>
        </is>
      </c>
      <c r="F6" s="4" t="inlineStr">
        <is>
          <t>5th</t>
        </is>
      </c>
      <c r="G6" s="4" t="inlineStr">
        <is>
          <t>6th</t>
        </is>
      </c>
      <c r="H6" s="4" t="inlineStr">
        <is>
          <t>7th</t>
        </is>
      </c>
      <c r="I6" s="4" t="inlineStr">
        <is>
          <t>8th</t>
        </is>
      </c>
      <c r="J6" s="4" t="inlineStr">
        <is>
          <t>9th</t>
        </is>
      </c>
      <c r="K6" s="4" t="inlineStr">
        <is>
          <t>10th</t>
        </is>
      </c>
      <c r="L6" s="4" t="inlineStr">
        <is>
          <t>11th</t>
        </is>
      </c>
      <c r="M6" s="5" t="inlineStr">
        <is>
          <t>12th</t>
        </is>
      </c>
      <c r="N6" s="5" t="inlineStr">
        <is>
          <t>13th</t>
        </is>
      </c>
      <c r="O6" s="5" t="inlineStr">
        <is>
          <t>14th</t>
        </is>
      </c>
      <c r="P6" s="5" t="inlineStr">
        <is>
          <t>15th</t>
        </is>
      </c>
      <c r="Q6" s="5" t="inlineStr">
        <is>
          <t>16th</t>
        </is>
      </c>
      <c r="R6" s="5" t="inlineStr">
        <is>
          <t>17th</t>
        </is>
      </c>
      <c r="S6" s="5" t="inlineStr">
        <is>
          <t>18th</t>
        </is>
      </c>
      <c r="T6" s="6" t="inlineStr">
        <is>
          <t>19th</t>
        </is>
      </c>
      <c r="U6" s="6" t="inlineStr">
        <is>
          <t>20th</t>
        </is>
      </c>
      <c r="V6" s="6" t="inlineStr">
        <is>
          <t>21st</t>
        </is>
      </c>
      <c r="W6" s="6" t="inlineStr">
        <is>
          <t>22nd</t>
        </is>
      </c>
      <c r="X6" s="6" t="inlineStr">
        <is>
          <t>23rd</t>
        </is>
      </c>
      <c r="Y6" s="6" t="inlineStr">
        <is>
          <t>24th</t>
        </is>
      </c>
      <c r="Z6" s="6" t="inlineStr">
        <is>
          <t>25th</t>
        </is>
      </c>
      <c r="AA6" s="7" t="inlineStr">
        <is>
          <t>26th</t>
        </is>
      </c>
      <c r="AB6" s="7" t="inlineStr">
        <is>
          <t>27th</t>
        </is>
      </c>
      <c r="AC6" s="7" t="inlineStr">
        <is>
          <t>28th</t>
        </is>
      </c>
      <c r="AD6" s="7" t="inlineStr">
        <is>
          <t>29th</t>
        </is>
      </c>
      <c r="AE6" s="7" t="n"/>
      <c r="AF6" s="7" t="n"/>
      <c r="AG6" s="1" t="n"/>
    </row>
    <row r="7" ht="15.75" customHeight="1">
      <c r="A7" s="8" t="inlineStr">
        <is>
          <t>B-HAM CITY COUNCIL-200790-70489166</t>
        </is>
      </c>
      <c r="B7" s="9" t="n"/>
      <c r="D7" s="12" t="n"/>
      <c r="E7" s="9" t="n"/>
      <c r="H7" s="12" t="n"/>
      <c r="I7" s="31" t="n">
        <v>65406.76</v>
      </c>
      <c r="J7" s="31" t="n">
        <v>5041.28</v>
      </c>
      <c r="K7" s="9" t="n"/>
      <c r="L7" s="9" t="n"/>
      <c r="M7" s="12" t="n"/>
      <c r="N7" s="12" t="n"/>
      <c r="P7" t="n">
        <v>5041.28</v>
      </c>
      <c r="W7" s="12" t="n"/>
      <c r="Z7" s="9" t="n"/>
      <c r="AA7" t="n">
        <v>46217</v>
      </c>
      <c r="AB7" s="9" t="n"/>
      <c r="AC7" s="31" t="n">
        <v>60977.04</v>
      </c>
      <c r="AD7" s="16" t="n"/>
      <c r="AE7" s="9" t="n"/>
      <c r="AF7" s="9" t="n"/>
      <c r="AG7" s="13">
        <f>SUM(B7:AE7)</f>
        <v/>
      </c>
    </row>
    <row r="8" ht="15.75" customHeight="1">
      <c r="A8" s="8" t="inlineStr">
        <is>
          <t>Buckingham</t>
        </is>
      </c>
      <c r="B8" s="9" t="n"/>
      <c r="C8" s="9" t="n"/>
      <c r="D8" s="9" t="n"/>
      <c r="E8" s="9" t="n"/>
      <c r="F8" s="9" t="n"/>
      <c r="G8" s="12" t="n"/>
      <c r="H8" s="9" t="n"/>
      <c r="I8" s="26" t="n"/>
      <c r="J8" s="9" t="n"/>
      <c r="K8" s="9" t="n"/>
      <c r="L8" s="9" t="n"/>
      <c r="M8" s="9" t="n"/>
      <c r="N8" s="9" t="n"/>
      <c r="O8" s="12" t="n"/>
      <c r="P8" s="9" t="n"/>
      <c r="Q8" t="n">
        <v>4937.64</v>
      </c>
      <c r="R8" s="9" t="n"/>
      <c r="S8" s="9" t="n"/>
      <c r="T8" s="12" t="inlineStr">
        <is>
          <t>  </t>
        </is>
      </c>
      <c r="U8" s="9" t="n"/>
      <c r="V8" s="9" t="n"/>
      <c r="W8" s="9" t="n"/>
      <c r="X8" s="12" t="n"/>
      <c r="Y8" s="9" t="n"/>
      <c r="Z8" s="9" t="n"/>
      <c r="AA8" s="9" t="n"/>
      <c r="AB8" s="9" t="n"/>
      <c r="AC8" s="26" t="n"/>
      <c r="AD8" s="26" t="n"/>
      <c r="AE8" s="9" t="n"/>
      <c r="AF8" s="9" t="n"/>
      <c r="AG8" s="13">
        <f>SUM(B8:AE8)</f>
        <v/>
      </c>
    </row>
    <row r="9" ht="15.75" customHeight="1">
      <c r="A9" s="8" t="inlineStr">
        <is>
          <t>Sandwell Respite/ Daycare</t>
        </is>
      </c>
      <c r="B9" s="9" t="n"/>
      <c r="C9" s="9" t="n"/>
      <c r="D9" s="9" t="n"/>
      <c r="E9" s="9" t="n"/>
      <c r="F9" s="9" t="n"/>
      <c r="G9" t="n">
        <v>7688.59</v>
      </c>
      <c r="H9" s="9" t="n"/>
      <c r="I9" s="31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26" t="n"/>
      <c r="AD9" s="31" t="n"/>
      <c r="AE9" s="9" t="n"/>
      <c r="AG9" s="13">
        <f>SUM(B9:AE9)</f>
        <v/>
      </c>
    </row>
    <row r="10" ht="15.75" customHeight="1">
      <c r="A10" s="8" t="inlineStr">
        <is>
          <t xml:space="preserve">Wolverhampton Respite Daycare </t>
        </is>
      </c>
      <c r="B10" s="9" t="n"/>
      <c r="C10" s="9" t="n"/>
      <c r="D10" s="9" t="n"/>
      <c r="E10" s="9" t="n"/>
      <c r="F10" t="n">
        <v>11411.12</v>
      </c>
      <c r="G10" s="9" t="n"/>
      <c r="H10" s="9" t="n"/>
      <c r="I10" s="16" t="n">
        <v>6869.82</v>
      </c>
      <c r="J10" s="9" t="n"/>
      <c r="K10" s="9" t="n"/>
      <c r="L10" s="9" t="n"/>
      <c r="M10" s="9" t="n"/>
      <c r="N10" s="9" t="n"/>
      <c r="O10" s="9" t="n"/>
      <c r="P10" s="16" t="n">
        <v>6869.82</v>
      </c>
      <c r="Q10" s="9" t="n"/>
      <c r="R10" s="9" t="n"/>
      <c r="S10" s="9" t="n"/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26" t="n"/>
      <c r="AD10" s="31" t="n">
        <v>6869.82</v>
      </c>
      <c r="AE10" s="10" t="n"/>
      <c r="AG10" s="13">
        <f>SUM(B10:AE10)</f>
        <v/>
      </c>
    </row>
    <row r="11" ht="15.75" customHeight="1">
      <c r="A11" s="8" t="inlineStr">
        <is>
          <t>Walsall Respite/ Daycare</t>
        </is>
      </c>
      <c r="B11" s="9" t="n"/>
      <c r="C11" s="9" t="n"/>
      <c r="D11" s="9" t="n"/>
      <c r="E11" s="9" t="n"/>
      <c r="F11" s="9" t="n"/>
      <c r="G11" s="12" t="n"/>
      <c r="H11" s="9" t="n"/>
      <c r="I11" s="26" t="n"/>
      <c r="J11" s="9" t="n"/>
      <c r="K11" s="9" t="n"/>
      <c r="L11" s="9" t="n"/>
      <c r="M11" s="9" t="n"/>
      <c r="N11" s="26" t="n">
        <v>12856</v>
      </c>
      <c r="O11" s="9" t="n"/>
      <c r="P11" s="12" t="n"/>
      <c r="Q11" s="12" t="n"/>
      <c r="R11" s="9" t="n"/>
      <c r="S11" s="9" t="n"/>
      <c r="T11" s="9" t="n"/>
      <c r="U11" s="9" t="n"/>
      <c r="V11" s="9" t="n"/>
      <c r="W11" s="9" t="n"/>
      <c r="X11" t="n">
        <v>2938.24</v>
      </c>
      <c r="Y11" s="9" t="n"/>
      <c r="Z11" s="9" t="n"/>
      <c r="AA11" s="9" t="n"/>
      <c r="AB11" s="9" t="n"/>
      <c r="AC11" s="26" t="n"/>
      <c r="AD11" s="31" t="n"/>
      <c r="AE11" s="9" t="n"/>
      <c r="AG11" s="13">
        <f>SUM(B11:AE11)</f>
        <v/>
      </c>
    </row>
    <row r="12" ht="18.75" customHeight="1">
      <c r="A12" s="8" t="inlineStr">
        <is>
          <t>Ideal for All Ltd</t>
        </is>
      </c>
      <c r="B12" s="9" t="n"/>
      <c r="C12" s="9" t="n"/>
      <c r="D12" s="9" t="n"/>
      <c r="E12" s="9" t="n"/>
      <c r="G12" s="12" t="n"/>
      <c r="I12" s="31" t="n"/>
      <c r="J12" s="12" t="n"/>
      <c r="K12" s="11" t="n"/>
      <c r="L12" s="12" t="n"/>
      <c r="P12" s="9" t="n"/>
      <c r="Q12" s="31" t="n">
        <v>2516.8</v>
      </c>
      <c r="R12" s="12" t="n"/>
      <c r="S12" s="11" t="n"/>
      <c r="T12" s="12" t="n"/>
      <c r="U12" s="11" t="n"/>
      <c r="V12" s="12" t="n"/>
      <c r="W12" t="n">
        <v>3661.88</v>
      </c>
      <c r="X12" s="9" t="n"/>
      <c r="Y12" s="9" t="n"/>
      <c r="Z12" s="9" t="n"/>
      <c r="AA12" s="9" t="n"/>
      <c r="AB12" s="9" t="n"/>
      <c r="AC12" s="26" t="n"/>
      <c r="AD12" s="26" t="n"/>
      <c r="AE12" s="9" t="n"/>
      <c r="AF12" s="9" t="n"/>
      <c r="AG12" s="13">
        <f>SUM(B12:AE12)</f>
        <v/>
      </c>
    </row>
    <row r="13" ht="15.75" customHeight="1">
      <c r="A13" s="8" t="inlineStr">
        <is>
          <t>KIRKLEES COUNCIL-204312-63046958</t>
        </is>
      </c>
      <c r="B13" s="9" t="n"/>
      <c r="C13" t="n">
        <v>5554.89</v>
      </c>
      <c r="D13" s="9" t="n"/>
      <c r="E13" s="9" t="n"/>
      <c r="F13" s="33" t="n"/>
      <c r="G13" s="9" t="n"/>
      <c r="H13" s="9" t="n"/>
      <c r="I13" s="26" t="n"/>
      <c r="K13" s="12" t="n"/>
      <c r="L13" s="9" t="n"/>
      <c r="N13" t="n">
        <v>5554.89</v>
      </c>
      <c r="O13" s="9" t="n"/>
      <c r="P13" s="9" t="n"/>
      <c r="Q13" s="9" t="n"/>
      <c r="R13" s="9" t="n"/>
      <c r="S13" s="12" t="n"/>
      <c r="T13" s="9" t="n"/>
      <c r="U13" s="9" t="n"/>
      <c r="V13" s="9" t="n"/>
      <c r="W13" s="9" t="n"/>
      <c r="X13" s="9" t="n"/>
      <c r="Y13" s="9" t="n"/>
      <c r="Z13" s="9" t="n"/>
      <c r="AA13" s="9" t="n"/>
      <c r="AB13" t="n">
        <v>5196.51</v>
      </c>
      <c r="AC13" s="26" t="n"/>
      <c r="AD13" s="26" t="n"/>
      <c r="AE13" s="12" t="n"/>
      <c r="AF13" s="12" t="n"/>
      <c r="AG13" s="13">
        <f>SUM(B13:AE13)</f>
        <v/>
      </c>
    </row>
    <row r="14" ht="15.75" customHeight="1">
      <c r="A14" s="8" t="inlineStr">
        <is>
          <t>LBH PAYMENTS BACS-602210-72430192</t>
        </is>
      </c>
      <c r="B14" s="9" t="n"/>
      <c r="C14" s="9" t="n"/>
      <c r="D14" s="9" t="n"/>
      <c r="E14" s="9" t="n"/>
      <c r="F14" s="9" t="n"/>
      <c r="G14" s="9" t="n"/>
      <c r="H14" s="9" t="n"/>
      <c r="I14" s="26" t="n"/>
      <c r="K14" s="9" t="n"/>
      <c r="L14" s="9" t="n"/>
      <c r="O14" s="9" t="n"/>
      <c r="P14" s="12" t="n"/>
      <c r="Q14" s="12" t="n"/>
      <c r="R14" s="9" t="n"/>
      <c r="S14" s="9" t="n"/>
      <c r="U14" s="12" t="n"/>
      <c r="V14" t="n">
        <v>5040</v>
      </c>
      <c r="W14" s="9" t="n"/>
      <c r="X14" s="9" t="n"/>
      <c r="Y14" s="9" t="n"/>
      <c r="Z14" s="9" t="n"/>
      <c r="AA14" s="9" t="n"/>
      <c r="AB14" s="9" t="n"/>
      <c r="AC14" s="26" t="n"/>
      <c r="AD14" s="26" t="n"/>
      <c r="AE14" s="9" t="n"/>
      <c r="AF14" s="9" t="n"/>
      <c r="AG14" s="13">
        <f>SUM(B14:AE14)</f>
        <v/>
      </c>
    </row>
    <row r="15" ht="15.75" customHeight="1">
      <c r="A15" s="8" t="inlineStr">
        <is>
          <t>NHS BIRMINGHAM &amp; S-607080-10017097</t>
        </is>
      </c>
      <c r="B15" s="9" t="n"/>
      <c r="C15" s="9" t="n"/>
      <c r="D15" s="9" t="n"/>
      <c r="E15" s="9" t="n"/>
      <c r="F15" s="12" t="n"/>
      <c r="G15" s="9" t="n"/>
      <c r="H15" s="9" t="n"/>
      <c r="I15" s="31" t="n"/>
      <c r="K15" s="9" t="inlineStr"/>
      <c r="L15" s="9" t="inlineStr"/>
      <c r="O15" s="9" t="inlineStr"/>
      <c r="P15" t="n">
        <v>7121.63</v>
      </c>
      <c r="Q15" s="12" t="n"/>
      <c r="R15" s="12" t="n"/>
      <c r="S15" s="9" t="inlineStr"/>
      <c r="T15" t="n">
        <v>6862.7</v>
      </c>
      <c r="U15" s="12" t="n"/>
      <c r="V15" s="12" t="n"/>
      <c r="W15" s="9" t="inlineStr"/>
      <c r="X15" s="9" t="n"/>
      <c r="Y15" s="9" t="n"/>
      <c r="Z15" s="9" t="n"/>
      <c r="AA15" s="9" t="n"/>
      <c r="AB15" s="9" t="n"/>
      <c r="AC15" s="26" t="n"/>
      <c r="AD15" s="26" t="n"/>
      <c r="AE15" s="9" t="n"/>
      <c r="AF15" s="9" t="n"/>
      <c r="AG15" s="13">
        <f>SUM(B15:AE15)</f>
        <v/>
      </c>
    </row>
    <row r="16" ht="15.75" customHeight="1">
      <c r="A16" s="8" t="inlineStr">
        <is>
          <t>NHS BLACK COUNTRY-607080-10015272</t>
        </is>
      </c>
      <c r="B16" s="9" t="n"/>
      <c r="C16" s="12" t="n"/>
      <c r="D16" s="9" t="n"/>
      <c r="E16" s="12" t="n"/>
      <c r="F16" s="9" t="n"/>
      <c r="G16" s="9" t="n"/>
      <c r="H16" s="9" t="n"/>
      <c r="I16" s="26" t="n"/>
      <c r="J16" s="12" t="n"/>
      <c r="K16" s="9" t="inlineStr"/>
      <c r="L16" s="9" t="inlineStr"/>
      <c r="O16" s="9" t="inlineStr"/>
      <c r="P16" t="n">
        <v>12746.13</v>
      </c>
      <c r="Q16" s="9" t="n"/>
      <c r="R16" s="9" t="inlineStr"/>
      <c r="S16" s="12" t="n"/>
      <c r="T16" s="9" t="inlineStr"/>
      <c r="U16" s="9" t="inlineStr"/>
      <c r="V16" s="9" t="n"/>
      <c r="W16" s="12" t="n"/>
      <c r="X16" s="9" t="n"/>
      <c r="Y16" s="9" t="n"/>
      <c r="Z16" s="9" t="n"/>
      <c r="AA16" s="9" t="n"/>
      <c r="AB16" t="n">
        <v>7804.11</v>
      </c>
      <c r="AC16" s="26" t="n"/>
      <c r="AD16" s="26" t="n"/>
      <c r="AE16" s="9" t="n"/>
      <c r="AF16" s="9" t="n"/>
      <c r="AG16" s="13">
        <f>SUM(B16:AE16)</f>
        <v/>
      </c>
    </row>
    <row r="17" ht="15.75" customHeight="1">
      <c r="A17" s="14" t="inlineStr">
        <is>
          <t>SANDWELL MBC  BEN-601539-69624151</t>
        </is>
      </c>
      <c r="B17" s="9" t="n"/>
      <c r="C17" s="9" t="n"/>
      <c r="D17" s="9" t="n"/>
      <c r="E17" s="9" t="n"/>
      <c r="F17" t="n">
        <v>2950.96</v>
      </c>
      <c r="G17" s="9" t="n"/>
      <c r="H17" s="9" t="n"/>
      <c r="I17" s="26" t="n"/>
      <c r="J17" s="9" t="n"/>
      <c r="K17" s="9" t="n"/>
      <c r="L17" s="9" t="n"/>
      <c r="O17" s="9" t="n"/>
      <c r="P17" s="9" t="n"/>
      <c r="Q17" s="9" t="n"/>
      <c r="R17" s="9" t="n"/>
      <c r="S17" s="9" t="n"/>
      <c r="T17" s="9" t="n"/>
      <c r="U17" s="9" t="n"/>
      <c r="V17" s="9" t="n"/>
      <c r="W17" s="9" t="n"/>
      <c r="X17" s="9" t="n"/>
      <c r="Y17" s="12" t="n"/>
      <c r="Z17" s="9" t="n"/>
      <c r="AA17" s="9" t="n"/>
      <c r="AB17" s="9" t="n"/>
      <c r="AC17" s="26" t="n"/>
      <c r="AD17" s="26" t="n"/>
      <c r="AE17" s="9" t="n"/>
      <c r="AF17" s="9" t="n"/>
      <c r="AG17" s="13">
        <f>SUM(B17:AE17)</f>
        <v/>
      </c>
    </row>
    <row r="18" ht="15.75" customHeight="1">
      <c r="A18" s="14" t="inlineStr">
        <is>
          <t>SANDWELL MBC-601539-69624135</t>
        </is>
      </c>
      <c r="B18" s="9" t="n"/>
      <c r="C18" s="9" t="n"/>
      <c r="D18" s="9" t="n"/>
      <c r="E18" s="9" t="n"/>
      <c r="F18" t="n">
        <v>108090.88</v>
      </c>
      <c r="G18" s="12" t="n"/>
      <c r="H18" s="9" t="n"/>
      <c r="I18" s="26" t="n"/>
      <c r="J18" s="9" t="n"/>
      <c r="K18" s="9" t="n"/>
      <c r="L18" s="9" t="n"/>
      <c r="O18" s="9" t="n"/>
      <c r="P18" s="9" t="n"/>
      <c r="Q18" s="9" t="n"/>
      <c r="R18" s="9" t="n"/>
      <c r="S18" s="9" t="n"/>
      <c r="T18" s="26" t="n">
        <v>100594.4</v>
      </c>
      <c r="U18" s="12" t="n"/>
      <c r="V18" s="9" t="n"/>
      <c r="W18" s="9" t="n"/>
      <c r="X18" s="9" t="n"/>
      <c r="Y18" s="9" t="n"/>
      <c r="Z18" s="9" t="n"/>
      <c r="AA18" s="9" t="n"/>
      <c r="AB18" s="9" t="n"/>
      <c r="AC18" s="26" t="n"/>
      <c r="AD18" s="26" t="n"/>
      <c r="AE18" s="9" t="n"/>
      <c r="AF18" s="9" t="n"/>
      <c r="AG18" s="13">
        <f>SUM(B18:AE18)</f>
        <v/>
      </c>
    </row>
    <row r="19" ht="15.75" customHeight="1">
      <c r="A19" s="15" t="inlineStr">
        <is>
          <t>SOLIHULL MBC EXP.-200771-00561525</t>
        </is>
      </c>
      <c r="B19" s="9" t="n"/>
      <c r="C19" s="9" t="n"/>
      <c r="D19" s="9" t="n"/>
      <c r="E19" s="9" t="n"/>
      <c r="G19" s="9" t="n"/>
      <c r="H19" s="9" t="n"/>
      <c r="I19" s="26" t="n"/>
      <c r="J19" s="9" t="n"/>
      <c r="K19" s="9" t="n"/>
      <c r="L19" s="9" t="n"/>
      <c r="M19" s="9" t="n"/>
      <c r="N19" s="9" t="n"/>
      <c r="O19" s="9" t="n"/>
      <c r="P19" s="9" t="n"/>
      <c r="Q19" s="9" t="n"/>
      <c r="R19" s="12" t="n"/>
      <c r="S19" s="9" t="n"/>
      <c r="T19" s="9" t="n"/>
      <c r="U19" s="9" t="n"/>
      <c r="V19" s="9" t="n"/>
      <c r="W19" s="9" t="n"/>
      <c r="X19" s="9" t="n"/>
      <c r="Y19" s="9" t="n"/>
      <c r="Z19" s="9" t="n"/>
      <c r="AA19" t="n">
        <v>30000.6</v>
      </c>
      <c r="AB19" s="12" t="n"/>
      <c r="AC19" s="26" t="n"/>
      <c r="AD19" s="26" t="n"/>
      <c r="AE19" s="9" t="n"/>
      <c r="AF19" s="9" t="n"/>
      <c r="AG19" s="13">
        <f>SUM(B19:AE19)</f>
        <v/>
      </c>
    </row>
    <row r="20" ht="15.75" customHeight="1">
      <c r="A20" s="15" t="inlineStr">
        <is>
          <t>WALSALL MBC BARC-209073-10731692</t>
        </is>
      </c>
      <c r="B20" s="9" t="n"/>
      <c r="C20" s="9" t="n"/>
      <c r="D20" s="9" t="n"/>
      <c r="E20" s="9" t="n"/>
      <c r="F20" s="9" t="n"/>
      <c r="G20" s="12" t="n"/>
      <c r="H20" s="9" t="n"/>
      <c r="I20" s="26" t="n"/>
      <c r="J20" s="9" t="n"/>
      <c r="K20" s="9" t="n"/>
      <c r="L20" s="9" t="n"/>
      <c r="M20" s="12" t="n"/>
      <c r="N20">
        <f>180944.75-N11</f>
        <v/>
      </c>
      <c r="O20" s="9" t="n"/>
      <c r="P20" s="9" t="n"/>
      <c r="Q20" s="9" t="n"/>
      <c r="R20" s="9" t="n"/>
      <c r="S20" s="9" t="n"/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26" t="n"/>
      <c r="AD20" s="26" t="n"/>
      <c r="AE20" s="9" t="n"/>
      <c r="AF20" s="9" t="n"/>
      <c r="AG20" s="13">
        <f>SUM(B20:AE20)</f>
        <v/>
      </c>
    </row>
    <row r="21" ht="15.75" customHeight="1">
      <c r="A21" s="15" t="inlineStr">
        <is>
          <t>WOLVERHAMPTON CC-560069-44470320</t>
        </is>
      </c>
      <c r="B21" t="n">
        <v>111380.82</v>
      </c>
      <c r="C21" s="9" t="n"/>
      <c r="D21" s="9" t="n"/>
      <c r="E21" s="9" t="n"/>
      <c r="G21" s="9" t="n"/>
      <c r="H21" s="9" t="n"/>
      <c r="I21" s="26" t="n">
        <v>104127</v>
      </c>
      <c r="J21" s="9" t="n"/>
      <c r="K21" s="9" t="n"/>
      <c r="L21" s="9" t="n"/>
      <c r="M21" s="9" t="n"/>
      <c r="N21" s="9" t="n"/>
      <c r="O21" s="9" t="n"/>
      <c r="P21" s="16">
        <f>110036.82-P10</f>
        <v/>
      </c>
      <c r="Q21" s="9" t="n"/>
      <c r="R21" s="9" t="n"/>
      <c r="S21" s="9" t="n"/>
      <c r="T21" s="9" t="n"/>
      <c r="U21" s="9" t="n"/>
      <c r="V21" s="9" t="n"/>
      <c r="W21" t="n">
        <v>122080.82</v>
      </c>
      <c r="X21" s="9" t="n"/>
      <c r="Y21" s="9" t="n"/>
      <c r="Z21" s="9" t="n"/>
      <c r="AA21" s="9" t="n"/>
      <c r="AB21" s="9" t="n"/>
      <c r="AC21" s="26" t="n"/>
      <c r="AD21" s="26">
        <f>111196.32-AD10</f>
        <v/>
      </c>
      <c r="AE21" s="9" t="n"/>
      <c r="AF21" s="9" t="n"/>
      <c r="AG21" s="13">
        <f>SUM(B21:AE21)</f>
        <v/>
      </c>
    </row>
    <row r="22" ht="15.75" customHeight="1">
      <c r="A22" s="15" t="inlineStr">
        <is>
          <t>TLC</t>
        </is>
      </c>
      <c r="B22" s="9" t="n"/>
      <c r="C22" t="n">
        <v>1013.7</v>
      </c>
      <c r="D22" s="12" t="n"/>
      <c r="F22" s="9" t="n"/>
      <c r="G22" s="9" t="n"/>
      <c r="H22" s="9" t="n"/>
      <c r="I22" s="31" t="n"/>
      <c r="J22" s="9" t="n"/>
      <c r="K22" s="9" t="n"/>
      <c r="M22" s="12" t="n"/>
      <c r="O22" t="n">
        <v>8491.1</v>
      </c>
      <c r="P22" s="31" t="n">
        <v>1106.35</v>
      </c>
      <c r="Q22" s="9" t="n"/>
      <c r="R22" s="9" t="n"/>
      <c r="S22" s="12" t="n"/>
      <c r="T22" s="9" t="n"/>
      <c r="U22" s="9" t="n"/>
      <c r="V22" s="9" t="n"/>
      <c r="W22" s="9" t="n"/>
      <c r="X22" s="9" t="n"/>
      <c r="Y22" s="9" t="n"/>
      <c r="Z22" s="9" t="n"/>
      <c r="AA22" s="9" t="n"/>
      <c r="AB22" s="9" t="n"/>
      <c r="AC22" s="31" t="n"/>
      <c r="AD22" s="26" t="n"/>
      <c r="AE22" s="9" t="n"/>
      <c r="AF22" s="9" t="n"/>
      <c r="AG22" s="13">
        <f>SUM(B22:AE22)</f>
        <v/>
      </c>
    </row>
    <row r="23" ht="15.75" customHeight="1">
      <c r="A23" s="15" t="inlineStr">
        <is>
          <t>HB SC</t>
        </is>
      </c>
      <c r="B23" s="16" t="n">
        <v>4599.940000000002</v>
      </c>
      <c r="C23" s="16" t="n">
        <v>8279.75</v>
      </c>
      <c r="D23" s="16" t="n">
        <v>0</v>
      </c>
      <c r="E23" s="16" t="n">
        <v>992.72</v>
      </c>
      <c r="F23" s="16" t="n">
        <v>7029.980000000002</v>
      </c>
      <c r="G23" s="16" t="n">
        <v>2360.199999999999</v>
      </c>
      <c r="H23" s="16" t="n">
        <v>1260.19</v>
      </c>
      <c r="I23" s="16" t="n">
        <v>1963.409999999982</v>
      </c>
      <c r="J23" s="16" t="n">
        <v>4132.339999999999</v>
      </c>
      <c r="K23" s="16" t="n">
        <v>0</v>
      </c>
      <c r="L23" s="16" t="n">
        <v>207.69</v>
      </c>
      <c r="M23" s="16" t="n">
        <v>4164.809999999999</v>
      </c>
      <c r="N23" s="16" t="n">
        <v>3633.669999999997</v>
      </c>
      <c r="O23" s="16" t="n">
        <v>2775.450000000001</v>
      </c>
      <c r="P23" s="16" t="n">
        <v>4391.379999999991</v>
      </c>
      <c r="Q23" s="16" t="n">
        <v>6264.479999999999</v>
      </c>
      <c r="R23" s="16" t="n">
        <v>281.88</v>
      </c>
      <c r="S23" s="16" t="n">
        <v>681.88</v>
      </c>
      <c r="T23" s="16">
        <f>2885.14+4152.86</f>
        <v/>
      </c>
      <c r="U23" s="16" t="n">
        <v>5534</v>
      </c>
      <c r="V23" s="16" t="n">
        <v>1338.089999999999</v>
      </c>
      <c r="W23" s="16" t="n">
        <v>9798.299999999992</v>
      </c>
      <c r="X23" s="16" t="n">
        <v>6559.02</v>
      </c>
      <c r="Y23" s="16" t="n">
        <v>430.56</v>
      </c>
      <c r="Z23" s="16" t="n">
        <v>345</v>
      </c>
      <c r="AA23" s="16" t="n">
        <v>13096.32999999999</v>
      </c>
      <c r="AB23" s="16" t="n">
        <v>6130</v>
      </c>
      <c r="AC23" s="16" t="n">
        <v>3667.459999999999</v>
      </c>
      <c r="AD23" s="16" t="n">
        <v>5165.109999999998</v>
      </c>
      <c r="AE23" s="16" t="n"/>
      <c r="AF23" s="16" t="n"/>
      <c r="AG23" s="13">
        <f>SUM(B23:AE23)</f>
        <v/>
      </c>
      <c r="AH23">
        <f>AG23/29</f>
        <v/>
      </c>
    </row>
    <row r="24" ht="16.5" customHeight="1" thickBot="1">
      <c r="A24" s="66" t="inlineStr">
        <is>
          <t>Total</t>
        </is>
      </c>
      <c r="B24" s="67">
        <f>SUM(B7:B23)</f>
        <v/>
      </c>
      <c r="C24" s="67">
        <f>SUM(C7:C23)</f>
        <v/>
      </c>
      <c r="D24" s="67">
        <f>SUM(D7:D23)</f>
        <v/>
      </c>
      <c r="E24" s="67">
        <f>SUM(E7:E23)</f>
        <v/>
      </c>
      <c r="F24" s="67">
        <f>SUM(F7:F23)</f>
        <v/>
      </c>
      <c r="G24" s="67">
        <f>SUM(G7:G23)</f>
        <v/>
      </c>
      <c r="H24" s="67">
        <f>SUM(H7:H23)</f>
        <v/>
      </c>
      <c r="I24" s="67">
        <f>SUM(I7:I23)</f>
        <v/>
      </c>
      <c r="J24" s="67">
        <f>SUM(J7:J23)</f>
        <v/>
      </c>
      <c r="K24" s="67">
        <f>SUM(K7:K23)</f>
        <v/>
      </c>
      <c r="L24" s="67">
        <f>SUM(L7:L23)</f>
        <v/>
      </c>
      <c r="M24" s="67">
        <f>SUM(M7:M23)</f>
        <v/>
      </c>
      <c r="N24" s="67">
        <f>SUM(N7:N23)</f>
        <v/>
      </c>
      <c r="O24" s="67">
        <f>SUM(O7:O23)</f>
        <v/>
      </c>
      <c r="P24" s="67">
        <f>SUM(P7:P23)</f>
        <v/>
      </c>
      <c r="Q24" s="67">
        <f>SUM(Q7:Q23)</f>
        <v/>
      </c>
      <c r="R24" s="67">
        <f>SUM(R7:R23)</f>
        <v/>
      </c>
      <c r="S24" s="67">
        <f>SUM(S7:S23)</f>
        <v/>
      </c>
      <c r="T24" s="67">
        <f>SUM(T7:T23)</f>
        <v/>
      </c>
      <c r="U24" s="67">
        <f>SUM(U7:U23)</f>
        <v/>
      </c>
      <c r="V24" s="67">
        <f>SUM(V7:V23)</f>
        <v/>
      </c>
      <c r="W24" s="67">
        <f>SUM(W7:W23)</f>
        <v/>
      </c>
      <c r="X24" s="67">
        <f>SUM(X7:X23)</f>
        <v/>
      </c>
      <c r="Y24" s="67">
        <f>SUM(Y7:Y23)</f>
        <v/>
      </c>
      <c r="Z24" s="67">
        <f>SUM(Z7:Z23)</f>
        <v/>
      </c>
      <c r="AA24" s="67">
        <f>SUM(AA7:AA23)</f>
        <v/>
      </c>
      <c r="AB24" s="67">
        <f>SUM(AB7:AB23)</f>
        <v/>
      </c>
      <c r="AC24" s="67">
        <f>SUM(AC7:AC23)</f>
        <v/>
      </c>
      <c r="AD24" s="67">
        <f>SUM(AD7:AD23)</f>
        <v/>
      </c>
      <c r="AE24" s="67" t="n"/>
      <c r="AF24" s="67" t="n"/>
      <c r="AG24" s="22">
        <f>SUM(AG7:AG23)</f>
        <v/>
      </c>
    </row>
    <row r="25" ht="17.25" customHeight="1" thickBot="1" thickTop="1">
      <c r="A25" s="68" t="inlineStr">
        <is>
          <t>Money Out</t>
        </is>
      </c>
      <c r="B25" s="69" t="n">
        <v>-64098.7</v>
      </c>
      <c r="C25" s="69" t="n">
        <v>-165164.71</v>
      </c>
      <c r="D25" s="69" t="n">
        <v>0</v>
      </c>
      <c r="E25" s="69" t="n">
        <v>0</v>
      </c>
      <c r="F25" s="69" t="n">
        <v>-9161.460000000006</v>
      </c>
      <c r="G25" s="69" t="n">
        <v>-19495.51</v>
      </c>
      <c r="H25" s="69" t="n">
        <v>-12332.41</v>
      </c>
      <c r="I25" s="69">
        <f>-144433.42+82094.99</f>
        <v/>
      </c>
      <c r="J25" s="69" t="n">
        <v>-4225.23</v>
      </c>
      <c r="K25" s="69" t="n">
        <v>0</v>
      </c>
      <c r="L25" s="69" t="n">
        <v>0</v>
      </c>
      <c r="M25" s="69" t="n">
        <v>-14807.96</v>
      </c>
      <c r="N25" s="69" t="n">
        <v>-186459.98</v>
      </c>
      <c r="O25" s="69" t="n">
        <v>-15726.76</v>
      </c>
      <c r="P25" s="69" t="n">
        <v>-45344.24999999999</v>
      </c>
      <c r="Q25" s="69" t="n">
        <v>-10284.88</v>
      </c>
      <c r="R25" s="69" t="n">
        <v>0</v>
      </c>
      <c r="S25" s="69" t="n">
        <v>0</v>
      </c>
      <c r="T25" s="69" t="n">
        <v>-369.789999999979</v>
      </c>
      <c r="U25" s="69" t="n">
        <v>-18068.96</v>
      </c>
      <c r="V25" s="69" t="n">
        <v>-6453.900000000001</v>
      </c>
      <c r="W25" s="69" t="n">
        <v>-123290.14</v>
      </c>
      <c r="X25" s="69" t="n">
        <v>-29988.65</v>
      </c>
      <c r="Y25" s="69" t="n">
        <v>0</v>
      </c>
      <c r="Z25" s="69" t="n">
        <v>0</v>
      </c>
      <c r="AA25" s="69" t="n">
        <v>-60383.06</v>
      </c>
      <c r="AB25" s="69" t="n">
        <v>-11189.27</v>
      </c>
      <c r="AC25" s="69" t="n">
        <v>-1955.9</v>
      </c>
      <c r="AD25" s="69" t="n">
        <v>-688090.08</v>
      </c>
      <c r="AE25" s="69" t="n"/>
      <c r="AF25" s="69" t="n"/>
      <c r="AG25" s="22">
        <f>SUM(AG8:AG24)</f>
        <v/>
      </c>
    </row>
    <row r="26" ht="15.75" customHeight="1" thickTop="1"/>
    <row r="27">
      <c r="A27" s="51" t="inlineStr">
        <is>
          <t>Chasing</t>
        </is>
      </c>
    </row>
    <row r="28">
      <c r="A28" t="inlineStr">
        <is>
          <t>Birmingham</t>
        </is>
      </c>
      <c r="B28" t="n">
        <v>11413.69</v>
      </c>
    </row>
    <row r="29">
      <c r="A29" t="inlineStr">
        <is>
          <t>Nhs Birmingham</t>
        </is>
      </c>
      <c r="B29" t="n">
        <v>0</v>
      </c>
    </row>
    <row r="30">
      <c r="A30" t="inlineStr">
        <is>
          <t>NHS Black country Foundation</t>
        </is>
      </c>
      <c r="B30" t="n">
        <v>17856.61</v>
      </c>
    </row>
    <row r="31">
      <c r="A31" t="inlineStr">
        <is>
          <t>Nhs black country</t>
        </is>
      </c>
      <c r="B31" t="n">
        <v>0</v>
      </c>
    </row>
    <row r="32">
      <c r="A32" t="inlineStr">
        <is>
          <t>Sandwell</t>
        </is>
      </c>
      <c r="B32" t="n">
        <v>40523.6</v>
      </c>
      <c r="U32" t="inlineStr">
        <is>
          <t>   </t>
        </is>
      </c>
    </row>
    <row r="33">
      <c r="A33" s="52" t="inlineStr">
        <is>
          <t xml:space="preserve">Walsall </t>
        </is>
      </c>
      <c r="B33" t="n">
        <v>3921.16</v>
      </c>
    </row>
    <row r="34">
      <c r="A34" t="inlineStr">
        <is>
          <t>Wolverhampton</t>
        </is>
      </c>
      <c r="B34" t="n">
        <v>12715.2</v>
      </c>
    </row>
    <row r="35" ht="15.75" customHeight="1" thickBot="1">
      <c r="A35" s="50" t="inlineStr">
        <is>
          <t>Total</t>
        </is>
      </c>
      <c r="B35" s="29">
        <f>SUM(B28:B34)</f>
        <v/>
      </c>
    </row>
    <row r="36" ht="15.75" customHeight="1" thickTop="1"/>
  </sheetData>
  <pageMargins left="0.7" right="0.7" top="0.75" bottom="0.75" header="0.3" footer="0.3"/>
  <pageSetup orientation="landscape" paperSize="8" scale="46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/>
  </sheetPr>
  <dimension ref="A1:AG60"/>
  <sheetViews>
    <sheetView zoomScale="70" zoomScaleNormal="70" workbookViewId="0">
      <pane xSplit="1" topLeftCell="G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2.5703125" bestFit="1" customWidth="1" min="2" max="2"/>
    <col width="13.42578125" bestFit="1" customWidth="1" min="3" max="3"/>
    <col width="10.7109375" bestFit="1" customWidth="1" min="4" max="4"/>
    <col width="11.140625" bestFit="1" customWidth="1" min="5" max="5"/>
    <col width="12.5703125" bestFit="1" customWidth="1" min="6" max="6"/>
    <col width="13.140625" bestFit="1" customWidth="1" min="7" max="8"/>
    <col width="12.5703125" bestFit="1" customWidth="1" min="9" max="13"/>
    <col width="13.140625" bestFit="1" customWidth="1" min="14" max="15"/>
    <col width="12.5703125" bestFit="1" customWidth="1" min="16" max="20"/>
    <col width="13.140625" bestFit="1" customWidth="1" min="21" max="22"/>
    <col width="12.5703125" bestFit="1" customWidth="1" min="23" max="27"/>
    <col width="13.140625" bestFit="1" customWidth="1" min="28" max="29"/>
    <col width="13.5703125" bestFit="1" customWidth="1" min="30" max="31"/>
    <col width="11.7109375" bestFit="1" customWidth="1" min="32" max="32"/>
    <col width="13.5703125" bestFit="1" customWidth="1" min="33" max="33"/>
  </cols>
  <sheetData>
    <row r="1">
      <c r="A1" s="1" t="n"/>
      <c r="B1" s="2" t="inlineStr">
        <is>
          <t>March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Friday</t>
        </is>
      </c>
      <c r="C2" s="2" t="inlineStr">
        <is>
          <t>Saturday</t>
        </is>
      </c>
      <c r="D2" s="2" t="inlineStr">
        <is>
          <t>Sunday</t>
        </is>
      </c>
      <c r="E2" s="2" t="inlineStr">
        <is>
          <t>Monday</t>
        </is>
      </c>
      <c r="F2" s="2" t="inlineStr">
        <is>
          <t>Tuesday</t>
        </is>
      </c>
      <c r="G2" s="2" t="inlineStr">
        <is>
          <t>Wednesday</t>
        </is>
      </c>
      <c r="H2" s="2" t="inlineStr">
        <is>
          <t>Thursday</t>
        </is>
      </c>
      <c r="I2" s="2" t="inlineStr">
        <is>
          <t>Friday</t>
        </is>
      </c>
      <c r="J2" s="2" t="inlineStr">
        <is>
          <t>Saturday</t>
        </is>
      </c>
      <c r="K2" s="2" t="inlineStr">
        <is>
          <t>Sunday</t>
        </is>
      </c>
      <c r="L2" s="2" t="inlineStr">
        <is>
          <t>Monday</t>
        </is>
      </c>
      <c r="M2" s="2" t="inlineStr">
        <is>
          <t>Tuesday</t>
        </is>
      </c>
      <c r="N2" s="2" t="inlineStr">
        <is>
          <t>Wednesday</t>
        </is>
      </c>
      <c r="O2" s="2" t="inlineStr">
        <is>
          <t>Thursday</t>
        </is>
      </c>
      <c r="P2" s="2" t="inlineStr">
        <is>
          <t>Friday</t>
        </is>
      </c>
      <c r="Q2" s="2" t="inlineStr">
        <is>
          <t>Saturday</t>
        </is>
      </c>
      <c r="R2" s="2" t="inlineStr">
        <is>
          <t>Sunday</t>
        </is>
      </c>
      <c r="S2" s="2" t="inlineStr">
        <is>
          <t>Monday</t>
        </is>
      </c>
      <c r="T2" s="2" t="inlineStr">
        <is>
          <t>Tuesday</t>
        </is>
      </c>
      <c r="U2" s="2" t="inlineStr">
        <is>
          <t>Wednesday</t>
        </is>
      </c>
      <c r="V2" s="2" t="inlineStr">
        <is>
          <t>Thursday</t>
        </is>
      </c>
      <c r="W2" s="2" t="inlineStr">
        <is>
          <t>Friday</t>
        </is>
      </c>
      <c r="X2" s="2" t="inlineStr">
        <is>
          <t>Saturday</t>
        </is>
      </c>
      <c r="Y2" s="2" t="inlineStr">
        <is>
          <t>Sunday</t>
        </is>
      </c>
      <c r="Z2" s="2" t="inlineStr">
        <is>
          <t>Monday</t>
        </is>
      </c>
      <c r="AA2" s="2" t="inlineStr">
        <is>
          <t>Tuesday</t>
        </is>
      </c>
      <c r="AB2" s="2" t="inlineStr">
        <is>
          <t>Wednesday</t>
        </is>
      </c>
      <c r="AC2" s="2" t="inlineStr">
        <is>
          <t>Thursday</t>
        </is>
      </c>
      <c r="AD2" s="2" t="inlineStr">
        <is>
          <t>Friday</t>
        </is>
      </c>
      <c r="AE2" s="2" t="inlineStr">
        <is>
          <t>Saturday</t>
        </is>
      </c>
      <c r="AF2" s="2" t="inlineStr">
        <is>
          <t>Sunday</t>
        </is>
      </c>
      <c r="AG2" s="2" t="inlineStr">
        <is>
          <t>Total</t>
        </is>
      </c>
    </row>
    <row r="3">
      <c r="A3" s="1" t="n"/>
      <c r="B3" s="7" t="inlineStr">
        <is>
          <t>1st</t>
        </is>
      </c>
      <c r="C3" s="7" t="inlineStr">
        <is>
          <t>2nd</t>
        </is>
      </c>
      <c r="D3" s="7" t="inlineStr">
        <is>
          <t>3rd</t>
        </is>
      </c>
      <c r="E3" s="4" t="inlineStr">
        <is>
          <t>4th</t>
        </is>
      </c>
      <c r="F3" s="4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5" t="inlineStr">
        <is>
          <t>11th</t>
        </is>
      </c>
      <c r="M3" s="5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6" t="inlineStr">
        <is>
          <t>18th</t>
        </is>
      </c>
      <c r="T3" s="6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7" t="inlineStr">
        <is>
          <t>25th</t>
        </is>
      </c>
      <c r="AA3" s="7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9" t="n"/>
      <c r="E4" t="n">
        <v>5728.4</v>
      </c>
      <c r="F4" s="12" t="n"/>
      <c r="G4" s="12" t="n"/>
      <c r="H4" s="12" t="n"/>
      <c r="I4" s="9" t="n"/>
      <c r="J4" s="9" t="n"/>
      <c r="K4" s="12" t="n"/>
      <c r="L4" s="12" t="n"/>
      <c r="M4" s="9" t="n"/>
      <c r="N4" s="12" t="n"/>
      <c r="O4" s="12" t="n">
        <v>7335.99</v>
      </c>
      <c r="Q4" s="9" t="n"/>
      <c r="S4" s="12">
        <f>65406.76-60977.04</f>
        <v/>
      </c>
      <c r="T4" s="10" t="n"/>
      <c r="U4" s="11" t="n"/>
      <c r="V4" s="9" t="n"/>
      <c r="W4" s="12" t="n"/>
      <c r="X4" s="10" t="n"/>
      <c r="Y4" s="11" t="n"/>
      <c r="Z4" s="9" t="n"/>
      <c r="AA4" s="12" t="n"/>
      <c r="AB4" s="9" t="n"/>
      <c r="AC4" s="9" t="n"/>
      <c r="AD4" s="31" t="n">
        <v>65406.76</v>
      </c>
      <c r="AE4" s="9" t="n"/>
      <c r="AF4" s="9" t="n"/>
      <c r="AG4" s="13">
        <f>SUM(B4:AF4)</f>
        <v/>
      </c>
    </row>
    <row r="5" ht="18.75" customHeight="1">
      <c r="A5" s="8" t="inlineStr">
        <is>
          <t>Accord/Age uk</t>
        </is>
      </c>
      <c r="B5" s="9" t="n"/>
      <c r="C5" s="9" t="n"/>
      <c r="D5" s="9" t="n"/>
      <c r="E5" s="12" t="n"/>
      <c r="F5" s="12" t="n"/>
      <c r="G5" s="12" t="n"/>
      <c r="H5" s="12" t="n"/>
      <c r="I5" s="12" t="n"/>
      <c r="J5" s="12" t="n"/>
      <c r="K5" s="9" t="n"/>
      <c r="L5" s="11" t="n"/>
      <c r="M5" s="9" t="n"/>
      <c r="N5" t="n">
        <v>4937.64</v>
      </c>
      <c r="O5" s="9" t="n"/>
      <c r="P5" s="12" t="n"/>
      <c r="Q5" s="12" t="n"/>
      <c r="R5" s="12" t="n"/>
      <c r="S5" s="12" t="n"/>
      <c r="T5" s="12" t="n"/>
      <c r="U5" s="9" t="n"/>
      <c r="V5" s="12" t="n"/>
      <c r="W5" s="11" t="n"/>
      <c r="X5" s="9" t="n"/>
      <c r="Y5" s="9" t="n"/>
      <c r="Z5" s="9" t="n"/>
      <c r="AA5" s="12" t="n"/>
      <c r="AB5" s="9" t="n"/>
      <c r="AC5" s="9" t="n"/>
      <c r="AD5" s="32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9" t="n"/>
      <c r="C6" s="9" t="n"/>
      <c r="D6" s="9" t="n"/>
      <c r="E6" s="12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12" t="n">
        <v>4937.64</v>
      </c>
      <c r="X6" s="9" t="n"/>
      <c r="Y6" s="9" t="n"/>
      <c r="Z6" s="9" t="n"/>
      <c r="AA6" s="9" t="n"/>
      <c r="AB6" s="9" t="n"/>
      <c r="AC6" s="9" t="n"/>
      <c r="AD6" s="32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>
        <v>13487</v>
      </c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E7" s="9" t="n"/>
      <c r="AF7" s="9">
        <f>20000-F7</f>
        <v/>
      </c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t="n">
        <v>11805.31</v>
      </c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E8" s="9" t="n"/>
      <c r="AF8" s="9" t="n">
        <v>30000</v>
      </c>
      <c r="AG8" s="13">
        <f>SUM(B8:AF8)</f>
        <v/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E9" s="9" t="n"/>
      <c r="AF9" s="9" t="n">
        <v>15000</v>
      </c>
      <c r="AG9" s="13">
        <f>SUM(B9:AF9)</f>
        <v/>
      </c>
    </row>
    <row r="10" ht="18.75" customHeight="1">
      <c r="A10" s="8" t="inlineStr">
        <is>
          <t>Ideal for All Ltd</t>
        </is>
      </c>
      <c r="B10" s="9" t="n"/>
      <c r="C10" s="9" t="n"/>
      <c r="D10" s="9" t="n"/>
      <c r="F10" s="12" t="n"/>
      <c r="G10" s="12" t="n"/>
      <c r="H10" s="12" t="n">
        <v>2536.8</v>
      </c>
      <c r="I10" s="12" t="n"/>
      <c r="J10" s="11" t="n"/>
      <c r="K10" s="12" t="n"/>
      <c r="L10" s="11" t="n"/>
      <c r="M10" s="12" t="n"/>
      <c r="N10" s="12" t="n"/>
      <c r="O10" s="11" t="n">
        <v>3661.88</v>
      </c>
      <c r="P10" s="12" t="n"/>
      <c r="Q10" s="9" t="n"/>
      <c r="R10" s="12" t="n"/>
      <c r="S10" s="11" t="n"/>
      <c r="T10" s="12" t="n"/>
      <c r="U10" s="11" t="n"/>
      <c r="V10" s="12" t="n"/>
      <c r="W10" s="9" t="n"/>
      <c r="X10" s="9" t="n"/>
      <c r="Y10" s="9" t="n"/>
      <c r="Z10" s="9" t="n"/>
      <c r="AA10" s="9" t="n"/>
      <c r="AB10" s="9" t="n"/>
      <c r="AC10" s="9" t="n"/>
      <c r="AD10" s="32" t="n"/>
      <c r="AE10" s="9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C11" s="9" t="n"/>
      <c r="D11" s="9" t="n"/>
      <c r="E11" s="33" t="n"/>
      <c r="F11" s="9" t="n"/>
      <c r="G11" s="9" t="n"/>
      <c r="H11" s="9" t="n"/>
      <c r="I11" s="12" t="n">
        <v>5554.89</v>
      </c>
      <c r="J11" s="12" t="n"/>
      <c r="K11" s="9" t="n"/>
      <c r="L11" s="9" t="n"/>
      <c r="M11" s="12" t="n"/>
      <c r="N11" s="9" t="n"/>
      <c r="O11" s="9" t="n"/>
      <c r="P11" s="12" t="n"/>
      <c r="Q11" s="9" t="n"/>
      <c r="R11" s="9" t="n"/>
      <c r="S11" s="12" t="n"/>
      <c r="T11" s="9" t="n"/>
      <c r="U11" s="9" t="n"/>
      <c r="V11" s="9" t="n"/>
      <c r="W11" s="9" t="n"/>
      <c r="X11" s="9" t="n"/>
      <c r="Y11" s="9" t="n"/>
      <c r="Z11" s="9" t="n"/>
      <c r="AA11" t="n">
        <v>5196.51</v>
      </c>
      <c r="AB11" s="9" t="n"/>
      <c r="AC11" s="9" t="n"/>
      <c r="AD11" s="32" t="n"/>
      <c r="AE11" s="12" t="n"/>
      <c r="AF11" s="12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9" t="n"/>
      <c r="C12" s="9" t="n"/>
      <c r="D12" s="9" t="n"/>
      <c r="E12" s="9" t="n"/>
      <c r="F12" s="9" t="n"/>
      <c r="H12" s="9" t="n"/>
      <c r="I12" s="9" t="n"/>
      <c r="J12" s="9" t="n"/>
      <c r="K12" s="9" t="n"/>
      <c r="L12" s="9" t="n"/>
      <c r="M12" s="9" t="n"/>
      <c r="N12" s="9" t="n"/>
      <c r="O12" s="9" t="n"/>
      <c r="P12" s="12" t="n"/>
      <c r="Q12" s="9" t="n"/>
      <c r="R12" s="9" t="n"/>
      <c r="S12" s="9" t="n"/>
      <c r="T12" s="9" t="n"/>
      <c r="U12" s="9" t="n"/>
      <c r="V12" s="9" t="n">
        <v>5040</v>
      </c>
      <c r="W12" s="9" t="n"/>
      <c r="X12" s="9" t="n"/>
      <c r="Y12" s="9" t="n"/>
      <c r="Z12" s="9" t="n"/>
      <c r="AA12" s="9" t="n"/>
      <c r="AB12" s="9" t="n"/>
      <c r="AC12" s="9" t="n"/>
      <c r="AD12" s="32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9" t="n"/>
      <c r="C13" s="9" t="n"/>
      <c r="D13" s="9" t="n"/>
      <c r="E13" s="9" t="n"/>
      <c r="F13" s="9" t="n"/>
      <c r="G13" s="9" t="n"/>
      <c r="H13" s="12" t="n"/>
      <c r="I13" s="12" t="n"/>
      <c r="J13" s="9" t="inlineStr"/>
      <c r="K13" s="9" t="inlineStr"/>
      <c r="L13" s="12" t="n"/>
      <c r="M13" t="n">
        <v>7121.63</v>
      </c>
      <c r="N13" s="12" t="n"/>
      <c r="O13" s="12" t="n"/>
      <c r="P13" s="9" t="inlineStr"/>
      <c r="Q13" t="n">
        <v>6862.7</v>
      </c>
      <c r="R13" s="12" t="n"/>
      <c r="S13" s="12" t="n"/>
      <c r="T13" s="9" t="inlineStr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32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9" t="n"/>
      <c r="C14" s="9" t="n"/>
      <c r="D14" s="9" t="n"/>
      <c r="E14" s="12" t="n"/>
      <c r="F14" s="9" t="n"/>
      <c r="G14" s="12" t="n"/>
      <c r="H14" s="9" t="n"/>
      <c r="I14" s="12" t="n"/>
      <c r="J14" s="9" t="inlineStr"/>
      <c r="K14" s="9" t="inlineStr"/>
      <c r="L14" s="12" t="n"/>
      <c r="M14" t="n">
        <v>12746.13</v>
      </c>
      <c r="N14" s="9" t="n"/>
      <c r="O14" s="9" t="inlineStr"/>
      <c r="P14" s="12" t="n"/>
      <c r="Q14" s="9" t="inlineStr"/>
      <c r="R14" s="9" t="inlineStr"/>
      <c r="S14" s="9" t="n"/>
      <c r="T14" s="12" t="n"/>
      <c r="U14" s="9" t="n"/>
      <c r="V14" s="9" t="n"/>
      <c r="W14" s="9" t="n"/>
      <c r="X14" s="9" t="n"/>
      <c r="Z14" s="9" t="n"/>
      <c r="AA14" s="9" t="n"/>
      <c r="AB14" s="9" t="n"/>
      <c r="AC14" s="9" t="n"/>
      <c r="AD14" s="32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E15" t="n">
        <v>2950.96</v>
      </c>
      <c r="F15" s="9" t="n"/>
      <c r="G15" s="9" t="n"/>
      <c r="H15" s="9" t="n"/>
      <c r="I15" s="9" t="n"/>
      <c r="J15" s="9" t="n"/>
      <c r="K15" s="9" t="n"/>
      <c r="L15" s="12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/>
      <c r="Z15" s="9" t="n"/>
      <c r="AA15" s="9" t="n"/>
      <c r="AB15" s="9" t="n"/>
      <c r="AC15" s="9" t="n"/>
      <c r="AD15" s="32" t="n"/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9" t="n"/>
      <c r="C16" s="9" t="n"/>
      <c r="D16" s="9" t="n"/>
      <c r="F16" s="12" t="n">
        <v>105612.8</v>
      </c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>
        <v>105000</v>
      </c>
      <c r="T16" s="9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32" t="n"/>
      <c r="AE16" s="9" t="n"/>
      <c r="AF16" s="9" t="n"/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9" t="n"/>
      <c r="X17" s="9" t="n"/>
      <c r="Y17" s="9" t="n"/>
      <c r="Z17" s="9" t="n"/>
      <c r="AA17" s="12" t="n">
        <v>30000.6</v>
      </c>
      <c r="AB17" s="9" t="n"/>
      <c r="AC17" s="9" t="n"/>
      <c r="AD17" s="32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9" t="n"/>
      <c r="C18" s="9" t="n"/>
      <c r="D18" s="9" t="n"/>
      <c r="E18" s="9" t="n"/>
      <c r="F18" s="9" t="n"/>
      <c r="H18" s="9" t="n"/>
      <c r="I18" s="9" t="n"/>
      <c r="J18" s="9" t="n"/>
      <c r="K18" s="9" t="n"/>
      <c r="M18" s="9" t="n">
        <v>161000</v>
      </c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32" t="n"/>
      <c r="AE18" s="9" t="n"/>
      <c r="AF18" s="9" t="n"/>
      <c r="AG18" s="13">
        <f>SUM(B18:AF18)</f>
        <v/>
      </c>
    </row>
    <row r="19" ht="15.75" customHeight="1">
      <c r="A19" s="15" t="inlineStr">
        <is>
          <t>WOLVERHAMPTON CC-560069-44470320</t>
        </is>
      </c>
      <c r="B19" s="9" t="n"/>
      <c r="C19" s="9" t="n"/>
      <c r="D19" s="9" t="n"/>
      <c r="E19" s="9" t="n"/>
      <c r="F19" s="9" t="n"/>
      <c r="G19" s="9" t="n"/>
      <c r="H19" s="9" t="n">
        <v>104000</v>
      </c>
      <c r="I19" s="9" t="n"/>
      <c r="J19" s="9" t="n"/>
      <c r="K19" s="9" t="n"/>
      <c r="L19" s="9" t="n"/>
      <c r="M19" s="9" t="n"/>
      <c r="N19" s="9" t="n"/>
      <c r="O19" s="9" t="n">
        <v>104000</v>
      </c>
      <c r="P19" s="9" t="n"/>
      <c r="Q19" s="9" t="n"/>
      <c r="R19" s="9" t="n"/>
      <c r="S19" s="9" t="n"/>
      <c r="T19" s="9" t="n"/>
      <c r="U19" s="9" t="n"/>
      <c r="V19" s="9" t="n">
        <v>104000</v>
      </c>
      <c r="W19" s="9" t="n"/>
      <c r="X19" s="9" t="n"/>
      <c r="Y19" s="9" t="n"/>
      <c r="Z19" s="9" t="n"/>
      <c r="AA19" s="9" t="n"/>
      <c r="AB19" s="9" t="n"/>
      <c r="AC19" s="9" t="n">
        <v>104000</v>
      </c>
      <c r="AD19" s="32" t="n"/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B20" t="n">
        <v>8327.6</v>
      </c>
      <c r="C20" s="9" t="n"/>
      <c r="D20" s="12" t="n"/>
      <c r="E20" s="12" t="n"/>
      <c r="F20" s="9" t="n"/>
      <c r="G20" s="9" t="n"/>
      <c r="H20" s="9" t="n"/>
      <c r="I20" s="9" t="n"/>
      <c r="J20" s="9" t="n"/>
      <c r="K20" s="9" t="n"/>
      <c r="L20" s="12" t="n"/>
      <c r="M20" s="12" t="n"/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12" t="n"/>
      <c r="AD20" s="32" t="n"/>
      <c r="AE20" s="9" t="n"/>
      <c r="AF20" s="9" t="n"/>
      <c r="AG20" s="13">
        <f>SUM(B20:AF20)</f>
        <v/>
      </c>
    </row>
    <row r="21" ht="15.75" customHeight="1">
      <c r="A21" s="15" t="inlineStr">
        <is>
          <t>HB SC</t>
        </is>
      </c>
      <c r="B21" s="16" t="n">
        <v>3700</v>
      </c>
      <c r="C21" s="16" t="n">
        <v>3700</v>
      </c>
      <c r="D21" s="16" t="n">
        <v>3700</v>
      </c>
      <c r="E21" s="16" t="n">
        <v>3700</v>
      </c>
      <c r="F21" s="16" t="n">
        <v>3700</v>
      </c>
      <c r="G21" s="16" t="n">
        <v>3700</v>
      </c>
      <c r="H21" s="16" t="n">
        <v>3700</v>
      </c>
      <c r="I21" s="16" t="n">
        <v>3700</v>
      </c>
      <c r="J21" s="16" t="n">
        <v>3700</v>
      </c>
      <c r="K21" s="16" t="n">
        <v>3700</v>
      </c>
      <c r="L21" s="16" t="n">
        <v>3700</v>
      </c>
      <c r="M21" s="16" t="n">
        <v>3700</v>
      </c>
      <c r="N21" s="16" t="n">
        <v>3700</v>
      </c>
      <c r="O21" s="16" t="n">
        <v>3700</v>
      </c>
      <c r="P21" s="16" t="n">
        <v>3700</v>
      </c>
      <c r="Q21" s="16" t="n">
        <v>3700</v>
      </c>
      <c r="R21" s="16" t="n">
        <v>3700</v>
      </c>
      <c r="S21" s="16" t="n">
        <v>3700</v>
      </c>
      <c r="T21" s="16" t="n">
        <v>3700</v>
      </c>
      <c r="U21" s="16" t="n">
        <v>3700</v>
      </c>
      <c r="V21" s="16" t="n">
        <v>3700</v>
      </c>
      <c r="W21" s="16" t="n">
        <v>3700</v>
      </c>
      <c r="X21" s="16" t="n">
        <v>3700</v>
      </c>
      <c r="Y21" s="16" t="n">
        <v>3700</v>
      </c>
      <c r="Z21" s="16" t="n">
        <v>3700</v>
      </c>
      <c r="AA21" s="16" t="n">
        <v>3700</v>
      </c>
      <c r="AB21" s="16" t="n">
        <v>3700</v>
      </c>
      <c r="AC21" s="16" t="n">
        <v>3700</v>
      </c>
      <c r="AD21" s="16" t="n">
        <v>3700</v>
      </c>
      <c r="AE21" s="16" t="n">
        <v>3700</v>
      </c>
      <c r="AF21" s="16" t="n">
        <v>3700</v>
      </c>
      <c r="AG21" s="13">
        <f>SUM(B21:AF21)</f>
        <v/>
      </c>
    </row>
    <row r="22" ht="16.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>
        <f>SUM(E4:E21)</f>
        <v/>
      </c>
      <c r="F22">
        <f>SUM(F4:F21)</f>
        <v/>
      </c>
      <c r="G22">
        <f>SUM(G4:G21)</f>
        <v/>
      </c>
      <c r="H22">
        <f>SUM(H4:H21)</f>
        <v/>
      </c>
      <c r="I22">
        <f>SUM(I4:I21)</f>
        <v/>
      </c>
      <c r="J22">
        <f>SUM(J4:J21)</f>
        <v/>
      </c>
      <c r="K22">
        <f>SUM(K4:K21)</f>
        <v/>
      </c>
      <c r="L22">
        <f>SUM(L4:L21)</f>
        <v/>
      </c>
      <c r="M22">
        <f>SUM(M4:M21)</f>
        <v/>
      </c>
      <c r="N22">
        <f>SUM(N4:N21)</f>
        <v/>
      </c>
      <c r="O22">
        <f>SUM(O4:O21)</f>
        <v/>
      </c>
      <c r="P22">
        <f>SUM(P4:P21)</f>
        <v/>
      </c>
      <c r="Q22">
        <f>SUM(Q4:Q21)</f>
        <v/>
      </c>
      <c r="R22">
        <f>SUM(R4:R21)</f>
        <v/>
      </c>
      <c r="S22">
        <f>SUM(S4:S21)</f>
        <v/>
      </c>
      <c r="T22">
        <f>SUM(T4:T21)</f>
        <v/>
      </c>
      <c r="U22">
        <f>SUM(U4:U21)</f>
        <v/>
      </c>
      <c r="V22">
        <f>SUM(V4:V21)</f>
        <v/>
      </c>
      <c r="W22">
        <f>SUM(W4:W21)</f>
        <v/>
      </c>
      <c r="X22">
        <f>SUM(X4:X21)</f>
        <v/>
      </c>
      <c r="Y22">
        <f>SUM(Y4:Y21)</f>
        <v/>
      </c>
      <c r="Z22">
        <f>SUM(Z4:Z21)</f>
        <v/>
      </c>
      <c r="AA22">
        <f>SUM(AA4:AA21)</f>
        <v/>
      </c>
      <c r="AB22">
        <f>SUM(AB4:AB21)</f>
        <v/>
      </c>
      <c r="AC22">
        <f>SUM(AC4:AC21)</f>
        <v/>
      </c>
      <c r="AD22">
        <f>SUM(AD4:AD21)</f>
        <v/>
      </c>
      <c r="AE22">
        <f>SUM(AE4:AE21)</f>
        <v/>
      </c>
      <c r="AG22" s="22">
        <f>SUM(AG4:AG21)</f>
        <v/>
      </c>
    </row>
    <row r="23" ht="15.75" customHeight="1" thickTop="1"/>
    <row r="27">
      <c r="A27" s="1" t="n"/>
      <c r="B27" s="2" t="inlineStr">
        <is>
          <t>March</t>
        </is>
      </c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1" t="n"/>
      <c r="AF27" s="1" t="n"/>
      <c r="AG27" s="1" t="n"/>
    </row>
    <row r="28">
      <c r="A28" s="1" t="n"/>
      <c r="B28" s="2" t="inlineStr">
        <is>
          <t>Friday</t>
        </is>
      </c>
      <c r="C28" s="2" t="inlineStr">
        <is>
          <t>Saturday</t>
        </is>
      </c>
      <c r="D28" s="2" t="inlineStr">
        <is>
          <t>Sunday</t>
        </is>
      </c>
      <c r="E28" s="2" t="inlineStr">
        <is>
          <t>Monday</t>
        </is>
      </c>
      <c r="F28" s="2" t="inlineStr">
        <is>
          <t>Tuesday</t>
        </is>
      </c>
      <c r="G28" s="2" t="inlineStr">
        <is>
          <t>Wednesday</t>
        </is>
      </c>
      <c r="H28" s="2" t="inlineStr">
        <is>
          <t>Thursday</t>
        </is>
      </c>
      <c r="I28" s="2" t="inlineStr">
        <is>
          <t>Friday</t>
        </is>
      </c>
      <c r="J28" s="2" t="inlineStr">
        <is>
          <t>Saturday</t>
        </is>
      </c>
      <c r="K28" s="2" t="inlineStr">
        <is>
          <t>Sunday</t>
        </is>
      </c>
      <c r="L28" s="2" t="inlineStr">
        <is>
          <t>Monday</t>
        </is>
      </c>
      <c r="M28" s="2" t="inlineStr">
        <is>
          <t>Tuesday</t>
        </is>
      </c>
      <c r="N28" s="2" t="inlineStr">
        <is>
          <t>Wednesday</t>
        </is>
      </c>
      <c r="O28" s="2" t="inlineStr">
        <is>
          <t>Thursday</t>
        </is>
      </c>
      <c r="P28" s="2" t="inlineStr">
        <is>
          <t>Friday</t>
        </is>
      </c>
      <c r="Q28" s="2" t="inlineStr">
        <is>
          <t>Saturday</t>
        </is>
      </c>
      <c r="R28" s="2" t="inlineStr">
        <is>
          <t>Sunday</t>
        </is>
      </c>
      <c r="S28" s="2" t="inlineStr">
        <is>
          <t>Monday</t>
        </is>
      </c>
      <c r="T28" s="2" t="inlineStr">
        <is>
          <t>Tuesday</t>
        </is>
      </c>
      <c r="U28" s="2" t="inlineStr">
        <is>
          <t>Wednesday</t>
        </is>
      </c>
      <c r="V28" s="2" t="inlineStr">
        <is>
          <t>Thursday</t>
        </is>
      </c>
      <c r="W28" s="2" t="inlineStr">
        <is>
          <t>Friday</t>
        </is>
      </c>
      <c r="X28" s="2" t="inlineStr">
        <is>
          <t>Saturday</t>
        </is>
      </c>
      <c r="Y28" s="2" t="inlineStr">
        <is>
          <t>Sunday</t>
        </is>
      </c>
      <c r="Z28" s="2" t="inlineStr">
        <is>
          <t>Monday</t>
        </is>
      </c>
      <c r="AA28" s="2" t="inlineStr">
        <is>
          <t>Tuesday</t>
        </is>
      </c>
      <c r="AB28" s="2" t="inlineStr">
        <is>
          <t>Wednesday</t>
        </is>
      </c>
      <c r="AC28" s="2" t="inlineStr">
        <is>
          <t>Thursday</t>
        </is>
      </c>
      <c r="AD28" s="2" t="inlineStr">
        <is>
          <t>Friday</t>
        </is>
      </c>
      <c r="AE28" s="2" t="inlineStr">
        <is>
          <t>Saturday</t>
        </is>
      </c>
      <c r="AF28" s="2" t="inlineStr">
        <is>
          <t>Sunday</t>
        </is>
      </c>
      <c r="AG28" s="2" t="inlineStr">
        <is>
          <t>Total</t>
        </is>
      </c>
    </row>
    <row r="29">
      <c r="A29" s="1" t="n"/>
      <c r="B29" s="7" t="inlineStr">
        <is>
          <t>1st</t>
        </is>
      </c>
      <c r="C29" s="7" t="inlineStr">
        <is>
          <t>2nd</t>
        </is>
      </c>
      <c r="D29" s="7" t="inlineStr">
        <is>
          <t>3rd</t>
        </is>
      </c>
      <c r="E29" s="4" t="inlineStr">
        <is>
          <t>4th</t>
        </is>
      </c>
      <c r="F29" s="4" t="inlineStr">
        <is>
          <t>5th</t>
        </is>
      </c>
      <c r="G29" s="4" t="inlineStr">
        <is>
          <t>6th</t>
        </is>
      </c>
      <c r="H29" s="4" t="inlineStr">
        <is>
          <t>7th</t>
        </is>
      </c>
      <c r="I29" s="4" t="inlineStr">
        <is>
          <t>8th</t>
        </is>
      </c>
      <c r="J29" s="4" t="inlineStr">
        <is>
          <t>9th</t>
        </is>
      </c>
      <c r="K29" s="4" t="inlineStr">
        <is>
          <t>10th</t>
        </is>
      </c>
      <c r="L29" s="5" t="inlineStr">
        <is>
          <t>11th</t>
        </is>
      </c>
      <c r="M29" s="5" t="inlineStr">
        <is>
          <t>12th</t>
        </is>
      </c>
      <c r="N29" s="5" t="inlineStr">
        <is>
          <t>13th</t>
        </is>
      </c>
      <c r="O29" s="5" t="inlineStr">
        <is>
          <t>14th</t>
        </is>
      </c>
      <c r="P29" s="5" t="inlineStr">
        <is>
          <t>15th</t>
        </is>
      </c>
      <c r="Q29" s="5" t="inlineStr">
        <is>
          <t>16th</t>
        </is>
      </c>
      <c r="R29" s="5" t="inlineStr">
        <is>
          <t>17th</t>
        </is>
      </c>
      <c r="S29" s="6" t="inlineStr">
        <is>
          <t>18th</t>
        </is>
      </c>
      <c r="T29" s="6" t="inlineStr">
        <is>
          <t>19th</t>
        </is>
      </c>
      <c r="U29" s="6" t="inlineStr">
        <is>
          <t>20th</t>
        </is>
      </c>
      <c r="V29" s="6" t="inlineStr">
        <is>
          <t>21st</t>
        </is>
      </c>
      <c r="W29" s="6" t="inlineStr">
        <is>
          <t>22nd</t>
        </is>
      </c>
      <c r="X29" s="6" t="inlineStr">
        <is>
          <t>23rd</t>
        </is>
      </c>
      <c r="Y29" s="6" t="inlineStr">
        <is>
          <t>24th</t>
        </is>
      </c>
      <c r="Z29" s="7" t="inlineStr">
        <is>
          <t>25th</t>
        </is>
      </c>
      <c r="AA29" s="7" t="inlineStr">
        <is>
          <t>26th</t>
        </is>
      </c>
      <c r="AB29" s="7" t="inlineStr">
        <is>
          <t>27th</t>
        </is>
      </c>
      <c r="AC29" s="7" t="inlineStr">
        <is>
          <t>28th</t>
        </is>
      </c>
      <c r="AD29" s="7" t="inlineStr">
        <is>
          <t>29th</t>
        </is>
      </c>
      <c r="AE29" s="7" t="inlineStr">
        <is>
          <t>30th</t>
        </is>
      </c>
      <c r="AF29" s="7" t="inlineStr">
        <is>
          <t>31st</t>
        </is>
      </c>
      <c r="AG29" s="1" t="n"/>
    </row>
    <row r="30" ht="18.75" customHeight="1">
      <c r="A30" s="8" t="inlineStr">
        <is>
          <t>B-HAM CITY COUNCIL-200790-70489166</t>
        </is>
      </c>
      <c r="B30" s="9" t="n"/>
      <c r="C30" s="9" t="n"/>
      <c r="D30" s="9" t="n"/>
      <c r="E30" t="n">
        <v>5728.4</v>
      </c>
      <c r="F30" s="12" t="n"/>
      <c r="G30" s="12" t="n"/>
      <c r="H30" s="12" t="n"/>
      <c r="I30" s="9" t="n"/>
      <c r="J30" s="9" t="n"/>
      <c r="K30" s="12" t="n"/>
      <c r="L30" s="12" t="n"/>
      <c r="M30" s="9" t="n"/>
      <c r="N30" s="12" t="n"/>
      <c r="P30" s="31" t="n"/>
      <c r="Q30" s="26" t="n"/>
      <c r="R30" s="31" t="n"/>
      <c r="S30" s="31" t="n"/>
      <c r="T30" s="10" t="n"/>
      <c r="W30" s="12" t="n"/>
      <c r="X30" s="10" t="n"/>
      <c r="Y30" s="11" t="n"/>
      <c r="Z30" s="9" t="n"/>
      <c r="AB30" t="n">
        <v>66705.44</v>
      </c>
      <c r="AC30" s="31" t="n">
        <v>7335.99</v>
      </c>
      <c r="AE30" s="33" t="n"/>
      <c r="AF30" s="9" t="n"/>
      <c r="AG30" s="13">
        <f>SUM(B30:AF30)</f>
        <v/>
      </c>
    </row>
    <row r="31" ht="18.75" customHeight="1">
      <c r="A31" s="8" t="inlineStr">
        <is>
          <t>Accord/Age uk</t>
        </is>
      </c>
      <c r="B31" s="9" t="n"/>
      <c r="C31" s="9" t="n"/>
      <c r="D31" s="9" t="n"/>
      <c r="E31" s="12" t="n"/>
      <c r="F31" s="12" t="n"/>
      <c r="G31" s="12" t="n"/>
      <c r="H31" s="12" t="n"/>
      <c r="I31" s="12" t="n"/>
      <c r="J31" s="12" t="n"/>
      <c r="K31" s="9" t="n"/>
      <c r="L31" s="11" t="n"/>
      <c r="M31" s="9" t="n"/>
      <c r="P31" s="31" t="n"/>
      <c r="Q31" s="31" t="n"/>
      <c r="R31" s="31" t="n"/>
      <c r="S31" s="31" t="n"/>
      <c r="T31" s="12" t="n"/>
      <c r="U31" s="12" t="n"/>
      <c r="V31" s="9" t="n"/>
      <c r="W31" s="11" t="n"/>
      <c r="X31" s="9" t="n"/>
      <c r="Y31" s="9" t="n"/>
      <c r="Z31" s="9" t="n"/>
      <c r="AA31" s="12" t="n"/>
      <c r="AB31" s="9" t="n"/>
      <c r="AC31" s="9" t="n"/>
      <c r="AD31" s="9" t="n"/>
      <c r="AE31" s="9" t="n"/>
      <c r="AF31" s="9" t="n"/>
      <c r="AG31" s="13">
        <f>SUM(B31:AF31)</f>
        <v/>
      </c>
    </row>
    <row r="32" ht="15.75" customHeight="1">
      <c r="A32" s="8" t="inlineStr">
        <is>
          <t>Buckingham</t>
        </is>
      </c>
      <c r="B32" s="9" t="n"/>
      <c r="C32" s="9" t="n"/>
      <c r="D32" s="9" t="n"/>
      <c r="E32" s="12" t="n"/>
      <c r="F32" s="9" t="n"/>
      <c r="G32" s="9" t="n"/>
      <c r="I32" s="9" t="n"/>
      <c r="J32" s="9" t="n"/>
      <c r="K32" s="9" t="n"/>
      <c r="L32" s="9" t="n"/>
      <c r="M32" s="9" t="n"/>
      <c r="N32" s="9" t="n"/>
      <c r="P32" s="31" t="n">
        <v>4937.64</v>
      </c>
      <c r="Q32" s="26" t="n"/>
      <c r="R32" s="26" t="n"/>
      <c r="S32" s="31" t="n"/>
      <c r="T32" s="9" t="n"/>
      <c r="U32" s="9" t="n"/>
      <c r="V32" s="9" t="n"/>
      <c r="X32" s="9" t="n"/>
      <c r="Y32" s="9" t="n"/>
      <c r="Z32" s="9" t="n"/>
      <c r="AA32" s="9" t="n"/>
      <c r="AB32" s="9" t="n"/>
      <c r="AC32" s="9" t="n"/>
      <c r="AD32" s="9" t="n"/>
      <c r="AE32" s="9" t="n"/>
      <c r="AF32" s="9" t="n"/>
      <c r="AG32" s="13">
        <f>SUM(B32:AF32)</f>
        <v/>
      </c>
    </row>
    <row r="33" ht="15.75" customHeight="1">
      <c r="A33" s="8" t="inlineStr">
        <is>
          <t>Sandwell respite est</t>
        </is>
      </c>
      <c r="B33" s="9" t="n"/>
      <c r="C33" s="9" t="n"/>
      <c r="D33" s="9" t="n"/>
      <c r="E33" s="26" t="n">
        <v>13487</v>
      </c>
      <c r="F33" s="31" t="n"/>
      <c r="G33" s="9" t="n"/>
      <c r="H33" s="9" t="n"/>
      <c r="I33" s="9" t="n"/>
      <c r="J33" s="9" t="n"/>
      <c r="K33" s="9" t="n"/>
      <c r="L33" s="9" t="n"/>
      <c r="N33" s="9" t="n"/>
      <c r="P33" s="31" t="n">
        <v>7996.8</v>
      </c>
      <c r="Q33" s="26" t="n"/>
      <c r="R33" s="26" t="n"/>
      <c r="S33" s="31" t="n"/>
      <c r="T33" s="9" t="n"/>
      <c r="U33" s="9" t="n"/>
      <c r="V33" s="9" t="n"/>
      <c r="W33" s="9" t="n"/>
      <c r="X33" s="9" t="n"/>
      <c r="Y33" s="9" t="n"/>
      <c r="Z33" s="9" t="n"/>
      <c r="AA33" s="9" t="n"/>
      <c r="AB33" s="9" t="n"/>
      <c r="AC33" s="9" t="n"/>
      <c r="AD33" s="12" t="n"/>
      <c r="AF33" s="9" t="n"/>
      <c r="AG33" s="13">
        <f>SUM(B33:AF33)</f>
        <v/>
      </c>
    </row>
    <row r="34" ht="15.75" customHeight="1">
      <c r="A34" s="8" t="inlineStr">
        <is>
          <t xml:space="preserve">Wolverhampton respite est </t>
        </is>
      </c>
      <c r="B34" s="9" t="n"/>
      <c r="C34" s="9" t="n"/>
      <c r="D34" s="9" t="n"/>
      <c r="E34" s="31" t="n">
        <v>11805.31</v>
      </c>
      <c r="F34" s="26" t="n"/>
      <c r="G34" s="9" t="n"/>
      <c r="H34" s="26" t="n">
        <v>6896.82</v>
      </c>
      <c r="I34" s="70" t="n">
        <v>28591</v>
      </c>
      <c r="J34" s="9" t="n"/>
      <c r="K34" s="9" t="n"/>
      <c r="L34" s="9" t="n"/>
      <c r="M34" s="9" t="n"/>
      <c r="N34" s="9" t="n"/>
      <c r="O34" t="n">
        <v>6239.82</v>
      </c>
      <c r="P34" s="26" t="n"/>
      <c r="Q34" s="26" t="n"/>
      <c r="R34" s="26" t="n"/>
      <c r="S34" s="31" t="n"/>
      <c r="T34" s="9" t="n"/>
      <c r="U34" s="9" t="n"/>
      <c r="V34" s="26" t="n">
        <v>6239.82</v>
      </c>
      <c r="W34" s="9" t="n"/>
      <c r="X34" s="9" t="n"/>
      <c r="Y34" s="9" t="n"/>
      <c r="Z34" s="9" t="n"/>
      <c r="AA34" s="9" t="n"/>
      <c r="AB34" s="9" t="n"/>
      <c r="AC34" t="n">
        <v>12281.23</v>
      </c>
      <c r="AD34" s="12" t="n"/>
      <c r="AE34" s="9" t="n"/>
      <c r="AF34" s="10" t="n"/>
      <c r="AG34" s="13">
        <f>SUM(B34:AF34)</f>
        <v/>
      </c>
    </row>
    <row r="35" ht="15.75" customHeight="1">
      <c r="A35" s="8" t="inlineStr">
        <is>
          <t>Walsall Respite</t>
        </is>
      </c>
      <c r="B35" s="9" t="n"/>
      <c r="C35" s="9" t="n"/>
      <c r="D35" s="9" t="n"/>
      <c r="E35" s="26" t="n"/>
      <c r="F35" s="26" t="n"/>
      <c r="G35" s="12" t="n"/>
      <c r="H35" s="26" t="n"/>
      <c r="J35" s="9" t="n"/>
      <c r="K35" s="9" t="n"/>
      <c r="L35" s="9" t="n"/>
      <c r="M35" s="26" t="n">
        <v>13384.8</v>
      </c>
      <c r="N35" s="9" t="n"/>
      <c r="P35" s="26" t="n"/>
      <c r="Q35" s="26" t="n"/>
      <c r="R35" s="26" t="n"/>
      <c r="S35" s="31" t="n"/>
      <c r="T35" s="9" t="n"/>
      <c r="U35" s="9" t="n"/>
      <c r="V35" s="26" t="n"/>
      <c r="W35" t="n">
        <v>2938.24</v>
      </c>
      <c r="X35" s="9" t="n"/>
      <c r="Y35" s="9" t="n"/>
      <c r="Z35" s="9" t="n"/>
      <c r="AA35" s="9" t="n"/>
      <c r="AB35" s="9" t="n"/>
      <c r="AC35" s="9" t="n"/>
      <c r="AD35" s="12" t="n"/>
      <c r="AE35" s="9" t="n"/>
      <c r="AF35" s="9" t="n"/>
      <c r="AG35" s="13">
        <f>SUM(B35:AF35)</f>
        <v/>
      </c>
    </row>
    <row r="36" ht="18.75" customHeight="1">
      <c r="A36" s="8" t="inlineStr">
        <is>
          <t>Ideal for All Ltd</t>
        </is>
      </c>
      <c r="B36" s="9" t="n"/>
      <c r="C36" s="9" t="n"/>
      <c r="D36" s="9" t="n"/>
      <c r="E36" s="31" t="n"/>
      <c r="F36" s="31" t="n"/>
      <c r="G36" s="12" t="n"/>
      <c r="H36" s="31" t="n">
        <v>2536.8</v>
      </c>
      <c r="J36" s="11" t="n"/>
      <c r="K36" s="12" t="n"/>
      <c r="L36" s="11" t="n"/>
      <c r="M36" s="31" t="n"/>
      <c r="N36" s="12" t="n"/>
      <c r="P36" s="31" t="n"/>
      <c r="Q36" s="26" t="n"/>
      <c r="R36" s="31" t="n"/>
      <c r="S36" s="31" t="n"/>
      <c r="T36" s="12" t="n"/>
      <c r="U36" s="11" t="n"/>
      <c r="V36" s="31" t="n"/>
      <c r="W36" t="n">
        <v>2402.4</v>
      </c>
      <c r="X36" s="9" t="n"/>
      <c r="Y36" s="9" t="n"/>
      <c r="Z36" t="n">
        <v>3661.88</v>
      </c>
      <c r="AA36" s="9" t="n"/>
      <c r="AB36" s="9" t="n"/>
      <c r="AC36" s="9" t="n"/>
      <c r="AD36" s="9" t="n"/>
      <c r="AE36" s="9" t="n"/>
      <c r="AF36" s="9" t="n"/>
      <c r="AG36" s="13">
        <f>SUM(B36:AF36)</f>
        <v/>
      </c>
    </row>
    <row r="37" ht="15.75" customHeight="1">
      <c r="A37" s="8" t="inlineStr">
        <is>
          <t>KIRKLEES COUNCIL-204312-63046958</t>
        </is>
      </c>
      <c r="C37" s="9" t="n"/>
      <c r="D37" s="9" t="n"/>
      <c r="E37" s="31" t="n"/>
      <c r="F37" s="26" t="n"/>
      <c r="G37" s="9" t="n"/>
      <c r="H37" s="26" t="n"/>
      <c r="I37" s="31" t="n"/>
      <c r="J37" s="12" t="n"/>
      <c r="K37" s="9" t="n"/>
      <c r="L37" s="9" t="n"/>
      <c r="M37" s="31" t="n"/>
      <c r="O37" s="9" t="n"/>
      <c r="P37" s="31" t="n"/>
      <c r="Q37" s="26" t="n"/>
      <c r="R37" s="26" t="n"/>
      <c r="S37" s="31" t="n"/>
      <c r="T37" s="9" t="n"/>
      <c r="V37" s="26" t="n"/>
      <c r="W37" s="9" t="n"/>
      <c r="X37" s="9" t="n"/>
      <c r="Y37" s="9" t="n"/>
      <c r="AA37" s="12" t="n"/>
      <c r="AB37" t="n">
        <v>5554.89</v>
      </c>
      <c r="AC37" s="12" t="n"/>
      <c r="AD37" s="9" t="n"/>
      <c r="AE37" s="12" t="n"/>
      <c r="AF37" s="12" t="n"/>
      <c r="AG37" s="13">
        <f>SUM(B37:AF37)</f>
        <v/>
      </c>
    </row>
    <row r="38" ht="15.75" customHeight="1">
      <c r="A38" s="8" t="inlineStr">
        <is>
          <t>LBH PAYMENTS BACS-602210-72430192</t>
        </is>
      </c>
      <c r="B38" s="9" t="n"/>
      <c r="C38" s="9" t="n"/>
      <c r="D38" s="9" t="n"/>
      <c r="E38" s="26" t="n"/>
      <c r="F38" s="26" t="n"/>
      <c r="G38" s="12" t="n"/>
      <c r="H38" s="26" t="n"/>
      <c r="I38" s="26" t="n"/>
      <c r="J38" s="9" t="n"/>
      <c r="K38" s="9" t="n"/>
      <c r="L38" s="9" t="n"/>
      <c r="M38" s="26" t="n"/>
      <c r="N38" s="9" t="n"/>
      <c r="O38" s="9" t="n"/>
      <c r="P38" s="31" t="n"/>
      <c r="Q38" s="26" t="n"/>
      <c r="R38" s="26" t="n"/>
      <c r="S38" s="26" t="n"/>
      <c r="T38" s="9" t="n"/>
      <c r="U38" s="9" t="n"/>
      <c r="V38" s="31" t="n">
        <v>5040</v>
      </c>
      <c r="W38" s="9" t="n"/>
      <c r="X38" s="9" t="n"/>
      <c r="Y38" s="9" t="n"/>
      <c r="Z38" s="9" t="n"/>
      <c r="AA38" s="9" t="n"/>
      <c r="AB38" s="9" t="n"/>
      <c r="AC38" s="9" t="n"/>
      <c r="AD38" s="9" t="n"/>
      <c r="AE38" s="9" t="n"/>
      <c r="AF38" s="9" t="n"/>
      <c r="AG38" s="13">
        <f>SUM(B38:AF38)</f>
        <v/>
      </c>
    </row>
    <row r="39" ht="15.75" customHeight="1">
      <c r="A39" s="8" t="inlineStr">
        <is>
          <t>NHS BIRMINGHAM &amp; S-607080-10017097</t>
        </is>
      </c>
      <c r="B39" s="9" t="n"/>
      <c r="C39" s="9" t="n"/>
      <c r="D39" s="9" t="n"/>
      <c r="E39" s="26" t="n"/>
      <c r="F39" s="26" t="n"/>
      <c r="G39" s="9" t="n"/>
      <c r="H39" s="31" t="n"/>
      <c r="I39" s="31" t="n"/>
      <c r="J39" s="9" t="inlineStr"/>
      <c r="K39" s="9" t="inlineStr"/>
      <c r="L39" s="12" t="n"/>
      <c r="M39" s="31" t="n"/>
      <c r="N39" s="12" t="n"/>
      <c r="O39" s="12" t="n"/>
      <c r="P39" s="31" t="n">
        <v>6662.17</v>
      </c>
      <c r="Q39" s="31" t="n"/>
      <c r="R39" s="31" t="n"/>
      <c r="S39" s="31" t="n"/>
      <c r="T39" s="9" t="inlineStr"/>
      <c r="U39" s="9" t="n"/>
      <c r="V39" s="26" t="n"/>
      <c r="W39" s="9" t="n"/>
      <c r="X39" s="9" t="n"/>
      <c r="Y39" s="9" t="n"/>
      <c r="Z39" s="9" t="n"/>
      <c r="AA39" s="9" t="n"/>
      <c r="AB39" s="9" t="n"/>
      <c r="AC39" s="9" t="n"/>
      <c r="AD39" s="9" t="n"/>
      <c r="AE39" s="9" t="n"/>
      <c r="AF39" s="9" t="n"/>
      <c r="AG39" s="13">
        <f>SUM(B39:AF39)</f>
        <v/>
      </c>
    </row>
    <row r="40" ht="15.75" customHeight="1">
      <c r="A40" s="8" t="inlineStr">
        <is>
          <t>NHS BLACK COUNTRY-607080-10015272</t>
        </is>
      </c>
      <c r="B40" s="9" t="n"/>
      <c r="C40" s="9" t="n"/>
      <c r="D40" s="9" t="n"/>
      <c r="E40" s="31" t="n"/>
      <c r="F40" s="26" t="n"/>
      <c r="G40" s="12" t="n"/>
      <c r="H40" s="26" t="n"/>
      <c r="I40" s="71" t="n">
        <v>19152.16</v>
      </c>
      <c r="J40" s="9" t="inlineStr"/>
      <c r="K40" s="9" t="inlineStr"/>
      <c r="L40" s="12" t="n"/>
      <c r="M40" s="31" t="n"/>
      <c r="N40" s="9" t="n"/>
      <c r="O40" s="9" t="inlineStr"/>
      <c r="P40" s="31" t="n">
        <v>13625.17</v>
      </c>
      <c r="Q40" s="26" t="inlineStr"/>
      <c r="R40" s="26" t="inlineStr"/>
      <c r="S40" s="26" t="n"/>
      <c r="T40" s="31" t="n">
        <v>734.4</v>
      </c>
      <c r="U40" s="26" t="n"/>
      <c r="V40" s="26" t="n"/>
      <c r="W40" s="9" t="n"/>
      <c r="X40" s="9" t="n"/>
      <c r="Y40" s="12" t="n"/>
      <c r="Z40" s="73" t="n">
        <v>734.4</v>
      </c>
      <c r="AA40" t="n">
        <v>8342.32</v>
      </c>
      <c r="AB40" s="9" t="n"/>
      <c r="AC40" s="9" t="n"/>
      <c r="AD40" s="9" t="n"/>
      <c r="AE40" s="9" t="n"/>
      <c r="AF40" s="9" t="n"/>
      <c r="AG40" s="13">
        <f>SUM(B40:AF40)</f>
        <v/>
      </c>
    </row>
    <row r="41" ht="15.75" customHeight="1">
      <c r="A41" s="14" t="inlineStr">
        <is>
          <t>SANDWELL MBC  BEN-601539-69624151</t>
        </is>
      </c>
      <c r="B41" s="9" t="n"/>
      <c r="C41" s="9" t="n"/>
      <c r="D41" s="9" t="n"/>
      <c r="E41" s="31" t="n">
        <v>2950.96</v>
      </c>
      <c r="F41" s="26" t="n"/>
      <c r="G41" s="9" t="n"/>
      <c r="H41" s="26" t="n"/>
      <c r="I41" s="26" t="n"/>
      <c r="J41" s="9" t="n"/>
      <c r="K41" s="9" t="n"/>
      <c r="L41" s="12" t="n"/>
      <c r="M41" s="26" t="n"/>
      <c r="N41" s="9" t="n"/>
      <c r="O41" s="9" t="n"/>
      <c r="P41" s="26" t="n"/>
      <c r="Q41" s="26" t="n"/>
      <c r="R41" s="26" t="n"/>
      <c r="S41" s="26" t="n"/>
      <c r="T41" s="26" t="n"/>
      <c r="U41" s="26" t="n"/>
      <c r="V41" s="26" t="n"/>
      <c r="W41" s="9" t="n"/>
      <c r="X41" s="9" t="n"/>
      <c r="Y41" s="12" t="n"/>
      <c r="Z41" s="9" t="n"/>
      <c r="AA41" s="9" t="n"/>
      <c r="AB41" s="9" t="n"/>
      <c r="AC41" t="n">
        <v>2950.96</v>
      </c>
      <c r="AD41" s="9" t="n"/>
      <c r="AE41" s="9" t="n"/>
      <c r="AF41" s="9" t="n"/>
      <c r="AG41" s="13">
        <f>SUM(B41:AF41)</f>
        <v/>
      </c>
    </row>
    <row r="42" ht="15.75" customHeight="1">
      <c r="A42" s="14" t="inlineStr">
        <is>
          <t>SANDWELL MBC-601539-69624135</t>
        </is>
      </c>
      <c r="B42" s="9" t="n"/>
      <c r="C42" s="9" t="n"/>
      <c r="D42" s="9" t="n"/>
      <c r="E42" s="31" t="n"/>
      <c r="F42" s="31" t="n">
        <v>105612.8</v>
      </c>
      <c r="G42" s="9" t="n"/>
      <c r="H42" s="26" t="n"/>
      <c r="I42" s="26" t="n"/>
      <c r="J42" s="9" t="n"/>
      <c r="K42" s="9" t="n"/>
      <c r="L42" s="9" t="n"/>
      <c r="M42" s="26" t="n"/>
      <c r="N42" s="9" t="n"/>
      <c r="O42" s="9" t="n"/>
      <c r="P42" s="26" t="n"/>
      <c r="Q42" s="26" t="n"/>
      <c r="R42" s="26" t="n"/>
      <c r="S42" s="26" t="n">
        <v>115817.28</v>
      </c>
      <c r="T42" s="26" t="n"/>
      <c r="U42" s="26" t="n"/>
      <c r="V42" s="26" t="n"/>
      <c r="W42" s="9" t="n"/>
      <c r="X42" s="9" t="n"/>
      <c r="Y42" s="9" t="n"/>
      <c r="Z42" s="9" t="n"/>
      <c r="AA42" s="9" t="n"/>
      <c r="AB42" s="9" t="n"/>
      <c r="AC42" s="9" t="n"/>
      <c r="AD42" s="9" t="n"/>
      <c r="AE42" s="9" t="n"/>
      <c r="AF42" s="9" t="n"/>
      <c r="AG42" s="13">
        <f>SUM(B42:AF42)</f>
        <v/>
      </c>
    </row>
    <row r="43" ht="15.75" customHeight="1">
      <c r="A43" s="15" t="inlineStr">
        <is>
          <t>SOLIHULL MBC EXP.-200771-00561525</t>
        </is>
      </c>
      <c r="B43" s="9" t="n"/>
      <c r="C43" s="9" t="n"/>
      <c r="D43" s="9" t="n"/>
      <c r="E43" s="9" t="n"/>
      <c r="F43" s="9" t="n"/>
      <c r="G43" s="9" t="n"/>
      <c r="H43" s="26" t="n"/>
      <c r="I43" s="26" t="n"/>
      <c r="J43" s="9" t="n"/>
      <c r="K43" s="9" t="n"/>
      <c r="L43" s="9" t="n"/>
      <c r="M43" s="26" t="n"/>
      <c r="N43" s="9" t="n"/>
      <c r="O43" s="9" t="n"/>
      <c r="P43" s="26" t="n"/>
      <c r="Q43" s="26" t="n"/>
      <c r="R43" s="31" t="n"/>
      <c r="S43" s="26" t="n"/>
      <c r="T43" s="26" t="n"/>
      <c r="U43" s="26" t="n"/>
      <c r="V43" s="26" t="n"/>
      <c r="W43" s="9" t="n"/>
      <c r="X43" s="9" t="n"/>
      <c r="Y43" s="9" t="n"/>
      <c r="Z43" t="n">
        <v>30000.6</v>
      </c>
      <c r="AA43" s="12" t="n"/>
      <c r="AB43" s="9" t="n"/>
      <c r="AC43" s="9" t="n"/>
      <c r="AD43" s="9" t="n"/>
      <c r="AE43" s="9" t="n"/>
      <c r="AF43" s="9" t="n"/>
      <c r="AG43" s="13">
        <f>SUM(B43:AF43)</f>
        <v/>
      </c>
    </row>
    <row r="44" ht="15.75" customHeight="1">
      <c r="A44" s="15" t="inlineStr">
        <is>
          <t>WALSALL MBC BARC-209073-10731692</t>
        </is>
      </c>
      <c r="B44" s="9" t="n"/>
      <c r="C44" s="9" t="n"/>
      <c r="D44" s="9" t="n"/>
      <c r="E44" s="9" t="n"/>
      <c r="F44" s="9" t="n"/>
      <c r="G44" s="12" t="n"/>
      <c r="H44" s="26" t="n"/>
      <c r="I44" s="26" t="n"/>
      <c r="J44" s="9" t="n"/>
      <c r="K44" s="9" t="n"/>
      <c r="L44" s="12" t="n"/>
      <c r="M44" s="26" t="n">
        <v>168888.12</v>
      </c>
      <c r="N44" s="9" t="n"/>
      <c r="O44" s="9" t="n"/>
      <c r="P44" s="26" t="n"/>
      <c r="Q44" s="26" t="n"/>
      <c r="R44" s="26" t="n"/>
      <c r="S44" s="26" t="n"/>
      <c r="T44" s="26" t="n"/>
      <c r="U44" s="26" t="n"/>
      <c r="V44" s="26" t="n"/>
      <c r="W44" s="9" t="n"/>
      <c r="X44" s="9" t="n"/>
      <c r="Y44" s="9" t="n"/>
      <c r="Z44" s="9" t="n"/>
      <c r="AA44" s="9" t="n"/>
      <c r="AB44" s="9" t="n"/>
      <c r="AC44" s="9" t="n"/>
      <c r="AD44" s="9" t="n"/>
      <c r="AE44" s="9" t="n"/>
      <c r="AF44" s="9" t="n"/>
      <c r="AG44" s="13">
        <f>SUM(B44:AF44)</f>
        <v/>
      </c>
    </row>
    <row r="45" ht="15.75" customHeight="1">
      <c r="A45" s="15" t="inlineStr">
        <is>
          <t>WOLVERHAMPTON CC-560069-44470320</t>
        </is>
      </c>
      <c r="B45" s="9" t="n"/>
      <c r="C45" s="9" t="n"/>
      <c r="D45" s="9" t="n"/>
      <c r="E45" s="9" t="n"/>
      <c r="F45" s="9" t="n"/>
      <c r="G45" s="9" t="n"/>
      <c r="H45" s="26" t="n">
        <v>104326.5</v>
      </c>
      <c r="J45" s="9" t="n"/>
      <c r="K45" s="9" t="n"/>
      <c r="L45" s="26" t="n">
        <v>7867.57</v>
      </c>
      <c r="M45" s="26" t="n"/>
      <c r="N45" s="26" t="n"/>
      <c r="O45" s="26">
        <f>120214.32-O34</f>
        <v/>
      </c>
      <c r="P45" s="26" t="n"/>
      <c r="Q45" s="26" t="n"/>
      <c r="R45" s="26" t="n"/>
      <c r="S45" s="26" t="n"/>
      <c r="T45" s="26" t="n"/>
      <c r="U45" s="26" t="n"/>
      <c r="V45" s="26" t="n">
        <v>105609</v>
      </c>
      <c r="W45" s="9" t="n"/>
      <c r="X45" s="9" t="n"/>
      <c r="Y45" s="9" t="n"/>
      <c r="Z45" s="9" t="n"/>
      <c r="AA45" s="9" t="n"/>
      <c r="AB45" s="9" t="n"/>
      <c r="AC45" t="n">
        <v>112712.82</v>
      </c>
      <c r="AD45" s="9" t="n"/>
      <c r="AE45" s="9" t="n"/>
      <c r="AF45" s="9" t="n"/>
      <c r="AG45" s="13">
        <f>SUM(B45:AF45)</f>
        <v/>
      </c>
    </row>
    <row r="46" ht="15.75" customHeight="1">
      <c r="A46" s="15" t="inlineStr">
        <is>
          <t>TLC</t>
        </is>
      </c>
      <c r="B46" t="n">
        <v>8327.6</v>
      </c>
      <c r="C46" s="9" t="n"/>
      <c r="D46" s="12" t="n"/>
      <c r="E46" s="12" t="n"/>
      <c r="F46" s="9" t="n"/>
      <c r="G46" s="9" t="n"/>
      <c r="H46" s="26" t="n"/>
      <c r="I46" s="26" t="n"/>
      <c r="J46" s="9" t="n"/>
      <c r="K46" s="9" t="n"/>
      <c r="L46" s="12" t="n"/>
      <c r="M46" s="31" t="n"/>
      <c r="N46" s="26" t="n"/>
      <c r="O46" s="31" t="n"/>
      <c r="P46" s="31" t="n"/>
      <c r="Q46" s="26" t="n"/>
      <c r="R46" s="26" t="n"/>
      <c r="S46" s="31" t="n"/>
      <c r="T46" s="31" t="n">
        <v>2354.4</v>
      </c>
      <c r="U46" s="26" t="n"/>
      <c r="V46" s="26" t="n"/>
      <c r="W46" s="9" t="n"/>
      <c r="X46" s="9" t="n"/>
      <c r="Y46" s="9" t="n"/>
      <c r="Z46" s="9" t="n"/>
      <c r="AA46" s="9" t="n"/>
      <c r="AB46" s="9" t="n"/>
      <c r="AC46" s="12" t="n"/>
      <c r="AD46" s="9" t="n"/>
      <c r="AE46" s="9" t="n"/>
      <c r="AF46" s="9" t="n"/>
      <c r="AG46" s="13">
        <f>SUM(B46:AF46)</f>
        <v/>
      </c>
    </row>
    <row r="47" ht="15.75" customHeight="1">
      <c r="A47" s="15" t="inlineStr">
        <is>
          <t>HB SC</t>
        </is>
      </c>
      <c r="B47" s="16" t="n">
        <v>5233.430000000002</v>
      </c>
      <c r="C47" s="16" t="n">
        <v>0</v>
      </c>
      <c r="D47" s="16" t="n">
        <v>150</v>
      </c>
      <c r="E47" s="16" t="n">
        <v>6449.280000000001</v>
      </c>
      <c r="F47" s="16" t="n">
        <v>2446.62999999999</v>
      </c>
      <c r="G47" s="16" t="n">
        <v>1417.23</v>
      </c>
      <c r="H47" s="16" t="n">
        <v>2060.360000000001</v>
      </c>
      <c r="I47" s="16" t="n">
        <v>6214.099999999995</v>
      </c>
      <c r="J47" s="16" t="n">
        <v>0</v>
      </c>
      <c r="K47" s="16" t="n">
        <v>150</v>
      </c>
      <c r="L47" s="16" t="n">
        <v>4486.190000000001</v>
      </c>
      <c r="M47" s="16" t="n">
        <v>2927.190000000002</v>
      </c>
      <c r="N47" s="16" t="n">
        <v>2705.28</v>
      </c>
      <c r="O47" s="16" t="n">
        <v>3537.479999999996</v>
      </c>
      <c r="P47" s="16" t="n">
        <v>7365.200000000002</v>
      </c>
      <c r="Q47" s="16" t="n">
        <v>600</v>
      </c>
      <c r="R47" s="16" t="n">
        <v>150</v>
      </c>
      <c r="S47" s="16" t="n">
        <v>13711.35000000001</v>
      </c>
      <c r="T47" s="16" t="n">
        <v>3357.25</v>
      </c>
      <c r="U47" s="16" t="n">
        <v>811.9400000000001</v>
      </c>
      <c r="V47" s="16" t="n">
        <v>2377.119999999995</v>
      </c>
      <c r="W47" s="16" t="n">
        <v>2622.63</v>
      </c>
      <c r="X47" s="16" t="n">
        <v>0</v>
      </c>
      <c r="Y47" s="16" t="n">
        <v>0</v>
      </c>
      <c r="Z47" s="16" t="n">
        <v>9523.640000000005</v>
      </c>
      <c r="AA47" s="16" t="n">
        <v>4316.52</v>
      </c>
      <c r="AB47" s="16" t="n">
        <v>3270.02</v>
      </c>
      <c r="AC47" s="16" t="n">
        <v>8069.919999999996</v>
      </c>
      <c r="AD47" s="10" t="n">
        <v>0</v>
      </c>
      <c r="AE47" s="10" t="n">
        <v>0</v>
      </c>
      <c r="AF47" s="10" t="n">
        <v>0</v>
      </c>
      <c r="AG47" s="13">
        <f>SUM(B47:AF47)</f>
        <v/>
      </c>
    </row>
    <row r="48" ht="16.5" customHeight="1" thickBot="1">
      <c r="A48" s="15" t="inlineStr">
        <is>
          <t>Total</t>
        </is>
      </c>
      <c r="B48">
        <f>SUM(B30:B47)</f>
        <v/>
      </c>
      <c r="C48">
        <f>SUM(C30:C47)</f>
        <v/>
      </c>
      <c r="D48">
        <f>SUM(D30:D47)</f>
        <v/>
      </c>
      <c r="E48">
        <f>SUM(E30:E47)</f>
        <v/>
      </c>
      <c r="F48">
        <f>SUM(F30:F47)</f>
        <v/>
      </c>
      <c r="G48" s="31">
        <f>SUM(G30:G47)</f>
        <v/>
      </c>
      <c r="H48" s="31">
        <f>SUM(H30:H47)</f>
        <v/>
      </c>
      <c r="I48" s="31">
        <f>SUM(I30:I47)</f>
        <v/>
      </c>
      <c r="J48" s="31">
        <f>SUM(J30:J47)</f>
        <v/>
      </c>
      <c r="K48" s="31">
        <f>SUM(K30:K47)</f>
        <v/>
      </c>
      <c r="L48" s="31">
        <f>SUM(L30:L47)</f>
        <v/>
      </c>
      <c r="M48" s="31">
        <f>SUM(M30:M47)</f>
        <v/>
      </c>
      <c r="N48" s="31">
        <f>SUM(N30:N47)</f>
        <v/>
      </c>
      <c r="O48" s="31">
        <f>SUM(O30:O47)</f>
        <v/>
      </c>
      <c r="P48" s="31">
        <f>SUM(P30:P47)</f>
        <v/>
      </c>
      <c r="Q48" s="31">
        <f>SUM(Q30:Q47)</f>
        <v/>
      </c>
      <c r="R48" s="31">
        <f>SUM(R30:R47)</f>
        <v/>
      </c>
      <c r="S48" s="31">
        <f>SUM(S30:S47)</f>
        <v/>
      </c>
      <c r="T48" s="31">
        <f>SUM(T30:T47)</f>
        <v/>
      </c>
      <c r="U48" s="31">
        <f>SUM(U30:U47)</f>
        <v/>
      </c>
      <c r="V48" s="31">
        <f>SUM(V30:V47)</f>
        <v/>
      </c>
      <c r="W48" s="31">
        <f>SUM(W30:W47)</f>
        <v/>
      </c>
      <c r="X48" s="31">
        <f>SUM(X30:X47)</f>
        <v/>
      </c>
      <c r="Y48" s="31">
        <f>SUM(Y30:Y47)</f>
        <v/>
      </c>
      <c r="Z48" s="31">
        <f>SUM(Z30:Z47)</f>
        <v/>
      </c>
      <c r="AA48" s="31">
        <f>SUM(AA30:AA47)</f>
        <v/>
      </c>
      <c r="AB48" s="31">
        <f>SUM(AB30:AB47)</f>
        <v/>
      </c>
      <c r="AC48" s="31">
        <f>SUM(AC30:AC47)</f>
        <v/>
      </c>
      <c r="AD48" s="12">
        <f>SUM(AD30:AD47)</f>
        <v/>
      </c>
      <c r="AE48" s="12">
        <f>SUM(AE30:AE47)</f>
        <v/>
      </c>
      <c r="AF48" s="12">
        <f>SUM(AF30:AF47)</f>
        <v/>
      </c>
      <c r="AG48" s="22">
        <f>SUM(AG30:AG47)</f>
        <v/>
      </c>
    </row>
    <row r="49" ht="15.75" customHeight="1" thickTop="1">
      <c r="A49" s="15" t="inlineStr">
        <is>
          <t>Money Out</t>
        </is>
      </c>
      <c r="B49" t="n">
        <v>-126049.16</v>
      </c>
      <c r="C49" t="n">
        <v>0</v>
      </c>
      <c r="D49" t="n">
        <v>0</v>
      </c>
      <c r="E49" t="n">
        <v>-114249.92</v>
      </c>
      <c r="F49" t="n">
        <v>-3723.85</v>
      </c>
      <c r="G49" t="n">
        <v>-15648.71</v>
      </c>
      <c r="H49" t="n">
        <v>-4393.209999999992</v>
      </c>
      <c r="I49" s="31" t="n">
        <v>-92548.55</v>
      </c>
      <c r="J49" s="31" t="n">
        <v>0</v>
      </c>
      <c r="K49" s="31" t="n">
        <v>0</v>
      </c>
      <c r="L49" s="31" t="n">
        <v>-6276.53</v>
      </c>
      <c r="M49" t="n">
        <v>-9621.450000000012</v>
      </c>
      <c r="N49" t="n">
        <v>-3614.5</v>
      </c>
      <c r="O49" t="n">
        <v>-4761.949999999997</v>
      </c>
      <c r="P49" s="31" t="n">
        <v>-35716.46999999999</v>
      </c>
      <c r="Q49" s="31" t="n">
        <v>0</v>
      </c>
      <c r="R49" s="31" t="n">
        <v>0</v>
      </c>
      <c r="S49" s="31" t="n">
        <v>-22993.53999999999</v>
      </c>
      <c r="T49" s="31" t="n">
        <v>-1373.49</v>
      </c>
      <c r="U49" t="n">
        <v>-35311.29000000001</v>
      </c>
      <c r="V49" t="n">
        <v>-19557.63</v>
      </c>
      <c r="W49" s="31" t="n">
        <v>-17218.5</v>
      </c>
      <c r="X49" s="31" t="n">
        <v>0</v>
      </c>
      <c r="Y49" s="31" t="n">
        <v>0</v>
      </c>
      <c r="Z49" s="31" t="n">
        <v>-47972.60000000001</v>
      </c>
      <c r="AA49" s="31" t="n">
        <v>-34423.54</v>
      </c>
      <c r="AB49" s="31" t="n">
        <v>-6732.17</v>
      </c>
      <c r="AC49" s="31" t="n">
        <v>-651343.98</v>
      </c>
    </row>
    <row r="52">
      <c r="A52" s="51" t="inlineStr">
        <is>
          <t>Chasing</t>
        </is>
      </c>
    </row>
    <row r="53">
      <c r="A53" t="inlineStr">
        <is>
          <t>Birmingham</t>
        </is>
      </c>
      <c r="B53" t="n">
        <v>11413.69</v>
      </c>
    </row>
    <row r="54">
      <c r="A54" t="inlineStr">
        <is>
          <t>Nhs Birmingham</t>
        </is>
      </c>
      <c r="B54" t="n">
        <v>0</v>
      </c>
    </row>
    <row r="55">
      <c r="A55" t="inlineStr">
        <is>
          <t>NHS Black country Foundation</t>
        </is>
      </c>
      <c r="B55" t="n">
        <v>0</v>
      </c>
    </row>
    <row r="56">
      <c r="A56" t="inlineStr">
        <is>
          <t>Nhs black country</t>
        </is>
      </c>
      <c r="B56" t="n">
        <v>0</v>
      </c>
    </row>
    <row r="57">
      <c r="A57" t="inlineStr">
        <is>
          <t>Sandwell</t>
        </is>
      </c>
      <c r="B57">
        <f>40523.6-U33-T33</f>
        <v/>
      </c>
    </row>
    <row r="58">
      <c r="A58" s="52" t="inlineStr">
        <is>
          <t xml:space="preserve">Walsall </t>
        </is>
      </c>
      <c r="B58" t="n">
        <v>3536</v>
      </c>
    </row>
    <row r="59">
      <c r="A59" t="inlineStr">
        <is>
          <t>Wolverhampton</t>
        </is>
      </c>
      <c r="B59" t="n">
        <v>12715.2</v>
      </c>
    </row>
    <row r="60" ht="15.75" customHeight="1" thickBot="1">
      <c r="A60" s="50" t="inlineStr">
        <is>
          <t>Total</t>
        </is>
      </c>
      <c r="B60" s="29">
        <f>SUM(B53:B59)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AG60"/>
  <sheetViews>
    <sheetView zoomScale="85" zoomScaleNormal="85" workbookViewId="0">
      <pane xSplit="1" topLeftCell="G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9.5703125" bestFit="1" customWidth="1" min="2" max="2"/>
    <col width="10.7109375" bestFit="1" customWidth="1" min="3" max="3"/>
    <col width="10.140625" bestFit="1" customWidth="1" min="4" max="4"/>
    <col width="9.5703125" bestFit="1" customWidth="1" min="5" max="5"/>
    <col width="11.85546875" bestFit="1" customWidth="1" min="6" max="6"/>
    <col width="10.140625" bestFit="1" customWidth="1" min="7" max="7"/>
    <col width="10.42578125" bestFit="1" customWidth="1" min="8" max="8"/>
    <col width="10.7109375" bestFit="1" customWidth="1" min="9" max="9"/>
    <col width="9.5703125" bestFit="1" customWidth="1" min="10" max="10"/>
    <col width="10.140625" bestFit="1" customWidth="1" min="11" max="11"/>
    <col width="11.85546875" bestFit="1" customWidth="1" min="12" max="12"/>
    <col width="11.7109375" bestFit="1" customWidth="1" min="13" max="13"/>
    <col width="10.140625" bestFit="1" customWidth="1" min="14" max="14"/>
    <col width="10.42578125" bestFit="1" customWidth="1" min="15" max="15"/>
    <col width="9.5703125" bestFit="1" customWidth="1" min="16" max="17"/>
    <col width="10.140625" bestFit="1" customWidth="1" min="18" max="18"/>
    <col width="11.7109375" bestFit="1" customWidth="1" min="19" max="19"/>
    <col width="9.5703125" bestFit="1" customWidth="1" min="20" max="20"/>
    <col width="10.140625" bestFit="1" customWidth="1" min="21" max="21"/>
    <col width="11.28515625" bestFit="1" customWidth="1" min="22" max="22"/>
    <col width="10.7109375" bestFit="1" customWidth="1" min="23" max="23"/>
    <col width="9.5703125" bestFit="1" customWidth="1" min="24" max="24"/>
    <col width="10.140625" bestFit="1" customWidth="1" min="25" max="25"/>
    <col width="9.5703125" bestFit="1" customWidth="1" min="26" max="27"/>
    <col width="10.140625" bestFit="1" customWidth="1" min="28" max="28"/>
    <col width="9.5703125" bestFit="1" customWidth="1" min="29" max="32"/>
    <col width="11.7109375" bestFit="1" customWidth="1" min="33" max="33"/>
  </cols>
  <sheetData>
    <row r="1">
      <c r="A1" s="1" t="n"/>
      <c r="B1" s="2" t="inlineStr">
        <is>
          <t>Apr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Monday</t>
        </is>
      </c>
      <c r="C2" s="2" t="inlineStr">
        <is>
          <t>Tuesday</t>
        </is>
      </c>
      <c r="D2" s="2" t="inlineStr">
        <is>
          <t>Wednesday</t>
        </is>
      </c>
      <c r="E2" s="2" t="inlineStr">
        <is>
          <t>Thursday</t>
        </is>
      </c>
      <c r="F2" s="2" t="inlineStr">
        <is>
          <t>Friday</t>
        </is>
      </c>
      <c r="G2" s="2" t="inlineStr">
        <is>
          <t>Saturday</t>
        </is>
      </c>
      <c r="H2" s="2" t="inlineStr">
        <is>
          <t>Sunday</t>
        </is>
      </c>
      <c r="I2" s="2" t="inlineStr">
        <is>
          <t>Monday</t>
        </is>
      </c>
      <c r="J2" s="2" t="inlineStr">
        <is>
          <t>Tuesday</t>
        </is>
      </c>
      <c r="K2" s="2" t="inlineStr">
        <is>
          <t>Wednesday</t>
        </is>
      </c>
      <c r="L2" s="2" t="inlineStr">
        <is>
          <t>Thursday</t>
        </is>
      </c>
      <c r="M2" s="2" t="inlineStr">
        <is>
          <t>Friday</t>
        </is>
      </c>
      <c r="N2" s="2" t="inlineStr">
        <is>
          <t>Saturday</t>
        </is>
      </c>
      <c r="O2" s="2" t="inlineStr">
        <is>
          <t>Sunday</t>
        </is>
      </c>
      <c r="P2" s="2" t="inlineStr">
        <is>
          <t>Monday</t>
        </is>
      </c>
      <c r="Q2" s="2" t="inlineStr">
        <is>
          <t>Tuesday</t>
        </is>
      </c>
      <c r="R2" s="2" t="inlineStr">
        <is>
          <t>Wednesday</t>
        </is>
      </c>
      <c r="S2" s="2" t="inlineStr">
        <is>
          <t>Thursday</t>
        </is>
      </c>
      <c r="T2" s="2" t="inlineStr">
        <is>
          <t>Friday</t>
        </is>
      </c>
      <c r="U2" s="2" t="inlineStr">
        <is>
          <t>Saturday</t>
        </is>
      </c>
      <c r="V2" s="2" t="inlineStr">
        <is>
          <t>Sunday</t>
        </is>
      </c>
      <c r="W2" s="2" t="inlineStr">
        <is>
          <t>Monday</t>
        </is>
      </c>
      <c r="X2" s="2" t="inlineStr">
        <is>
          <t>Tuesday</t>
        </is>
      </c>
      <c r="Y2" s="2" t="inlineStr">
        <is>
          <t>Wednesday</t>
        </is>
      </c>
      <c r="Z2" s="2" t="inlineStr">
        <is>
          <t>Thursday</t>
        </is>
      </c>
      <c r="AA2" s="2" t="inlineStr">
        <is>
          <t>Friday</t>
        </is>
      </c>
      <c r="AB2" s="2" t="inlineStr">
        <is>
          <t>Saturday</t>
        </is>
      </c>
      <c r="AC2" s="2" t="inlineStr">
        <is>
          <t>Sunday</t>
        </is>
      </c>
      <c r="AD2" s="2" t="inlineStr">
        <is>
          <t>Monday</t>
        </is>
      </c>
      <c r="AE2" s="2" t="inlineStr">
        <is>
          <t>Tuesday</t>
        </is>
      </c>
      <c r="AF2" s="2" t="n"/>
      <c r="AG2" s="2" t="inlineStr">
        <is>
          <t>Total</t>
        </is>
      </c>
    </row>
    <row r="3">
      <c r="A3" s="1" t="inlineStr">
        <is>
          <t>April</t>
        </is>
      </c>
      <c r="B3" s="3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n"/>
      <c r="AG3" s="1" t="n"/>
    </row>
    <row r="4" ht="18.75" customHeight="1">
      <c r="A4" s="8" t="inlineStr">
        <is>
          <t>B-HAM CITY COUNCIL-200790-70489166</t>
        </is>
      </c>
      <c r="B4" s="72" t="n"/>
      <c r="C4" s="26" t="n"/>
      <c r="E4" s="12" t="n"/>
      <c r="F4" s="12" t="n"/>
      <c r="G4" s="12" t="n"/>
      <c r="H4" s="9" t="n"/>
      <c r="I4" s="12">
        <f>5728.4*103.48%</f>
        <v/>
      </c>
      <c r="J4" s="12" t="n"/>
      <c r="K4" s="12" t="n"/>
      <c r="L4" s="9" t="n"/>
      <c r="M4" s="12" t="n"/>
      <c r="N4" s="12" t="n"/>
      <c r="O4" s="12" t="n"/>
      <c r="P4" s="9" t="n"/>
      <c r="Q4" s="12" t="n"/>
      <c r="R4" s="12" t="n"/>
      <c r="S4" s="10" t="n"/>
      <c r="T4" s="12" t="n"/>
      <c r="U4" s="12" t="n"/>
      <c r="V4" s="12" t="n"/>
      <c r="W4" s="10" t="n"/>
      <c r="X4" s="11" t="n"/>
      <c r="Y4" s="9" t="n"/>
      <c r="Z4" s="12">
        <f>7335.99*103.48%</f>
        <v/>
      </c>
      <c r="AA4" s="12" t="n"/>
      <c r="AB4" s="9" t="n"/>
      <c r="AC4" s="12">
        <f>65406.76*103.48%</f>
        <v/>
      </c>
      <c r="AD4" s="12" t="n"/>
      <c r="AE4" s="9" t="n"/>
      <c r="AF4" s="12">
        <f>65406.76-60977.04</f>
        <v/>
      </c>
      <c r="AG4" s="13">
        <f>SUM(B4:AF4)</f>
        <v/>
      </c>
    </row>
    <row r="5" ht="18.75" customHeight="1">
      <c r="A5" s="8" t="inlineStr">
        <is>
          <t>Accord/Age uk</t>
        </is>
      </c>
      <c r="B5" s="31" t="n"/>
      <c r="C5" s="31" t="n"/>
      <c r="D5" s="31" t="n"/>
      <c r="E5" s="12" t="n"/>
      <c r="F5" s="12" t="n"/>
      <c r="G5" s="12" t="n"/>
      <c r="H5" s="9" t="n"/>
      <c r="I5" s="11" t="n"/>
      <c r="J5" s="9" t="n"/>
      <c r="K5" s="12" t="n"/>
      <c r="L5" s="9" t="n"/>
      <c r="M5" s="12" t="n"/>
      <c r="N5" s="12" t="n"/>
      <c r="O5" s="12" t="n"/>
      <c r="P5" s="12" t="n"/>
      <c r="Q5" s="9" t="n"/>
      <c r="R5" s="9" t="n"/>
      <c r="S5" s="12" t="n"/>
      <c r="T5" s="12" t="n"/>
      <c r="U5" s="11" t="n"/>
      <c r="V5" s="12" t="n"/>
      <c r="W5" s="11" t="n"/>
      <c r="X5" s="9" t="n"/>
      <c r="Y5" s="9" t="n"/>
      <c r="Z5" s="9" t="n"/>
      <c r="AA5" s="12" t="n"/>
      <c r="AB5" s="9" t="n"/>
      <c r="AC5" s="9" t="n"/>
      <c r="AD5" s="9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31" t="n"/>
      <c r="C6" s="26" t="n"/>
      <c r="D6" s="26" t="n"/>
      <c r="E6" s="9" t="n"/>
      <c r="F6" s="9" t="n"/>
      <c r="G6" s="9" t="n"/>
      <c r="H6" s="9" t="n"/>
      <c r="I6" s="9" t="n"/>
      <c r="J6" s="9" t="n"/>
      <c r="K6" s="9" t="n"/>
      <c r="L6" s="9" t="n"/>
      <c r="M6" s="12" t="n">
        <v>4937.64</v>
      </c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12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26" t="n"/>
      <c r="C7" s="26" t="n"/>
      <c r="D7" s="26" t="n"/>
      <c r="E7" s="9" t="n">
        <v>3046.4</v>
      </c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>
        <v>20000</v>
      </c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26" t="n"/>
      <c r="C8" s="26" t="n"/>
      <c r="D8" s="26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30000</v>
      </c>
      <c r="AG8" s="13">
        <f>SUM(B8:AF8)</f>
        <v/>
      </c>
    </row>
    <row r="9" ht="15.75" customHeight="1">
      <c r="A9" s="8" t="inlineStr">
        <is>
          <t>Walsall Respite</t>
        </is>
      </c>
      <c r="B9" s="26" t="n"/>
      <c r="C9" s="26" t="n"/>
      <c r="D9" s="26" t="n"/>
      <c r="E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>
        <v>16000</v>
      </c>
      <c r="AG9" s="13">
        <f>SUM(B9:AF9)</f>
        <v/>
      </c>
    </row>
    <row r="10" ht="18.75" customHeight="1">
      <c r="A10" s="8" t="inlineStr">
        <is>
          <t>Ideal for All Ltd</t>
        </is>
      </c>
      <c r="B10" s="26" t="n"/>
      <c r="C10" s="31" t="n"/>
      <c r="D10" s="31" t="n"/>
      <c r="E10" s="12" t="n">
        <v>2536.8</v>
      </c>
      <c r="F10" s="12" t="n"/>
      <c r="G10" s="11" t="n"/>
      <c r="H10" s="12" t="n"/>
      <c r="I10" s="11" t="n"/>
      <c r="J10" s="12" t="n"/>
      <c r="K10" s="12" t="n"/>
      <c r="L10" s="12" t="n"/>
      <c r="M10" s="12" t="n"/>
      <c r="N10" s="9" t="n"/>
      <c r="O10" s="12" t="n"/>
      <c r="P10" s="12" t="n"/>
      <c r="Q10" s="12" t="n"/>
      <c r="R10" s="11" t="n"/>
      <c r="S10" s="11" t="n">
        <v>3661.88</v>
      </c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B11" s="26" t="n"/>
      <c r="C11" s="26" t="n"/>
      <c r="D11" s="26" t="n"/>
      <c r="E11" s="9" t="n"/>
      <c r="F11" s="12" t="n"/>
      <c r="G11" s="12" t="n"/>
      <c r="H11" s="9" t="n"/>
      <c r="I11" s="9" t="n"/>
      <c r="J11" s="12" t="n"/>
      <c r="K11" s="12" t="n"/>
      <c r="L11" s="9" t="n"/>
      <c r="M11" s="12" t="n"/>
      <c r="N11" s="9" t="n"/>
      <c r="O11" s="9" t="n"/>
      <c r="P11" s="12" t="n"/>
      <c r="Q11" s="9" t="n"/>
      <c r="R11" s="12" t="n"/>
      <c r="S11" s="9" t="n"/>
      <c r="T11" s="9" t="n"/>
      <c r="U11" s="9" t="n"/>
      <c r="V11" s="9" t="n"/>
      <c r="W11" s="12" t="n">
        <v>5554.89</v>
      </c>
      <c r="X11" s="12" t="n"/>
      <c r="Y11" s="9" t="n"/>
      <c r="Z11" s="9" t="n"/>
      <c r="AA11" s="9" t="n"/>
      <c r="AB11" s="9" t="n"/>
      <c r="AC11" s="9" t="n"/>
      <c r="AD11" s="12" t="n">
        <v>5196.51</v>
      </c>
      <c r="AE11" s="12" t="n"/>
      <c r="AF11" s="12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26" t="n"/>
      <c r="C12" s="26" t="n"/>
      <c r="D12" s="26" t="n"/>
      <c r="E12" s="9" t="n"/>
      <c r="F12" s="9" t="n"/>
      <c r="G12" s="9" t="n"/>
      <c r="H12" s="9" t="n"/>
      <c r="I12" s="9" t="n"/>
      <c r="J12" s="9" t="n"/>
      <c r="K12" s="9" t="n"/>
      <c r="L12" s="9" t="n"/>
      <c r="M12" s="12" t="n"/>
      <c r="N12" s="9" t="n"/>
      <c r="O12" s="9" t="n"/>
      <c r="P12" s="9" t="n"/>
      <c r="Q12" s="9" t="n"/>
      <c r="R12" s="9" t="n"/>
      <c r="S12" s="12" t="n"/>
      <c r="T12" s="9" t="n"/>
      <c r="U12" s="9" t="n"/>
      <c r="V12" s="9" t="n"/>
      <c r="W12" s="9" t="n">
        <v>5040</v>
      </c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26" t="n"/>
      <c r="C13" s="26" t="n"/>
      <c r="D13" s="26" t="n"/>
      <c r="E13" s="12" t="n"/>
      <c r="F13" s="12" t="n"/>
      <c r="G13" s="9" t="inlineStr"/>
      <c r="H13" s="9" t="inlineStr"/>
      <c r="I13" s="12" t="n"/>
      <c r="J13" s="12" t="n"/>
      <c r="K13" s="12" t="n"/>
      <c r="L13" s="12" t="n"/>
      <c r="M13" s="12" t="n">
        <v>6662.17</v>
      </c>
      <c r="N13" s="12" t="n"/>
      <c r="O13" s="12" t="n"/>
      <c r="P13" s="12" t="n"/>
      <c r="Q13" s="9" t="inlineStr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26" t="n"/>
      <c r="C14" s="26" t="n"/>
      <c r="D14" s="26" t="n"/>
      <c r="E14" s="9" t="n"/>
      <c r="F14" s="74" t="n"/>
      <c r="G14" s="9" t="inlineStr"/>
      <c r="H14" s="9" t="inlineStr"/>
      <c r="I14" s="12" t="n"/>
      <c r="J14" s="12" t="n"/>
      <c r="K14" s="9" t="n"/>
      <c r="L14" s="9" t="inlineStr"/>
      <c r="M14" s="12" t="n">
        <v>13625.17</v>
      </c>
      <c r="N14" s="9" t="inlineStr"/>
      <c r="O14" s="9" t="inlineStr"/>
      <c r="P14" s="9" t="n"/>
      <c r="Q14" s="12" t="n">
        <v>734.4</v>
      </c>
      <c r="R14" s="9" t="n"/>
      <c r="S14" s="9" t="n"/>
      <c r="T14" s="9" t="n"/>
      <c r="U14" s="9" t="n"/>
      <c r="V14" s="12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26" t="n"/>
      <c r="C15" s="31" t="n"/>
      <c r="D15" s="26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/>
      <c r="Z15" s="9" t="n"/>
      <c r="AA15" s="9" t="n"/>
      <c r="AB15" s="9" t="n"/>
      <c r="AC15" s="9" t="n"/>
      <c r="AD15" s="12" t="n">
        <v>2950.96</v>
      </c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26" t="n"/>
      <c r="E16" s="9" t="n">
        <v>127488.96</v>
      </c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>
        <v>105000</v>
      </c>
      <c r="Q16" s="9" t="n"/>
      <c r="R16" s="9" t="n"/>
      <c r="S16" s="9" t="n"/>
      <c r="T16" s="9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>
        <v>105000</v>
      </c>
      <c r="AE16" s="9" t="n"/>
      <c r="AF16" s="9" t="n"/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26" t="n"/>
      <c r="C17" s="26" t="n"/>
      <c r="D17" s="26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12" t="n">
        <v>30000.6</v>
      </c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26" t="n"/>
      <c r="C18" s="26" t="n"/>
      <c r="D18" s="26" t="n"/>
      <c r="E18" s="9" t="n"/>
      <c r="F18" s="9" t="n"/>
      <c r="G18" s="12" t="n"/>
      <c r="H18" s="9" t="n"/>
      <c r="I18" s="9" t="n"/>
      <c r="J18" s="9">
        <f>165000*111.41%</f>
        <v/>
      </c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E18" s="9" t="n"/>
      <c r="AF18" s="9" t="n"/>
      <c r="AG18" s="13">
        <f>SUM(B18:AF18)</f>
        <v/>
      </c>
    </row>
    <row r="19" ht="15.75" customHeight="1">
      <c r="A19" s="15" t="inlineStr">
        <is>
          <t>WOLVERHAMPTON CC-560069-44470320</t>
        </is>
      </c>
      <c r="B19" s="26" t="n"/>
      <c r="C19" s="26" t="n"/>
      <c r="D19" s="26" t="n"/>
      <c r="E19" s="12" t="n"/>
      <c r="F19" s="10" t="n">
        <v>123811.6</v>
      </c>
      <c r="G19" s="9" t="n"/>
      <c r="H19" s="9" t="n"/>
      <c r="I19" s="9" t="n"/>
      <c r="J19" s="9" t="n"/>
      <c r="K19" s="9" t="n"/>
      <c r="L19" s="9">
        <f>104000*107.44%</f>
        <v/>
      </c>
      <c r="M19" s="9" t="n"/>
      <c r="N19" s="9" t="n"/>
      <c r="O19" s="9" t="n"/>
      <c r="P19" s="9" t="n"/>
      <c r="Q19" s="9" t="n"/>
      <c r="R19" s="9" t="n"/>
      <c r="S19" s="9">
        <f>104000*107.44%</f>
        <v/>
      </c>
      <c r="T19" s="9" t="n"/>
      <c r="U19" s="9" t="n"/>
      <c r="V19" s="9" t="n"/>
      <c r="W19" s="9" t="n"/>
      <c r="X19" s="9" t="n"/>
      <c r="Y19" s="9" t="n"/>
      <c r="Z19" s="9">
        <f>104000*107.44%</f>
        <v/>
      </c>
      <c r="AA19" s="12" t="n"/>
      <c r="AB19" s="9" t="n"/>
      <c r="AC19" s="9" t="n"/>
      <c r="AD19" s="9" t="n"/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B20" s="26" t="n">
        <v>200</v>
      </c>
      <c r="C20" s="26" t="n"/>
      <c r="D20" s="31" t="n"/>
      <c r="E20" s="12" t="n"/>
      <c r="F20" s="9" t="n"/>
      <c r="G20" s="9" t="n"/>
      <c r="H20" s="9" t="n"/>
      <c r="I20" s="9" t="n"/>
      <c r="J20" s="9" t="n"/>
      <c r="K20" s="9" t="n"/>
      <c r="L20" s="12" t="n"/>
      <c r="M20" s="12" t="n"/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12" t="n"/>
      <c r="AD20" s="9" t="n"/>
      <c r="AE20" s="9" t="n"/>
      <c r="AF20" s="9" t="n"/>
      <c r="AG20" s="13">
        <f>SUM(B20:AF20)</f>
        <v/>
      </c>
    </row>
    <row r="21" ht="15.75" customHeight="1">
      <c r="A21" s="15" t="inlineStr">
        <is>
          <t>HB SC</t>
        </is>
      </c>
      <c r="B21" s="16" t="n">
        <v>3800</v>
      </c>
      <c r="C21" s="16" t="n">
        <v>14719.19</v>
      </c>
      <c r="D21" s="16" t="n">
        <v>3800</v>
      </c>
      <c r="E21" s="10" t="n">
        <v>3800</v>
      </c>
      <c r="F21" s="10" t="n">
        <v>3800</v>
      </c>
      <c r="G21" s="10" t="n">
        <v>3800</v>
      </c>
      <c r="H21" s="10" t="n">
        <v>3800</v>
      </c>
      <c r="I21" s="10" t="n">
        <v>3800</v>
      </c>
      <c r="J21" s="10" t="n">
        <v>3800</v>
      </c>
      <c r="K21" s="10" t="n">
        <v>3800</v>
      </c>
      <c r="L21" s="10" t="n">
        <v>3800</v>
      </c>
      <c r="M21" s="10" t="n">
        <v>3800</v>
      </c>
      <c r="N21" s="10" t="n">
        <v>3800</v>
      </c>
      <c r="O21" s="10" t="n">
        <v>3800</v>
      </c>
      <c r="P21" s="10" t="n">
        <v>3800</v>
      </c>
      <c r="Q21" s="10" t="n">
        <v>3800</v>
      </c>
      <c r="R21" s="10" t="n">
        <v>3800</v>
      </c>
      <c r="S21" s="10" t="n">
        <v>3800</v>
      </c>
      <c r="T21" s="10" t="n">
        <v>3800</v>
      </c>
      <c r="U21" s="10" t="n">
        <v>3800</v>
      </c>
      <c r="V21" s="10" t="n">
        <v>3800</v>
      </c>
      <c r="W21" s="10" t="n">
        <v>3800</v>
      </c>
      <c r="X21" s="10" t="n">
        <v>3800</v>
      </c>
      <c r="Y21" s="10" t="n">
        <v>3800</v>
      </c>
      <c r="Z21" s="10" t="n">
        <v>3800</v>
      </c>
      <c r="AA21" s="10" t="n">
        <v>3800</v>
      </c>
      <c r="AB21" s="10" t="n">
        <v>3800</v>
      </c>
      <c r="AC21" s="10" t="n">
        <v>3800</v>
      </c>
      <c r="AD21" s="10" t="n">
        <v>3800</v>
      </c>
      <c r="AE21" s="10" t="n">
        <v>3800</v>
      </c>
      <c r="AF21" s="10" t="n"/>
      <c r="AG21" s="13">
        <f>SUM(B21:AF21)</f>
        <v/>
      </c>
    </row>
    <row r="22" ht="16.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 s="12">
        <f>SUM(E4:E21)</f>
        <v/>
      </c>
      <c r="F22" s="12">
        <f>SUM(F4:F21)</f>
        <v/>
      </c>
      <c r="G22" s="12">
        <f>SUM(G4:G21)</f>
        <v/>
      </c>
      <c r="H22" s="12">
        <f>SUM(H4:H21)</f>
        <v/>
      </c>
      <c r="I22" s="12">
        <f>SUM(I4:I21)</f>
        <v/>
      </c>
      <c r="J22" s="12">
        <f>SUM(J4:J21)</f>
        <v/>
      </c>
      <c r="K22" s="12">
        <f>SUM(K4:K21)</f>
        <v/>
      </c>
      <c r="L22" s="12">
        <f>SUM(L4:L21)</f>
        <v/>
      </c>
      <c r="M22" s="12">
        <f>SUM(M4:M21)</f>
        <v/>
      </c>
      <c r="N22" s="12">
        <f>SUM(N4:N21)</f>
        <v/>
      </c>
      <c r="O22" s="12">
        <f>SUM(O4:O21)</f>
        <v/>
      </c>
      <c r="P22" s="12">
        <f>SUM(P4:P21)</f>
        <v/>
      </c>
      <c r="Q22" s="12">
        <f>SUM(Q4:Q21)</f>
        <v/>
      </c>
      <c r="R22" s="12">
        <f>SUM(R4:R21)</f>
        <v/>
      </c>
      <c r="S22" s="12">
        <f>SUM(S4:S21)</f>
        <v/>
      </c>
      <c r="T22" s="12">
        <f>SUM(T4:T21)</f>
        <v/>
      </c>
      <c r="U22" s="12">
        <f>SUM(U4:U21)</f>
        <v/>
      </c>
      <c r="V22" s="12">
        <f>SUM(V4:V21)</f>
        <v/>
      </c>
      <c r="W22" s="12">
        <f>SUM(W4:W21)</f>
        <v/>
      </c>
      <c r="X22" s="12">
        <f>SUM(X4:X21)</f>
        <v/>
      </c>
      <c r="Y22" s="12">
        <f>SUM(Y4:Y21)</f>
        <v/>
      </c>
      <c r="Z22" s="12">
        <f>SUM(Z4:Z21)</f>
        <v/>
      </c>
      <c r="AA22" s="12">
        <f>SUM(AA4:AA21)</f>
        <v/>
      </c>
      <c r="AB22" s="12">
        <f>SUM(AB4:AB21)</f>
        <v/>
      </c>
      <c r="AC22" s="12">
        <f>SUM(AC4:AC21)</f>
        <v/>
      </c>
      <c r="AD22" s="12">
        <f>SUM(AD4:AD21)</f>
        <v/>
      </c>
      <c r="AE22" s="12">
        <f>SUM(AE4:AE21)</f>
        <v/>
      </c>
      <c r="AF22" s="12">
        <f>SUM(AF4:AF21)</f>
        <v/>
      </c>
      <c r="AG22" s="22">
        <f>SUM(AG4:AG21)</f>
        <v/>
      </c>
    </row>
    <row r="23" ht="15.75" customHeight="1" thickTop="1">
      <c r="A23" s="15" t="inlineStr">
        <is>
          <t>Money Out</t>
        </is>
      </c>
      <c r="B23" t="n">
        <v>0</v>
      </c>
      <c r="C23" t="n">
        <v>-195399.39</v>
      </c>
      <c r="I23" s="31" t="n"/>
      <c r="J23" s="31" t="n"/>
      <c r="K23" s="31" t="n"/>
      <c r="L23" s="31" t="n"/>
      <c r="P23" s="31" t="n"/>
      <c r="Q23" s="31" t="n"/>
      <c r="R23" s="31" t="n"/>
      <c r="S23" s="31" t="n"/>
      <c r="T23" s="31" t="n"/>
      <c r="U23" t="n"/>
      <c r="W23" s="31" t="n"/>
      <c r="X23" s="31" t="n"/>
      <c r="Y23" s="31" t="n"/>
      <c r="Z23" s="31" t="n"/>
      <c r="AA23" s="31" t="n"/>
      <c r="AB23" s="31" t="n"/>
      <c r="AC23" s="31" t="n"/>
    </row>
    <row r="24">
      <c r="A24" s="15" t="n"/>
      <c r="I24" s="31" t="n"/>
      <c r="J24" s="31" t="n"/>
      <c r="K24" s="31" t="n"/>
      <c r="L24" s="31" t="n"/>
      <c r="P24" s="31" t="n"/>
      <c r="Q24" s="31" t="n"/>
      <c r="R24" s="31" t="n"/>
      <c r="S24" s="31" t="n"/>
      <c r="T24" s="31" t="n"/>
      <c r="W24" s="31" t="n"/>
      <c r="X24" s="31" t="n"/>
      <c r="Y24" s="31" t="n"/>
      <c r="Z24" s="31" t="n"/>
      <c r="AA24" s="31" t="n"/>
      <c r="AB24" s="31" t="n"/>
      <c r="AC24" s="31" t="n"/>
    </row>
    <row r="25">
      <c r="A25" s="15" t="n"/>
      <c r="I25" s="31" t="n"/>
      <c r="J25" s="31" t="n"/>
      <c r="K25" s="31" t="n"/>
      <c r="L25" s="31" t="n"/>
      <c r="P25" s="31" t="n"/>
      <c r="Q25" s="31" t="n"/>
      <c r="R25" s="31" t="n"/>
      <c r="S25" s="31" t="n"/>
      <c r="T25" s="31" t="n"/>
      <c r="W25" s="31" t="n"/>
      <c r="X25" s="31" t="n"/>
      <c r="Y25" s="31" t="n"/>
      <c r="Z25" s="31" t="n"/>
      <c r="AA25" s="31" t="n"/>
      <c r="AB25" s="31" t="n"/>
      <c r="AC25" s="31" t="n"/>
    </row>
    <row r="26">
      <c r="A26" s="1" t="n"/>
      <c r="B26" s="2" t="inlineStr">
        <is>
          <t>Apr</t>
        </is>
      </c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1" t="n"/>
      <c r="AF26" s="1" t="n"/>
      <c r="AG26" s="1" t="n"/>
    </row>
    <row r="27">
      <c r="A27" s="1" t="n"/>
      <c r="B27" s="2" t="inlineStr">
        <is>
          <t>Monday</t>
        </is>
      </c>
      <c r="C27" s="2" t="inlineStr">
        <is>
          <t>Tuesday</t>
        </is>
      </c>
      <c r="D27" s="2" t="inlineStr">
        <is>
          <t>Wednesday</t>
        </is>
      </c>
      <c r="E27" s="2" t="inlineStr">
        <is>
          <t>Thursday</t>
        </is>
      </c>
      <c r="F27" s="2" t="inlineStr">
        <is>
          <t>Friday</t>
        </is>
      </c>
      <c r="G27" s="2" t="inlineStr">
        <is>
          <t>Saturday</t>
        </is>
      </c>
      <c r="H27" s="2" t="inlineStr">
        <is>
          <t>Sunday</t>
        </is>
      </c>
      <c r="I27" s="2" t="inlineStr">
        <is>
          <t>Monday</t>
        </is>
      </c>
      <c r="J27" s="2" t="inlineStr">
        <is>
          <t>Tuesday</t>
        </is>
      </c>
      <c r="K27" s="2" t="inlineStr">
        <is>
          <t>Wednesday</t>
        </is>
      </c>
      <c r="L27" s="2" t="inlineStr">
        <is>
          <t>Thursday</t>
        </is>
      </c>
      <c r="M27" s="2" t="inlineStr">
        <is>
          <t>Friday</t>
        </is>
      </c>
      <c r="N27" s="2" t="inlineStr">
        <is>
          <t>Saturday</t>
        </is>
      </c>
      <c r="O27" s="2" t="inlineStr">
        <is>
          <t>Sunday</t>
        </is>
      </c>
      <c r="P27" s="2" t="inlineStr">
        <is>
          <t>Monday</t>
        </is>
      </c>
      <c r="Q27" s="2" t="inlineStr">
        <is>
          <t>Tuesday</t>
        </is>
      </c>
      <c r="R27" s="2" t="inlineStr">
        <is>
          <t>Wednesday</t>
        </is>
      </c>
      <c r="S27" s="2" t="inlineStr">
        <is>
          <t>Thursday</t>
        </is>
      </c>
      <c r="T27" s="2" t="inlineStr">
        <is>
          <t>Friday</t>
        </is>
      </c>
      <c r="U27" s="2" t="inlineStr">
        <is>
          <t>Saturday</t>
        </is>
      </c>
      <c r="V27" s="2" t="inlineStr">
        <is>
          <t>Sunday</t>
        </is>
      </c>
      <c r="W27" s="2" t="inlineStr">
        <is>
          <t>Monday</t>
        </is>
      </c>
      <c r="X27" s="2" t="inlineStr">
        <is>
          <t>Tuesday</t>
        </is>
      </c>
      <c r="Y27" s="2" t="inlineStr">
        <is>
          <t>Wednesday</t>
        </is>
      </c>
      <c r="Z27" s="2" t="inlineStr">
        <is>
          <t>Thursday</t>
        </is>
      </c>
      <c r="AA27" s="2" t="inlineStr">
        <is>
          <t>Friday</t>
        </is>
      </c>
      <c r="AB27" s="2" t="inlineStr">
        <is>
          <t>Saturday</t>
        </is>
      </c>
      <c r="AC27" s="2" t="inlineStr">
        <is>
          <t>Sunday</t>
        </is>
      </c>
      <c r="AD27" s="2" t="inlineStr">
        <is>
          <t>Monday</t>
        </is>
      </c>
      <c r="AE27" s="2" t="inlineStr">
        <is>
          <t>Tuesday</t>
        </is>
      </c>
      <c r="AF27" s="2" t="n"/>
      <c r="AG27" s="2" t="inlineStr">
        <is>
          <t>Total</t>
        </is>
      </c>
    </row>
    <row r="28">
      <c r="A28" s="1" t="inlineStr">
        <is>
          <t>April</t>
        </is>
      </c>
      <c r="B28" s="3" t="inlineStr">
        <is>
          <t>1st</t>
        </is>
      </c>
      <c r="C28" s="3" t="inlineStr">
        <is>
          <t>2nd</t>
        </is>
      </c>
      <c r="D28" s="3" t="inlineStr">
        <is>
          <t>3rd</t>
        </is>
      </c>
      <c r="E28" s="3" t="inlineStr">
        <is>
          <t>4th</t>
        </is>
      </c>
      <c r="F28" s="3" t="inlineStr">
        <is>
          <t>5th</t>
        </is>
      </c>
      <c r="G28" s="3" t="inlineStr">
        <is>
          <t>6th</t>
        </is>
      </c>
      <c r="H28" s="3" t="inlineStr">
        <is>
          <t>7th</t>
        </is>
      </c>
      <c r="I28" s="4" t="inlineStr">
        <is>
          <t>8th</t>
        </is>
      </c>
      <c r="J28" s="4" t="inlineStr">
        <is>
          <t>9th</t>
        </is>
      </c>
      <c r="K28" s="4" t="inlineStr">
        <is>
          <t>10th</t>
        </is>
      </c>
      <c r="L28" s="4" t="inlineStr">
        <is>
          <t>11th</t>
        </is>
      </c>
      <c r="M28" s="4" t="inlineStr">
        <is>
          <t>12th</t>
        </is>
      </c>
      <c r="N28" s="4" t="inlineStr">
        <is>
          <t>13th</t>
        </is>
      </c>
      <c r="O28" s="4" t="inlineStr">
        <is>
          <t>14th</t>
        </is>
      </c>
      <c r="P28" s="5" t="inlineStr">
        <is>
          <t>15th</t>
        </is>
      </c>
      <c r="Q28" s="5" t="inlineStr">
        <is>
          <t>16th</t>
        </is>
      </c>
      <c r="R28" s="5" t="inlineStr">
        <is>
          <t>17th</t>
        </is>
      </c>
      <c r="S28" s="5" t="inlineStr">
        <is>
          <t>18th</t>
        </is>
      </c>
      <c r="T28" s="5" t="inlineStr">
        <is>
          <t>19th</t>
        </is>
      </c>
      <c r="U28" s="5" t="inlineStr">
        <is>
          <t>20th</t>
        </is>
      </c>
      <c r="V28" s="5" t="inlineStr">
        <is>
          <t>21st</t>
        </is>
      </c>
      <c r="W28" s="6" t="inlineStr">
        <is>
          <t>22nd</t>
        </is>
      </c>
      <c r="X28" s="6" t="inlineStr">
        <is>
          <t>23rd</t>
        </is>
      </c>
      <c r="Y28" s="6" t="inlineStr">
        <is>
          <t>24th</t>
        </is>
      </c>
      <c r="Z28" s="6" t="inlineStr">
        <is>
          <t>25th</t>
        </is>
      </c>
      <c r="AA28" s="6" t="inlineStr">
        <is>
          <t>26th</t>
        </is>
      </c>
      <c r="AB28" s="6" t="inlineStr">
        <is>
          <t>27th</t>
        </is>
      </c>
      <c r="AC28" s="6" t="inlineStr">
        <is>
          <t>28th</t>
        </is>
      </c>
      <c r="AD28" s="7" t="inlineStr">
        <is>
          <t>29th</t>
        </is>
      </c>
      <c r="AE28" s="7" t="inlineStr">
        <is>
          <t>30th</t>
        </is>
      </c>
      <c r="AF28" s="7" t="n"/>
      <c r="AG28" s="1" t="n"/>
    </row>
    <row r="29" ht="18.75" customHeight="1">
      <c r="A29" s="8" t="inlineStr">
        <is>
          <t>B-HAM CITY COUNCIL-200790-70489166</t>
        </is>
      </c>
      <c r="B29" s="72" t="n"/>
      <c r="C29" s="26" t="n"/>
      <c r="D29" s="31" t="n"/>
      <c r="E29" s="31" t="n"/>
      <c r="F29" s="31" t="n"/>
      <c r="G29" s="31" t="n"/>
      <c r="H29" s="26" t="n"/>
      <c r="I29" s="31" t="n"/>
      <c r="J29" s="31" t="n"/>
      <c r="K29" s="12" t="n"/>
      <c r="L29" s="9" t="n"/>
      <c r="M29" t="n">
        <v>5085.24</v>
      </c>
      <c r="N29" s="12" t="n"/>
      <c r="O29" s="12" t="n"/>
      <c r="P29" s="12" t="n"/>
      <c r="Q29" s="12" t="n"/>
      <c r="R29" s="12" t="n"/>
      <c r="S29" s="10" t="n"/>
      <c r="T29" s="31" t="n"/>
      <c r="U29" s="31" t="n"/>
      <c r="V29" s="31" t="n"/>
      <c r="W29" s="16" t="n">
        <v>66705.44</v>
      </c>
      <c r="X29" s="76" t="n"/>
      <c r="Y29" s="9" t="n"/>
      <c r="Z29" s="31" t="n"/>
      <c r="AB29" s="9" t="n"/>
      <c r="AE29" s="12" t="n"/>
      <c r="AF29" s="12" t="n"/>
      <c r="AG29" s="13">
        <f>SUM(B29:AF29)</f>
        <v/>
      </c>
    </row>
    <row r="30" ht="18.75" customHeight="1">
      <c r="A30" s="8" t="inlineStr">
        <is>
          <t>Accord/Age uk</t>
        </is>
      </c>
      <c r="B30" s="31" t="n"/>
      <c r="C30" s="31" t="n"/>
      <c r="D30" s="31" t="n"/>
      <c r="E30" s="31" t="n"/>
      <c r="F30" s="31" t="n"/>
      <c r="G30" s="31" t="n"/>
      <c r="H30" s="26" t="n"/>
      <c r="I30" s="76" t="n"/>
      <c r="J30" s="26" t="n"/>
      <c r="K30" s="12" t="n"/>
      <c r="L30" s="9" t="n"/>
      <c r="M30" s="12" t="n"/>
      <c r="N30" s="12" t="n"/>
      <c r="O30" s="12" t="n"/>
      <c r="P30" s="12" t="n"/>
      <c r="Q30" s="9" t="n"/>
      <c r="R30" s="9" t="n"/>
      <c r="S30" s="12" t="n"/>
      <c r="T30" s="31" t="n"/>
      <c r="U30" s="76" t="n"/>
      <c r="V30" s="31" t="n"/>
      <c r="W30" s="76" t="n"/>
      <c r="X30" s="26" t="n"/>
      <c r="Y30" s="9" t="n"/>
      <c r="Z30" s="26" t="n"/>
      <c r="AA30" s="12" t="n"/>
      <c r="AB30" s="9" t="n"/>
      <c r="AC30" s="9" t="n"/>
      <c r="AD30" s="9" t="n"/>
      <c r="AE30" s="9" t="n"/>
      <c r="AF30" s="9" t="n"/>
      <c r="AG30" s="13">
        <f>SUM(B30:AF30)</f>
        <v/>
      </c>
    </row>
    <row r="31" ht="15.75" customHeight="1">
      <c r="A31" s="8" t="inlineStr">
        <is>
          <t>Buckingham</t>
        </is>
      </c>
      <c r="B31" s="31" t="n"/>
      <c r="C31" s="26" t="n"/>
      <c r="D31" s="26" t="n"/>
      <c r="E31" s="26" t="n"/>
      <c r="F31" s="26" t="n"/>
      <c r="G31" s="26" t="n"/>
      <c r="H31" s="26" t="n"/>
      <c r="I31" s="26" t="n"/>
      <c r="J31" s="26" t="n"/>
      <c r="K31" s="26" t="n"/>
      <c r="L31" s="26" t="n"/>
      <c r="N31" s="9" t="n"/>
      <c r="O31" s="9" t="n"/>
      <c r="P31" s="9" t="n"/>
      <c r="Q31" s="9" t="n"/>
      <c r="T31" s="31" t="n"/>
      <c r="U31" s="26" t="n"/>
      <c r="V31" s="26" t="n"/>
      <c r="W31" s="26" t="n"/>
      <c r="X31" s="26" t="n"/>
      <c r="Y31" s="9" t="n"/>
      <c r="Z31" s="26" t="n"/>
      <c r="AA31" s="9" t="n"/>
      <c r="AB31" s="9" t="n"/>
      <c r="AC31" s="9" t="n"/>
      <c r="AD31" s="12" t="n"/>
      <c r="AE31" s="9" t="n"/>
      <c r="AF31" s="9" t="n"/>
      <c r="AG31" s="13">
        <f>SUM(B31:AF31)</f>
        <v/>
      </c>
    </row>
    <row r="32" ht="15.75" customHeight="1">
      <c r="A32" s="8" t="inlineStr">
        <is>
          <t>Sandwell respite est</t>
        </is>
      </c>
      <c r="B32" s="26" t="n"/>
      <c r="C32" s="26" t="n"/>
      <c r="D32" s="26" t="n">
        <v>3046.4</v>
      </c>
      <c r="E32" s="31" t="n"/>
      <c r="F32" s="26" t="n"/>
      <c r="G32" s="26" t="n"/>
      <c r="H32" s="26" t="n"/>
      <c r="I32" s="26" t="n"/>
      <c r="J32" s="26" t="n"/>
      <c r="K32" s="26" t="n"/>
      <c r="L32" s="26" t="n"/>
      <c r="M32" s="9" t="n"/>
      <c r="N32" s="9" t="n"/>
      <c r="O32" s="9" t="n"/>
      <c r="P32" s="9" t="n"/>
      <c r="Q32" s="26" t="n"/>
      <c r="R32" s="26" t="n">
        <v>10461</v>
      </c>
      <c r="T32" s="26" t="n"/>
      <c r="U32" s="26" t="n"/>
      <c r="V32" s="26" t="n"/>
      <c r="W32" s="26" t="n"/>
      <c r="X32" s="26" t="n"/>
      <c r="Y32" s="9" t="n"/>
      <c r="Z32" s="26" t="n"/>
      <c r="AA32" t="n">
        <v>3264</v>
      </c>
      <c r="AB32" s="26" t="n"/>
      <c r="AC32" s="26" t="n"/>
      <c r="AD32" s="26" t="n"/>
      <c r="AE32" s="9" t="n"/>
      <c r="AF32" s="9" t="n"/>
      <c r="AG32" s="13">
        <f>SUM(B32:AF32)</f>
        <v/>
      </c>
    </row>
    <row r="33" ht="15.75" customHeight="1">
      <c r="A33" s="8" t="inlineStr">
        <is>
          <t xml:space="preserve">Wolverhampton respite est </t>
        </is>
      </c>
      <c r="B33" s="26" t="n"/>
      <c r="C33" s="26" t="n"/>
      <c r="D33" s="26" t="n"/>
      <c r="E33" s="31" t="n"/>
      <c r="F33" s="26" t="n"/>
      <c r="G33" s="26" t="n"/>
      <c r="H33" s="26" t="n"/>
      <c r="I33" s="26" t="n"/>
      <c r="J33" s="26" t="n"/>
      <c r="K33" s="26" t="n"/>
      <c r="L33" s="26" t="n">
        <v>9188.360000000001</v>
      </c>
      <c r="M33" s="9" t="n"/>
      <c r="N33" s="9" t="n"/>
      <c r="O33" s="9" t="n"/>
      <c r="P33" s="9" t="n"/>
      <c r="Q33" s="26" t="n"/>
      <c r="R33" s="26" t="n"/>
      <c r="S33" s="16" t="n">
        <v>6710.38</v>
      </c>
      <c r="T33" s="26" t="n"/>
      <c r="U33" s="26" t="n"/>
      <c r="V33" s="26" t="n"/>
      <c r="W33" s="26" t="n"/>
      <c r="X33" s="26" t="n"/>
      <c r="Y33" s="26" t="n"/>
      <c r="Z33" s="26" t="n">
        <v>6710.4</v>
      </c>
      <c r="AA33" s="9" t="n"/>
      <c r="AB33" s="26" t="n"/>
      <c r="AC33" s="26" t="n"/>
      <c r="AD33" s="26" t="n">
        <v>1501.6</v>
      </c>
      <c r="AE33" s="9" t="n"/>
      <c r="AF33" s="10" t="n"/>
      <c r="AG33" s="13">
        <f>SUM(B33:AF33)</f>
        <v/>
      </c>
    </row>
    <row r="34" ht="15.75" customHeight="1">
      <c r="A34" s="8" t="inlineStr">
        <is>
          <t>Walsall Respite</t>
        </is>
      </c>
      <c r="B34" s="26" t="n"/>
      <c r="C34" s="26" t="n"/>
      <c r="D34" s="26" t="n"/>
      <c r="E34" s="31" t="n"/>
      <c r="F34" s="26" t="n"/>
      <c r="G34" s="31" t="n"/>
      <c r="H34" s="26" t="n"/>
      <c r="I34" s="26" t="n"/>
      <c r="J34" s="26" t="n">
        <v>14714</v>
      </c>
      <c r="K34" s="26" t="n"/>
      <c r="L34" s="31" t="n"/>
      <c r="M34" s="9" t="n"/>
      <c r="N34" s="9" t="n"/>
      <c r="O34" s="9" t="n"/>
      <c r="P34" s="9" t="n"/>
      <c r="Q34" s="26" t="n"/>
      <c r="R34" s="26" t="n"/>
      <c r="S34" s="26" t="n"/>
      <c r="T34" s="31" t="n">
        <v>3014.56</v>
      </c>
      <c r="U34" s="26" t="n"/>
      <c r="V34" s="26" t="n"/>
      <c r="W34" s="26" t="n"/>
      <c r="X34" s="26" t="n"/>
      <c r="Y34" s="26" t="n"/>
      <c r="Z34" s="26" t="n"/>
      <c r="AA34" s="9" t="n"/>
      <c r="AB34" s="26" t="n"/>
      <c r="AC34" s="26" t="n"/>
      <c r="AD34" s="26" t="n"/>
      <c r="AE34" s="9" t="n"/>
      <c r="AF34" s="9" t="n"/>
      <c r="AG34" s="13">
        <f>SUM(B34:AF34)</f>
        <v/>
      </c>
    </row>
    <row r="35" ht="18.75" customHeight="1">
      <c r="A35" s="8" t="inlineStr">
        <is>
          <t>Ideal for All Ltd</t>
        </is>
      </c>
      <c r="B35" s="26" t="n"/>
      <c r="C35" s="31" t="n"/>
      <c r="D35" s="31" t="n"/>
      <c r="E35" s="31" t="n"/>
      <c r="F35" s="31" t="n"/>
      <c r="G35" s="76" t="n"/>
      <c r="H35" s="31" t="n"/>
      <c r="I35" s="76" t="n"/>
      <c r="J35" s="31" t="n"/>
      <c r="K35" s="31" t="n"/>
      <c r="L35" s="31" t="n"/>
      <c r="M35" t="n">
        <v>2516.8</v>
      </c>
      <c r="N35" s="9" t="n"/>
      <c r="Q35" s="31" t="n"/>
      <c r="R35" s="76" t="n"/>
      <c r="S35" s="31" t="n"/>
      <c r="T35" s="26" t="n"/>
      <c r="U35" s="26" t="n"/>
      <c r="V35" s="26" t="n"/>
      <c r="W35" s="31" t="n"/>
      <c r="X35" s="26" t="n"/>
      <c r="Y35" s="31" t="n"/>
      <c r="Z35" s="26" t="n"/>
      <c r="AA35" s="12" t="n"/>
      <c r="AB35" s="26" t="n"/>
      <c r="AC35" s="26" t="n"/>
      <c r="AD35" s="31" t="n">
        <v>3661.88</v>
      </c>
      <c r="AE35" s="11" t="n"/>
      <c r="AF35" s="9" t="n"/>
      <c r="AG35" s="13">
        <f>SUM(B35:AF35)</f>
        <v/>
      </c>
    </row>
    <row r="36" ht="15.75" customHeight="1">
      <c r="A36" s="8" t="inlineStr">
        <is>
          <t>KIRKLEES COUNCIL-204312-63046958</t>
        </is>
      </c>
      <c r="B36" s="26" t="n"/>
      <c r="C36" s="26" t="n"/>
      <c r="D36" s="26" t="n"/>
      <c r="E36" s="31" t="n"/>
      <c r="F36" s="31" t="n"/>
      <c r="G36" s="31" t="n"/>
      <c r="H36" s="26" t="n"/>
      <c r="I36" s="26" t="n"/>
      <c r="J36" s="31" t="n"/>
      <c r="K36" s="31" t="n"/>
      <c r="L36" s="26" t="n"/>
      <c r="M36" s="12" t="n"/>
      <c r="N36" s="9" t="n"/>
      <c r="O36" s="9" t="n"/>
      <c r="P36" s="12" t="n"/>
      <c r="Q36" s="26" t="n"/>
      <c r="R36" s="31" t="n"/>
      <c r="S36" s="26" t="n"/>
      <c r="T36" s="26" t="n"/>
      <c r="U36" s="26" t="n"/>
      <c r="V36" s="26" t="n"/>
      <c r="W36" s="31" t="n"/>
      <c r="X36" s="31" t="n"/>
      <c r="Y36" s="31" t="n"/>
      <c r="Z36" s="31" t="n"/>
      <c r="AB36" s="26" t="n"/>
      <c r="AC36" s="26" t="n"/>
      <c r="AD36" s="31" t="n"/>
      <c r="AE36" s="12" t="inlineStr">
        <is>
          <t> </t>
        </is>
      </c>
      <c r="AF36" s="12" t="n"/>
      <c r="AG36" s="13">
        <f>SUM(B36:AF36)</f>
        <v/>
      </c>
    </row>
    <row r="37" ht="15.75" customHeight="1">
      <c r="A37" s="8" t="inlineStr">
        <is>
          <t>LBH PAYMENTS BACS-602210-72430192</t>
        </is>
      </c>
      <c r="B37" s="26" t="n"/>
      <c r="C37" s="26" t="n"/>
      <c r="D37" s="26" t="n"/>
      <c r="E37" s="31" t="n"/>
      <c r="F37" s="26" t="n"/>
      <c r="G37" s="26" t="n"/>
      <c r="H37" s="26" t="n"/>
      <c r="I37" s="26" t="n"/>
      <c r="J37" s="26" t="n"/>
      <c r="K37" s="26" t="n"/>
      <c r="L37" s="26" t="n"/>
      <c r="M37" s="12" t="n"/>
      <c r="N37" s="9" t="n"/>
      <c r="O37" s="9" t="n"/>
      <c r="P37" s="9" t="n"/>
      <c r="Q37" s="26" t="n"/>
      <c r="R37" s="26" t="n"/>
      <c r="S37" s="31" t="n"/>
      <c r="T37" s="26" t="n"/>
      <c r="U37" s="26" t="n"/>
      <c r="V37" s="26" t="n"/>
      <c r="W37" s="31" t="n"/>
      <c r="X37" s="26" t="n"/>
      <c r="Y37" s="26" t="n">
        <v>5040</v>
      </c>
      <c r="Z37" s="26" t="n"/>
      <c r="AB37" s="26" t="n"/>
      <c r="AC37" s="26" t="n"/>
      <c r="AD37" s="26" t="n"/>
      <c r="AE37" s="9" t="n"/>
      <c r="AF37" s="9" t="n"/>
      <c r="AG37" s="13">
        <f>SUM(B37:AF37)</f>
        <v/>
      </c>
    </row>
    <row r="38" ht="15.75" customHeight="1">
      <c r="A38" s="8" t="inlineStr">
        <is>
          <t>NHS BIRMINGHAM &amp; S-607080-10017097</t>
        </is>
      </c>
      <c r="B38" s="26" t="n"/>
      <c r="C38" s="26" t="n"/>
      <c r="D38" s="31" t="n"/>
      <c r="E38" s="31" t="n"/>
      <c r="F38" s="31" t="n"/>
      <c r="G38" s="26" t="inlineStr"/>
      <c r="H38" s="26" t="inlineStr"/>
      <c r="I38" s="31" t="n"/>
      <c r="J38" s="31" t="n"/>
      <c r="K38" s="31" t="n">
        <v>7121.63</v>
      </c>
      <c r="L38" s="31" t="n"/>
      <c r="M38" s="12" t="n"/>
      <c r="N38" s="12" t="n"/>
      <c r="O38" s="12" t="n"/>
      <c r="P38" s="12" t="n"/>
      <c r="Q38" s="26" t="inlineStr"/>
      <c r="R38" s="26" t="n"/>
      <c r="S38" s="26" t="n"/>
      <c r="T38" s="26" t="n"/>
      <c r="U38" s="26" t="n"/>
      <c r="V38" s="26" t="n"/>
      <c r="W38" s="26" t="n"/>
      <c r="X38" s="26" t="n"/>
      <c r="Y38" s="26" t="n"/>
      <c r="Z38" s="26" t="n"/>
      <c r="AA38" s="9" t="n"/>
      <c r="AB38" s="26" t="n"/>
      <c r="AC38" s="26" t="n"/>
      <c r="AD38" s="26" t="n"/>
      <c r="AE38" s="9" t="n"/>
      <c r="AF38" s="9" t="n"/>
      <c r="AG38" s="13">
        <f>SUM(B38:AF38)</f>
        <v/>
      </c>
    </row>
    <row r="39" ht="15.75" customHeight="1">
      <c r="A39" s="8" t="inlineStr">
        <is>
          <t>NHS BLACK COUNTRY-607080-10015272</t>
        </is>
      </c>
      <c r="B39" s="26" t="n"/>
      <c r="C39" s="26" t="n"/>
      <c r="D39" s="26" t="n"/>
      <c r="E39" s="31" t="n"/>
      <c r="F39" s="75" t="n"/>
      <c r="G39" s="26" t="inlineStr"/>
      <c r="H39" s="26" t="inlineStr"/>
      <c r="I39" s="31" t="n"/>
      <c r="J39" s="31" t="n"/>
      <c r="K39" s="26" t="n"/>
      <c r="L39" s="26" t="inlineStr"/>
      <c r="N39" s="9" t="inlineStr"/>
      <c r="O39" s="9" t="inlineStr"/>
      <c r="P39" t="n">
        <v>13185.64</v>
      </c>
      <c r="Q39" s="31" t="n"/>
      <c r="R39" s="26" t="n"/>
      <c r="S39" s="26" t="n"/>
      <c r="T39" s="26" t="n"/>
      <c r="U39" s="26" t="n"/>
      <c r="V39" s="31" t="n"/>
      <c r="W39" s="26" t="n"/>
      <c r="X39" s="26" t="n"/>
      <c r="Y39" s="26" t="n"/>
      <c r="Z39" s="26" t="n"/>
      <c r="AA39" s="9" t="n"/>
      <c r="AB39" s="26" t="n"/>
      <c r="AC39" s="26" t="n"/>
      <c r="AD39" s="31" t="n">
        <v>8073.21</v>
      </c>
      <c r="AE39" s="9" t="n"/>
      <c r="AF39" s="9" t="n"/>
      <c r="AG39" s="13">
        <f>SUM(B39:AF39)</f>
        <v/>
      </c>
    </row>
    <row r="40" ht="15.75" customHeight="1">
      <c r="A40" s="14" t="inlineStr">
        <is>
          <t>SANDWELL MBC  BEN-601539-69624151</t>
        </is>
      </c>
      <c r="B40" s="26" t="n"/>
      <c r="C40" s="31" t="n"/>
      <c r="D40" s="26" t="n"/>
      <c r="E40" s="31" t="n"/>
      <c r="F40" s="26" t="n"/>
      <c r="G40" s="26" t="n"/>
      <c r="H40" s="26" t="n"/>
      <c r="I40" s="26" t="n"/>
      <c r="J40" s="26" t="n"/>
      <c r="K40" s="26" t="n"/>
      <c r="L40" s="26" t="n"/>
      <c r="M40" s="9" t="n"/>
      <c r="N40" s="9" t="n"/>
      <c r="O40" s="12" t="n"/>
      <c r="P40" s="9" t="n"/>
      <c r="Q40" s="26" t="n"/>
      <c r="R40" s="26" t="n"/>
      <c r="S40" s="26" t="n"/>
      <c r="T40" s="26" t="n"/>
      <c r="U40" s="26" t="n"/>
      <c r="V40" s="26" t="n"/>
      <c r="W40" s="26" t="n"/>
      <c r="X40" s="26" t="n"/>
      <c r="Y40" s="31" t="n"/>
      <c r="Z40" s="26" t="n"/>
      <c r="AA40" s="9" t="n"/>
      <c r="AB40" s="26" t="n"/>
      <c r="AC40" s="26" t="n"/>
      <c r="AD40" s="31" t="n">
        <v>3040</v>
      </c>
      <c r="AE40" s="9" t="n"/>
      <c r="AF40" s="9" t="n"/>
      <c r="AG40" s="13">
        <f>SUM(B40:AF40)</f>
        <v/>
      </c>
    </row>
    <row r="41" ht="15.75" customHeight="1">
      <c r="A41" s="14" t="inlineStr">
        <is>
          <t>SANDWELL MBC-601539-69624135</t>
        </is>
      </c>
      <c r="B41" s="26" t="n"/>
      <c r="C41" s="31" t="n"/>
      <c r="D41" s="26" t="n">
        <v>127488.96</v>
      </c>
      <c r="E41" s="31" t="n"/>
      <c r="F41" s="26" t="n"/>
      <c r="G41" s="26" t="n"/>
      <c r="H41" s="26" t="n"/>
      <c r="I41" s="26" t="n"/>
      <c r="J41" s="26" t="n"/>
      <c r="K41" s="26" t="n"/>
      <c r="L41" s="26" t="n"/>
      <c r="M41" s="9" t="n"/>
      <c r="N41" s="9" t="n"/>
      <c r="O41" s="9" t="n"/>
      <c r="P41" t="n">
        <v>120054.72</v>
      </c>
      <c r="Q41" s="26" t="n"/>
      <c r="R41" s="26" t="n"/>
      <c r="S41" s="26" t="n"/>
      <c r="T41" s="26" t="n"/>
      <c r="U41" s="26" t="n"/>
      <c r="V41" s="26" t="n"/>
      <c r="W41" s="26" t="n"/>
      <c r="X41" s="26" t="n"/>
      <c r="Y41" s="26" t="n"/>
      <c r="Z41" s="26" t="n"/>
      <c r="AA41" s="9" t="n"/>
      <c r="AB41" s="26" t="n"/>
      <c r="AC41" s="26" t="n"/>
      <c r="AD41" s="31" t="n"/>
      <c r="AE41" s="9" t="n"/>
      <c r="AF41" s="9" t="n"/>
      <c r="AG41" s="13">
        <f>SUM(B41:AF41)</f>
        <v/>
      </c>
    </row>
    <row r="42" ht="15.75" customHeight="1">
      <c r="A42" s="15" t="inlineStr">
        <is>
          <t>SOLIHULL MBC EXP.-200771-00561525</t>
        </is>
      </c>
      <c r="B42" s="26" t="n"/>
      <c r="C42" s="26" t="n"/>
      <c r="D42" s="26" t="n"/>
      <c r="E42" s="26" t="n"/>
      <c r="F42" s="26" t="n"/>
      <c r="G42" s="26" t="n"/>
      <c r="H42" s="26" t="n"/>
      <c r="I42" s="26" t="n"/>
      <c r="J42" s="26" t="n"/>
      <c r="K42" s="26" t="n"/>
      <c r="L42" s="26" t="n"/>
      <c r="M42" s="9" t="n"/>
      <c r="N42" s="9" t="n"/>
      <c r="O42" s="9" t="n"/>
      <c r="P42" s="9" t="n"/>
      <c r="Q42" s="26" t="n"/>
      <c r="R42" s="31" t="n"/>
      <c r="S42" s="26" t="n"/>
      <c r="T42" s="26" t="n"/>
      <c r="U42" s="26" t="n"/>
      <c r="V42" s="26" t="n"/>
      <c r="W42" s="31" t="n">
        <v>31005.52</v>
      </c>
      <c r="X42" s="26" t="n"/>
      <c r="Y42" s="26" t="n"/>
      <c r="Z42" s="26" t="n"/>
      <c r="AA42" s="9" t="n"/>
      <c r="AB42" s="26" t="n"/>
      <c r="AC42" s="26" t="n"/>
      <c r="AD42" s="26" t="n"/>
      <c r="AE42" s="9" t="n"/>
      <c r="AF42" s="9" t="n"/>
      <c r="AG42" s="13">
        <f>SUM(B42:AF42)</f>
        <v/>
      </c>
    </row>
    <row r="43" ht="15.75" customHeight="1">
      <c r="A43" s="15" t="inlineStr">
        <is>
          <t>WALSALL MBC BARC-209073-10731692</t>
        </is>
      </c>
      <c r="B43" s="26" t="n"/>
      <c r="C43" s="26" t="n"/>
      <c r="D43" s="26" t="n"/>
      <c r="E43" s="26" t="n"/>
      <c r="F43" s="26" t="n"/>
      <c r="G43" s="31" t="n"/>
      <c r="H43" s="26" t="n"/>
      <c r="I43" s="26" t="n"/>
      <c r="J43" s="26" t="n">
        <v>170895.24</v>
      </c>
      <c r="K43" s="26" t="n"/>
      <c r="L43" s="26" t="n"/>
      <c r="M43" s="9" t="n"/>
      <c r="N43" s="9" t="n"/>
      <c r="O43" s="9" t="n"/>
      <c r="P43" s="9" t="n"/>
      <c r="Q43" s="26" t="n"/>
      <c r="R43" s="26" t="n"/>
      <c r="S43" s="26" t="n"/>
      <c r="T43" s="26" t="n"/>
      <c r="U43" s="26" t="n"/>
      <c r="V43" s="26" t="n"/>
      <c r="W43" s="26" t="n"/>
      <c r="X43" s="26" t="n"/>
      <c r="Y43" s="26" t="n"/>
      <c r="Z43" s="26" t="n"/>
      <c r="AA43" s="9" t="n"/>
      <c r="AB43" s="26" t="n"/>
      <c r="AC43" s="26" t="n"/>
      <c r="AD43" s="26">
        <f>11780-AD33</f>
        <v/>
      </c>
      <c r="AE43" s="9" t="n"/>
      <c r="AF43" s="9" t="n"/>
      <c r="AG43" s="13">
        <f>SUM(B43:AF43)</f>
        <v/>
      </c>
    </row>
    <row r="44" ht="15.75" customHeight="1">
      <c r="A44" s="15" t="inlineStr">
        <is>
          <t>WOLVERHAMPTON CC-560069-44470320</t>
        </is>
      </c>
      <c r="B44" s="26" t="n"/>
      <c r="C44" s="26" t="n"/>
      <c r="D44" s="26" t="n"/>
      <c r="E44" s="31" t="n"/>
      <c r="F44" s="16" t="n">
        <v>123811.6</v>
      </c>
      <c r="G44" s="26" t="n"/>
      <c r="H44" s="26" t="n"/>
      <c r="I44" s="26" t="n"/>
      <c r="J44" s="26" t="n"/>
      <c r="K44" s="26" t="n"/>
      <c r="L44" s="16" t="n">
        <v>112181.52</v>
      </c>
      <c r="M44" s="9" t="n"/>
      <c r="N44" s="9" t="n"/>
      <c r="O44" s="9" t="n"/>
      <c r="P44" s="9" t="n"/>
      <c r="Q44" s="26" t="n"/>
      <c r="R44" s="26" t="n"/>
      <c r="S44" s="16" t="n">
        <v>108929.04</v>
      </c>
      <c r="T44" s="26" t="n"/>
      <c r="U44" s="26" t="n"/>
      <c r="V44" s="26" t="n"/>
      <c r="W44" s="26" t="n"/>
      <c r="X44" s="26" t="n"/>
      <c r="Y44" s="26" t="n"/>
      <c r="Z44" s="26" t="n">
        <v>112955.93</v>
      </c>
      <c r="AA44" s="12" t="n"/>
      <c r="AB44" s="26" t="n"/>
      <c r="AC44" s="26" t="n"/>
      <c r="AD44" s="26" t="n"/>
      <c r="AE44" s="73" t="n">
        <v>10270.4</v>
      </c>
      <c r="AF44" s="9" t="n"/>
      <c r="AG44" s="13">
        <f>SUM(B44:AF44)</f>
        <v/>
      </c>
    </row>
    <row r="45" ht="15.75" customHeight="1">
      <c r="A45" s="15" t="inlineStr">
        <is>
          <t>TLC</t>
        </is>
      </c>
      <c r="B45" s="26" t="n">
        <v>200</v>
      </c>
      <c r="C45" s="26" t="n"/>
      <c r="D45" s="31" t="n"/>
      <c r="E45" s="31" t="n"/>
      <c r="F45" s="26" t="n"/>
      <c r="G45" s="26" t="n"/>
      <c r="H45" s="26" t="n"/>
      <c r="I45" s="26" t="n"/>
      <c r="J45" s="26" t="n"/>
      <c r="K45" s="26" t="n"/>
      <c r="L45" s="31" t="n"/>
      <c r="M45" s="12" t="n"/>
      <c r="N45" s="9" t="n"/>
      <c r="O45" s="12" t="n"/>
      <c r="P45" s="12" t="n"/>
      <c r="Q45" s="26" t="n"/>
      <c r="R45" s="26" t="n"/>
      <c r="S45" s="31" t="n"/>
      <c r="T45" s="26" t="n"/>
      <c r="U45" s="26" t="n"/>
      <c r="V45" s="26" t="n"/>
      <c r="W45" s="26" t="n"/>
      <c r="X45" s="26" t="n"/>
      <c r="Y45" s="26" t="n"/>
      <c r="Z45" s="26" t="n"/>
      <c r="AA45" s="9" t="n"/>
      <c r="AB45" s="26" t="n"/>
      <c r="AC45" s="31" t="n"/>
      <c r="AD45" s="26" t="n"/>
      <c r="AE45" s="9" t="n"/>
      <c r="AF45" s="9" t="n"/>
      <c r="AG45" s="13">
        <f>SUM(B45:AF45)</f>
        <v/>
      </c>
    </row>
    <row r="46" ht="15.75" customHeight="1">
      <c r="A46" s="15" t="inlineStr">
        <is>
          <t>HB SC</t>
        </is>
      </c>
      <c r="B46" s="16" t="n">
        <v>0</v>
      </c>
      <c r="C46" s="16" t="n">
        <v>14719.19</v>
      </c>
      <c r="D46" s="16" t="n">
        <v>1670.550000000003</v>
      </c>
      <c r="E46" s="16" t="n">
        <v>3899.9</v>
      </c>
      <c r="F46" s="16" t="n">
        <v>3380.309999999998</v>
      </c>
      <c r="G46" s="16" t="n">
        <v>0</v>
      </c>
      <c r="H46" s="16" t="n">
        <v>0</v>
      </c>
      <c r="I46" s="16" t="n">
        <v>4436.41</v>
      </c>
      <c r="J46" s="16" t="n">
        <v>2845.450000000012</v>
      </c>
      <c r="K46" s="16" t="n">
        <v>1452.36</v>
      </c>
      <c r="L46" s="16" t="n">
        <v>1657.630000000005</v>
      </c>
      <c r="M46" s="16" t="n">
        <v>4396.460000000001</v>
      </c>
      <c r="N46" s="16" t="n">
        <v>20</v>
      </c>
      <c r="O46" s="16" t="n">
        <v>150</v>
      </c>
      <c r="P46" s="16" t="n">
        <v>5306.289999999994</v>
      </c>
      <c r="Q46" s="16" t="n">
        <v>2807.74</v>
      </c>
      <c r="R46" s="16" t="n">
        <v>1771.860000000001</v>
      </c>
      <c r="S46" s="16" t="n">
        <v>2751.839999999997</v>
      </c>
      <c r="T46" s="16" t="n">
        <v>2304.33</v>
      </c>
      <c r="U46" s="16" t="n">
        <v>150</v>
      </c>
      <c r="V46" s="16" t="n">
        <v>0</v>
      </c>
      <c r="W46" s="16" t="n">
        <v>7782.489999999991</v>
      </c>
      <c r="X46" s="16" t="n">
        <v>6956.120000000001</v>
      </c>
      <c r="Y46" s="16" t="n">
        <v>4049.879999999999</v>
      </c>
      <c r="Z46" s="16" t="n">
        <v>1364.789999999994</v>
      </c>
      <c r="AA46" s="16" t="n">
        <v>7797.630000000005</v>
      </c>
      <c r="AB46" s="16" t="n">
        <v>291.6</v>
      </c>
      <c r="AC46" s="16" t="n">
        <v>150</v>
      </c>
      <c r="AD46" s="16" t="n">
        <v>9665.460000000025</v>
      </c>
      <c r="AE46" s="16" t="n">
        <v>5605.31</v>
      </c>
      <c r="AF46" s="10" t="n"/>
      <c r="AG46" s="13">
        <f>SUM(B46:AF46)</f>
        <v/>
      </c>
    </row>
    <row r="47" ht="16.5" customHeight="1" thickBot="1">
      <c r="A47" s="15" t="inlineStr">
        <is>
          <t>Total</t>
        </is>
      </c>
      <c r="B47" s="31">
        <f>SUM(B29:B46)</f>
        <v/>
      </c>
      <c r="C47" s="31">
        <f>SUM(C29:C46)</f>
        <v/>
      </c>
      <c r="D47" s="31">
        <f>SUM(D29:D46)</f>
        <v/>
      </c>
      <c r="E47" s="31">
        <f>SUM(E29:E46)</f>
        <v/>
      </c>
      <c r="F47" s="31">
        <f>SUM(F29:F46)</f>
        <v/>
      </c>
      <c r="G47" s="31">
        <f>SUM(G29:G46)</f>
        <v/>
      </c>
      <c r="H47" s="31">
        <f>SUM(H29:H46)</f>
        <v/>
      </c>
      <c r="I47" s="31">
        <f>SUM(I29:I46)</f>
        <v/>
      </c>
      <c r="J47" s="31">
        <f>SUM(J29:J46)</f>
        <v/>
      </c>
      <c r="K47" s="31">
        <f>SUM(K29:K46)</f>
        <v/>
      </c>
      <c r="L47" s="31">
        <f>SUM(L29:L46)</f>
        <v/>
      </c>
      <c r="M47" s="31">
        <f>SUM(M29:M46)</f>
        <v/>
      </c>
      <c r="N47" s="31" t="n">
        <v>0</v>
      </c>
      <c r="O47" s="31">
        <f>SUM(O29:O46)</f>
        <v/>
      </c>
      <c r="P47" s="31">
        <f>SUM(P29:P46)</f>
        <v/>
      </c>
      <c r="Q47" s="31">
        <f>SUM(Q29:Q46)</f>
        <v/>
      </c>
      <c r="R47" s="31" t="n">
        <v>12232.86</v>
      </c>
      <c r="S47" s="31" t="n">
        <v>118391.26</v>
      </c>
      <c r="T47" s="31" t="n">
        <v>5318.89</v>
      </c>
      <c r="U47" s="31" t="n">
        <v>150</v>
      </c>
      <c r="V47" s="31" t="n">
        <v>0</v>
      </c>
      <c r="W47" s="31" t="n">
        <v>105493.45</v>
      </c>
      <c r="X47" s="31" t="n">
        <v>3644.7</v>
      </c>
      <c r="Y47" s="31">
        <f>SUM(Y29:Y46)</f>
        <v/>
      </c>
      <c r="Z47" s="31">
        <f>SUM(Z29:Z46)</f>
        <v/>
      </c>
      <c r="AA47" s="31">
        <f>SUM(AA29:AA46)</f>
        <v/>
      </c>
      <c r="AB47" s="31">
        <f>SUM(AB29:AB46)</f>
        <v/>
      </c>
      <c r="AC47" s="31">
        <f>SUM(AC29:AC46)</f>
        <v/>
      </c>
      <c r="AD47" s="31">
        <f>SUM(AD29:AD46)</f>
        <v/>
      </c>
      <c r="AE47" s="31">
        <f>SUM(AE29:AE46)</f>
        <v/>
      </c>
      <c r="AF47" s="12">
        <f>SUM(AF29:AF46)</f>
        <v/>
      </c>
      <c r="AG47" s="22">
        <f>SUM(AG29:AG46)</f>
        <v/>
      </c>
    </row>
    <row r="48" ht="15.75" customHeight="1" thickTop="1">
      <c r="A48" s="15" t="inlineStr">
        <is>
          <t>Money Out</t>
        </is>
      </c>
      <c r="B48" s="31" t="n">
        <v>0</v>
      </c>
      <c r="C48" s="31" t="n">
        <v>-195399.39</v>
      </c>
      <c r="D48" s="31" t="n">
        <v>-2607.86</v>
      </c>
      <c r="E48" s="31" t="n">
        <v>-6737.690000000001</v>
      </c>
      <c r="F48" s="31" t="n">
        <v>-205014.6</v>
      </c>
      <c r="G48" s="31" t="n">
        <v>0</v>
      </c>
      <c r="H48" s="31" t="n">
        <v>0</v>
      </c>
      <c r="I48" s="31" t="n">
        <v>-24863.83</v>
      </c>
      <c r="J48" s="31" t="n">
        <v>-10900.01000000001</v>
      </c>
      <c r="K48" s="31" t="n">
        <v>-1530.1</v>
      </c>
      <c r="L48" s="31" t="n">
        <v>-2270.61</v>
      </c>
      <c r="M48" t="n">
        <v>-46544.85</v>
      </c>
      <c r="N48" s="31" t="n">
        <v>0</v>
      </c>
      <c r="O48" s="31" t="n">
        <v>0</v>
      </c>
      <c r="P48" s="31" t="n">
        <v>-23381.09</v>
      </c>
      <c r="Q48" s="31" t="n">
        <v>-7842.88</v>
      </c>
      <c r="R48" s="31" t="n">
        <v>-612</v>
      </c>
      <c r="S48" s="31" t="n">
        <v>-1626.259999999995</v>
      </c>
      <c r="T48" s="31" t="n">
        <v>-14725.79</v>
      </c>
      <c r="U48" s="31" t="n">
        <v>0</v>
      </c>
      <c r="V48" s="31" t="n">
        <v>0</v>
      </c>
      <c r="W48" s="31" t="n">
        <v>-93154.87</v>
      </c>
      <c r="X48" s="31" t="n">
        <v>-10249.66</v>
      </c>
      <c r="Y48" s="31" t="n">
        <v>-8882.470000000001</v>
      </c>
      <c r="Z48" s="31" t="n">
        <v>-28856.42</v>
      </c>
      <c r="AA48" s="31" t="n">
        <v>-39690.42</v>
      </c>
      <c r="AB48" s="31" t="n">
        <v>0</v>
      </c>
      <c r="AC48" s="31" t="n">
        <v>0</v>
      </c>
      <c r="AD48" t="n">
        <v>-7284.49</v>
      </c>
      <c r="AE48" t="n">
        <v>-718089.58</v>
      </c>
    </row>
    <row r="49">
      <c r="B49" s="31" t="n"/>
      <c r="C49" s="31" t="n"/>
      <c r="D49" s="31" t="n"/>
      <c r="E49" s="31" t="n"/>
      <c r="F49" s="31" t="n"/>
    </row>
    <row r="50">
      <c r="A50" s="51" t="inlineStr">
        <is>
          <t>Chasing</t>
        </is>
      </c>
    </row>
    <row r="51">
      <c r="A51" t="inlineStr">
        <is>
          <t>Birmingham</t>
        </is>
      </c>
      <c r="B51" t="n">
        <v>10218.6</v>
      </c>
    </row>
    <row r="52">
      <c r="A52" t="inlineStr">
        <is>
          <t>Nhs Birmingham</t>
        </is>
      </c>
      <c r="B52" t="n">
        <v>0</v>
      </c>
    </row>
    <row r="53">
      <c r="A53" t="inlineStr">
        <is>
          <t>NHS Black country Foundation</t>
        </is>
      </c>
      <c r="B53" t="n">
        <v>0</v>
      </c>
    </row>
    <row r="54">
      <c r="A54" t="inlineStr">
        <is>
          <t>Nhs black country</t>
        </is>
      </c>
      <c r="B54" t="n">
        <v>0</v>
      </c>
    </row>
    <row r="55">
      <c r="A55" t="inlineStr">
        <is>
          <t>Sandwell</t>
        </is>
      </c>
      <c r="B55" t="n">
        <v>27026.4</v>
      </c>
    </row>
    <row r="56">
      <c r="A56" s="52" t="inlineStr">
        <is>
          <t xml:space="preserve">Walsall </t>
        </is>
      </c>
      <c r="B56" t="n">
        <v>5797.96</v>
      </c>
    </row>
    <row r="57">
      <c r="A57" t="inlineStr">
        <is>
          <t>Wolverhampton</t>
        </is>
      </c>
      <c r="B57" t="n">
        <v>35078.08</v>
      </c>
    </row>
    <row r="58" ht="15.75" customHeight="1" thickBot="1">
      <c r="A58" s="50" t="inlineStr">
        <is>
          <t>Total</t>
        </is>
      </c>
      <c r="B58" s="29">
        <f>SUM(B51:B57)</f>
        <v/>
      </c>
    </row>
    <row r="59" ht="15.75" customHeight="1" thickTop="1"/>
    <row r="60">
      <c r="B60" t="inlineStr">
        <is>
          <t>  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/>
  </sheetPr>
  <dimension ref="A1:AG69"/>
  <sheetViews>
    <sheetView topLeftCell="A42" workbookViewId="0">
      <pane xSplit="1" topLeftCell="K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10.140625" bestFit="1" customWidth="1" min="2" max="2"/>
    <col width="11.28515625" bestFit="1" customWidth="1" min="8" max="8"/>
    <col width="10.140625" bestFit="1" customWidth="1" min="14" max="14"/>
    <col width="11.28515625" bestFit="1" customWidth="1" min="17" max="17"/>
    <col width="11" bestFit="1" customWidth="1" min="29" max="29"/>
    <col width="10.140625" bestFit="1" customWidth="1" min="32" max="32"/>
    <col width="12.5703125" bestFit="1" customWidth="1" min="33" max="33"/>
  </cols>
  <sheetData>
    <row r="1">
      <c r="A1" s="1" t="n"/>
      <c r="B1" s="2" t="inlineStr">
        <is>
          <t>May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Wednesday</t>
        </is>
      </c>
      <c r="C2" s="2" t="inlineStr">
        <is>
          <t>Thursday</t>
        </is>
      </c>
      <c r="D2" s="2" t="inlineStr">
        <is>
          <t>Friday</t>
        </is>
      </c>
      <c r="E2" s="2" t="inlineStr">
        <is>
          <t>Saturday</t>
        </is>
      </c>
      <c r="F2" s="2" t="inlineStr">
        <is>
          <t>Sunday</t>
        </is>
      </c>
      <c r="G2" s="34" t="inlineStr">
        <is>
          <t>Monday</t>
        </is>
      </c>
      <c r="H2" s="2" t="inlineStr">
        <is>
          <t>Tuesday</t>
        </is>
      </c>
      <c r="I2" s="2" t="inlineStr">
        <is>
          <t>Wednesday</t>
        </is>
      </c>
      <c r="J2" s="2" t="inlineStr">
        <is>
          <t>Thursday</t>
        </is>
      </c>
      <c r="K2" s="2" t="inlineStr">
        <is>
          <t>Friday</t>
        </is>
      </c>
      <c r="L2" s="2" t="inlineStr">
        <is>
          <t>Saturday</t>
        </is>
      </c>
      <c r="M2" s="2" t="inlineStr">
        <is>
          <t>Sunday</t>
        </is>
      </c>
      <c r="N2" s="2" t="inlineStr">
        <is>
          <t>Monday</t>
        </is>
      </c>
      <c r="O2" s="2" t="inlineStr">
        <is>
          <t>Tuesday</t>
        </is>
      </c>
      <c r="P2" s="2" t="inlineStr">
        <is>
          <t>Wednesday</t>
        </is>
      </c>
      <c r="Q2" s="2" t="inlineStr">
        <is>
          <t>Thursday</t>
        </is>
      </c>
      <c r="R2" s="2" t="inlineStr">
        <is>
          <t>Friday</t>
        </is>
      </c>
      <c r="S2" s="2" t="inlineStr">
        <is>
          <t>Saturday</t>
        </is>
      </c>
      <c r="T2" s="2" t="inlineStr">
        <is>
          <t>Sunday</t>
        </is>
      </c>
      <c r="U2" s="2" t="inlineStr">
        <is>
          <t>Monday</t>
        </is>
      </c>
      <c r="V2" s="2" t="inlineStr">
        <is>
          <t>Tuesday</t>
        </is>
      </c>
      <c r="W2" s="2" t="inlineStr">
        <is>
          <t>Wednesday</t>
        </is>
      </c>
      <c r="X2" s="2" t="inlineStr">
        <is>
          <t>Thursday</t>
        </is>
      </c>
      <c r="Y2" s="2" t="inlineStr">
        <is>
          <t>Friday</t>
        </is>
      </c>
      <c r="Z2" s="2" t="inlineStr">
        <is>
          <t>Saturday</t>
        </is>
      </c>
      <c r="AA2" s="2" t="inlineStr">
        <is>
          <t>Sunday</t>
        </is>
      </c>
      <c r="AB2" s="34" t="inlineStr">
        <is>
          <t>Monday</t>
        </is>
      </c>
      <c r="AC2" s="2" t="inlineStr">
        <is>
          <t>Tuesday</t>
        </is>
      </c>
      <c r="AD2" s="2" t="inlineStr">
        <is>
          <t>Wednesday</t>
        </is>
      </c>
      <c r="AE2" s="2" t="inlineStr">
        <is>
          <t>Thursday</t>
        </is>
      </c>
      <c r="AF2" s="2" t="inlineStr">
        <is>
          <t>Friday</t>
        </is>
      </c>
      <c r="AG2" s="2" t="inlineStr">
        <is>
          <t>Total</t>
        </is>
      </c>
    </row>
    <row r="3">
      <c r="A3" s="1" t="n"/>
      <c r="B3" s="7" t="inlineStr">
        <is>
          <t>1st</t>
        </is>
      </c>
      <c r="C3" s="7" t="inlineStr">
        <is>
          <t>2nd</t>
        </is>
      </c>
      <c r="D3" s="7" t="inlineStr">
        <is>
          <t>3rd</t>
        </is>
      </c>
      <c r="E3" s="7" t="inlineStr">
        <is>
          <t>4th</t>
        </is>
      </c>
      <c r="F3" s="7" t="inlineStr">
        <is>
          <t>5th</t>
        </is>
      </c>
      <c r="G3" s="4" t="inlineStr">
        <is>
          <t>6th</t>
        </is>
      </c>
      <c r="H3" s="4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5" t="inlineStr">
        <is>
          <t>13th</t>
        </is>
      </c>
      <c r="O3" s="5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6" t="inlineStr">
        <is>
          <t>20th</t>
        </is>
      </c>
      <c r="V3" s="6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7" t="inlineStr">
        <is>
          <t>27th</t>
        </is>
      </c>
      <c r="AC3" s="7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t="18.75" customHeight="1">
      <c r="A4" s="8" t="inlineStr">
        <is>
          <t>B-HAM CITY COUNCIL-200790-70489166</t>
        </is>
      </c>
      <c r="B4" s="72" t="n"/>
      <c r="C4" s="26" t="n"/>
      <c r="E4" s="12" t="n"/>
      <c r="F4" s="12" t="n"/>
      <c r="G4" s="12" t="n"/>
      <c r="H4" s="9" t="n"/>
      <c r="I4" s="12">
        <f>5728.4*103.48%</f>
        <v/>
      </c>
      <c r="J4" s="12" t="n"/>
      <c r="K4" s="12" t="n"/>
      <c r="L4" s="9" t="n"/>
      <c r="M4" s="12" t="n"/>
      <c r="N4" s="12" t="n"/>
      <c r="O4" s="12" t="n"/>
      <c r="P4" s="9" t="n"/>
      <c r="Q4" s="12" t="n"/>
      <c r="R4" s="12" t="n"/>
      <c r="S4" s="10" t="n"/>
      <c r="T4" s="12" t="n"/>
      <c r="U4" s="12" t="n"/>
      <c r="V4" s="12" t="n"/>
      <c r="W4" s="10" t="n"/>
      <c r="X4" s="11" t="n"/>
      <c r="Y4" s="9" t="n"/>
      <c r="Z4" s="12">
        <f>7335.99*103.48%</f>
        <v/>
      </c>
      <c r="AA4" s="12" t="n"/>
      <c r="AB4" s="9" t="n"/>
      <c r="AC4" s="12">
        <f>65406.76*103.48%</f>
        <v/>
      </c>
      <c r="AD4" s="12" t="n"/>
      <c r="AE4" s="9" t="n"/>
      <c r="AF4" s="12">
        <f>65406.76-60977.04</f>
        <v/>
      </c>
      <c r="AG4" s="13">
        <f>SUM(B4:AF4)</f>
        <v/>
      </c>
    </row>
    <row r="5" ht="18.75" customHeight="1">
      <c r="A5" s="8" t="inlineStr">
        <is>
          <t>Accord/Age uk</t>
        </is>
      </c>
      <c r="B5" s="31" t="n"/>
      <c r="C5" s="31" t="n"/>
      <c r="D5" s="31" t="n"/>
      <c r="E5" s="12" t="n"/>
      <c r="F5" s="12" t="n"/>
      <c r="G5" s="12" t="n"/>
      <c r="H5" s="9" t="n"/>
      <c r="I5" s="11" t="n"/>
      <c r="J5" s="9" t="n"/>
      <c r="K5" s="12" t="n"/>
      <c r="L5" s="9" t="n"/>
      <c r="M5" s="12" t="n"/>
      <c r="N5" s="12" t="n"/>
      <c r="O5" s="12" t="n"/>
      <c r="P5" s="12" t="n"/>
      <c r="Q5" s="9" t="n"/>
      <c r="R5" s="9" t="n"/>
      <c r="S5" s="12" t="n"/>
      <c r="T5" s="12" t="n"/>
      <c r="U5" s="11" t="n"/>
      <c r="V5" s="12" t="n"/>
      <c r="W5" s="11" t="n"/>
      <c r="X5" s="9" t="n"/>
      <c r="Y5" s="9" t="n"/>
      <c r="Z5" s="9" t="n"/>
      <c r="AA5" s="12" t="n"/>
      <c r="AB5" s="9" t="n"/>
      <c r="AC5" s="9" t="n"/>
      <c r="AD5" s="9" t="n"/>
      <c r="AE5" s="9" t="n"/>
      <c r="AF5" s="9" t="n"/>
      <c r="AG5" s="13">
        <f>SUM(B5:AF5)</f>
        <v/>
      </c>
    </row>
    <row r="6" ht="15.75" customHeight="1">
      <c r="A6" s="8" t="inlineStr">
        <is>
          <t>Buckingham</t>
        </is>
      </c>
      <c r="B6" s="31" t="n"/>
      <c r="C6" s="26" t="n"/>
      <c r="D6" s="26" t="n"/>
      <c r="E6" s="9" t="n"/>
      <c r="F6" s="9" t="n"/>
      <c r="G6" s="9" t="n"/>
      <c r="H6" s="9" t="n"/>
      <c r="I6" s="9" t="n"/>
      <c r="J6" s="9" t="n"/>
      <c r="K6" s="9" t="n"/>
      <c r="L6" s="9" t="n"/>
      <c r="M6" s="12" t="n">
        <v>4937.64</v>
      </c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12" t="n"/>
      <c r="AE6" s="9" t="n"/>
      <c r="AF6" s="9" t="n"/>
      <c r="AG6" s="13">
        <f>SUM(B6:AF6)</f>
        <v/>
      </c>
    </row>
    <row r="7" ht="15.75" customHeight="1">
      <c r="A7" s="8" t="inlineStr">
        <is>
          <t>Sandwell respite est</t>
        </is>
      </c>
      <c r="B7" s="26" t="n"/>
      <c r="C7" s="26" t="n"/>
      <c r="D7" s="26" t="n"/>
      <c r="E7" s="9" t="n">
        <v>3046.4</v>
      </c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>
        <v>20000</v>
      </c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26" t="n"/>
      <c r="C8" s="26" t="n"/>
      <c r="D8" s="26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>
        <v>30000</v>
      </c>
      <c r="AG8" s="13">
        <f>SUM(B8:AF8)</f>
        <v/>
      </c>
    </row>
    <row r="9" ht="15.75" customHeight="1">
      <c r="A9" s="8" t="inlineStr">
        <is>
          <t>Walsall Respite</t>
        </is>
      </c>
      <c r="B9" s="26" t="n"/>
      <c r="C9" s="26" t="n"/>
      <c r="D9" s="26" t="n"/>
      <c r="E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>
        <v>16000</v>
      </c>
      <c r="AG9" s="13">
        <f>SUM(B9:AF9)</f>
        <v/>
      </c>
    </row>
    <row r="10" ht="18.75" customHeight="1">
      <c r="A10" s="8" t="inlineStr">
        <is>
          <t>Ideal for All Ltd</t>
        </is>
      </c>
      <c r="B10" s="26" t="n"/>
      <c r="C10" s="31" t="n"/>
      <c r="D10" s="31" t="n"/>
      <c r="E10" s="12" t="n">
        <v>2536.8</v>
      </c>
      <c r="F10" s="12" t="n"/>
      <c r="G10" s="11" t="n"/>
      <c r="H10" s="12" t="n"/>
      <c r="I10" s="11" t="n"/>
      <c r="J10" s="12" t="n"/>
      <c r="K10" s="12" t="n"/>
      <c r="L10" s="12" t="n"/>
      <c r="M10" s="12" t="n"/>
      <c r="N10" s="9" t="n"/>
      <c r="O10" s="12" t="n"/>
      <c r="P10" s="12" t="n"/>
      <c r="Q10" s="12" t="n"/>
      <c r="R10" s="11" t="n"/>
      <c r="S10" s="11" t="n">
        <v>3661.88</v>
      </c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13">
        <f>SUM(B10:AF10)</f>
        <v/>
      </c>
    </row>
    <row r="11" ht="15.75" customHeight="1">
      <c r="A11" s="8" t="inlineStr">
        <is>
          <t>KIRKLEES COUNCIL-204312-63046958</t>
        </is>
      </c>
      <c r="B11" s="26" t="n"/>
      <c r="C11" s="26" t="n"/>
      <c r="D11" s="26" t="n"/>
      <c r="E11" s="9" t="n"/>
      <c r="F11" s="12" t="n"/>
      <c r="G11" s="12" t="n"/>
      <c r="H11" s="9" t="n"/>
      <c r="I11" s="9" t="n"/>
      <c r="J11" s="12" t="n"/>
      <c r="K11" s="12" t="n"/>
      <c r="L11" s="9" t="n"/>
      <c r="M11" s="12" t="n"/>
      <c r="N11" s="9" t="n"/>
      <c r="O11" s="9" t="n"/>
      <c r="P11" s="12" t="n"/>
      <c r="Q11" s="9" t="n"/>
      <c r="R11" s="12" t="n"/>
      <c r="S11" s="9" t="n"/>
      <c r="T11" s="9" t="n"/>
      <c r="U11" s="9" t="n"/>
      <c r="V11" s="9" t="n"/>
      <c r="W11" s="12" t="n">
        <v>5554.89</v>
      </c>
      <c r="X11" s="12" t="n"/>
      <c r="Y11" s="9" t="n"/>
      <c r="Z11" s="9" t="n"/>
      <c r="AA11" s="9" t="n"/>
      <c r="AB11" s="9" t="n"/>
      <c r="AC11" s="9" t="n"/>
      <c r="AD11" s="12" t="n">
        <v>5196.51</v>
      </c>
      <c r="AE11" s="12" t="n"/>
      <c r="AF11" s="12" t="n"/>
      <c r="AG11" s="13">
        <f>SUM(B11:AF11)</f>
        <v/>
      </c>
    </row>
    <row r="12" ht="15.75" customHeight="1">
      <c r="A12" s="8" t="inlineStr">
        <is>
          <t>LBH PAYMENTS BACS-602210-72430192</t>
        </is>
      </c>
      <c r="B12" s="26" t="n"/>
      <c r="C12" s="26" t="n"/>
      <c r="D12" s="26" t="n"/>
      <c r="E12" s="9" t="n"/>
      <c r="F12" s="9" t="n"/>
      <c r="G12" s="9" t="n"/>
      <c r="H12" s="9" t="n"/>
      <c r="I12" s="9" t="n"/>
      <c r="J12" s="9" t="n"/>
      <c r="K12" s="9" t="n"/>
      <c r="L12" s="9" t="n"/>
      <c r="M12" s="12" t="n"/>
      <c r="N12" s="9" t="n"/>
      <c r="O12" s="9" t="n"/>
      <c r="P12" s="9" t="n"/>
      <c r="Q12" s="9" t="n"/>
      <c r="R12" s="9" t="n"/>
      <c r="S12" s="12" t="n"/>
      <c r="T12" s="9" t="n"/>
      <c r="U12" s="9" t="n"/>
      <c r="V12" s="9" t="n"/>
      <c r="W12" s="9" t="n">
        <v>5040</v>
      </c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SUM(B12:AF12)</f>
        <v/>
      </c>
    </row>
    <row r="13" ht="15.75" customHeight="1">
      <c r="A13" s="8" t="inlineStr">
        <is>
          <t>NHS BIRMINGHAM &amp; S-607080-10017097</t>
        </is>
      </c>
      <c r="B13" s="26" t="n"/>
      <c r="C13" s="26" t="n"/>
      <c r="D13" s="26" t="n"/>
      <c r="E13" s="12" t="n"/>
      <c r="F13" s="12" t="n"/>
      <c r="G13" s="9" t="inlineStr"/>
      <c r="H13" s="9" t="inlineStr"/>
      <c r="I13" s="12" t="n"/>
      <c r="J13" s="12" t="n"/>
      <c r="K13" s="12" t="n"/>
      <c r="L13" s="12" t="n"/>
      <c r="M13" s="12" t="n">
        <v>6662.17</v>
      </c>
      <c r="N13" s="12" t="n"/>
      <c r="O13" s="12" t="n"/>
      <c r="P13" s="12" t="n"/>
      <c r="Q13" s="9" t="inlineStr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13">
        <f>SUM(B13:AF13)</f>
        <v/>
      </c>
    </row>
    <row r="14" ht="15.75" customHeight="1">
      <c r="A14" s="8" t="inlineStr">
        <is>
          <t>NHS BLACK COUNTRY-607080-10015272</t>
        </is>
      </c>
      <c r="B14" s="26" t="n"/>
      <c r="C14" s="26" t="n"/>
      <c r="D14" s="26" t="n"/>
      <c r="E14" s="9" t="n"/>
      <c r="F14" s="74" t="n"/>
      <c r="G14" s="9" t="inlineStr"/>
      <c r="H14" s="9" t="inlineStr"/>
      <c r="I14" s="12" t="n"/>
      <c r="J14" s="12" t="n"/>
      <c r="K14" s="9" t="n"/>
      <c r="L14" s="9" t="inlineStr"/>
      <c r="M14" s="12" t="n">
        <v>13625.17</v>
      </c>
      <c r="N14" s="9" t="inlineStr"/>
      <c r="O14" s="9" t="inlineStr"/>
      <c r="P14" s="9" t="n"/>
      <c r="Q14" s="12" t="n">
        <v>734.4</v>
      </c>
      <c r="R14" s="9" t="n"/>
      <c r="S14" s="9" t="n"/>
      <c r="T14" s="9" t="n"/>
      <c r="U14" s="9" t="n"/>
      <c r="V14" s="12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13">
        <f>SUM(B14:AF14)</f>
        <v/>
      </c>
    </row>
    <row r="15" ht="15.75" customHeight="1">
      <c r="A15" s="14" t="inlineStr">
        <is>
          <t>SANDWELL MBC  BEN-601539-69624151</t>
        </is>
      </c>
      <c r="B15" s="26" t="n"/>
      <c r="C15" s="31" t="n"/>
      <c r="D15" s="26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12" t="n"/>
      <c r="Z15" s="9" t="n"/>
      <c r="AA15" s="9" t="n"/>
      <c r="AB15" s="9" t="n"/>
      <c r="AC15" s="9" t="n"/>
      <c r="AD15" s="12" t="n">
        <v>2950.96</v>
      </c>
      <c r="AE15" s="9" t="n"/>
      <c r="AF15" s="9" t="n"/>
      <c r="AG15" s="13">
        <f>SUM(B15:AF15)</f>
        <v/>
      </c>
    </row>
    <row r="16" ht="15.75" customHeight="1">
      <c r="A16" s="14" t="inlineStr">
        <is>
          <t>SANDWELL MBC-601539-69624135</t>
        </is>
      </c>
      <c r="B16" s="26" t="n"/>
      <c r="E16" s="9" t="n">
        <v>127488.96</v>
      </c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>
        <v>105000</v>
      </c>
      <c r="Q16" s="9" t="n"/>
      <c r="R16" s="9" t="n"/>
      <c r="S16" s="9" t="n"/>
      <c r="T16" s="9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>
        <v>105000</v>
      </c>
      <c r="AE16" s="9" t="n"/>
      <c r="AF16" s="9" t="n"/>
      <c r="AG16" s="13">
        <f>SUM(B16:AF16)</f>
        <v/>
      </c>
    </row>
    <row r="17" ht="15.75" customHeight="1">
      <c r="A17" s="15" t="inlineStr">
        <is>
          <t>SOLIHULL MBC EXP.-200771-00561525</t>
        </is>
      </c>
      <c r="B17" s="26" t="n"/>
      <c r="C17" s="26" t="n"/>
      <c r="D17" s="26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12" t="n"/>
      <c r="S17" s="9" t="n"/>
      <c r="T17" s="9" t="n"/>
      <c r="U17" s="9" t="n"/>
      <c r="V17" s="9" t="n"/>
      <c r="W17" s="12" t="n">
        <v>30000.6</v>
      </c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13">
        <f>SUM(B17:AF17)</f>
        <v/>
      </c>
    </row>
    <row r="18" ht="15.75" customHeight="1">
      <c r="A18" s="15" t="inlineStr">
        <is>
          <t>WALSALL MBC BARC-209073-10731692</t>
        </is>
      </c>
      <c r="B18" s="26" t="n"/>
      <c r="C18" s="26" t="n"/>
      <c r="D18" s="26" t="n"/>
      <c r="E18" s="9" t="n"/>
      <c r="F18" s="9" t="n"/>
      <c r="G18" s="12" t="n"/>
      <c r="H18" s="9" t="n"/>
      <c r="I18" s="9" t="n"/>
      <c r="J18" s="9">
        <f>165000*111.41%</f>
        <v/>
      </c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E18" s="9" t="n"/>
      <c r="AF18" s="9" t="n"/>
      <c r="AG18" s="13">
        <f>SUM(B18:AF18)</f>
        <v/>
      </c>
    </row>
    <row r="19" ht="15.75" customHeight="1">
      <c r="A19" s="15" t="inlineStr">
        <is>
          <t>WOLVERHAMPTON CC-560069-44470320</t>
        </is>
      </c>
      <c r="B19" s="26" t="n"/>
      <c r="C19" s="26" t="n"/>
      <c r="D19" s="26" t="n"/>
      <c r="E19" s="12" t="n"/>
      <c r="F19" s="10" t="n">
        <v>123811.6</v>
      </c>
      <c r="G19" s="9" t="n"/>
      <c r="H19" s="9" t="n"/>
      <c r="I19" s="9" t="n"/>
      <c r="J19" s="9" t="n"/>
      <c r="K19" s="9" t="n"/>
      <c r="L19" s="9">
        <f>104000*107.44%</f>
        <v/>
      </c>
      <c r="M19" s="9" t="n"/>
      <c r="N19" s="9" t="n"/>
      <c r="O19" s="9" t="n"/>
      <c r="P19" s="9" t="n"/>
      <c r="Q19" s="9" t="n"/>
      <c r="R19" s="9" t="n"/>
      <c r="S19" s="9">
        <f>104000*107.44%</f>
        <v/>
      </c>
      <c r="T19" s="9" t="n"/>
      <c r="U19" s="9" t="n"/>
      <c r="V19" s="9" t="n"/>
      <c r="W19" s="9" t="n"/>
      <c r="X19" s="9" t="n"/>
      <c r="Y19" s="9" t="n"/>
      <c r="Z19" s="9">
        <f>104000*107.44%</f>
        <v/>
      </c>
      <c r="AA19" s="12" t="n"/>
      <c r="AB19" s="9" t="n"/>
      <c r="AC19" s="9" t="n"/>
      <c r="AD19" s="9" t="n"/>
      <c r="AE19" s="9" t="n"/>
      <c r="AF19" s="9" t="n"/>
      <c r="AG19" s="13">
        <f>SUM(B19:AF19)</f>
        <v/>
      </c>
    </row>
    <row r="20" ht="15.75" customHeight="1">
      <c r="A20" s="15" t="inlineStr">
        <is>
          <t>TLC</t>
        </is>
      </c>
      <c r="B20" s="26" t="n">
        <v>200</v>
      </c>
      <c r="C20" s="26" t="n"/>
      <c r="D20" s="31" t="n"/>
      <c r="E20" s="12" t="n"/>
      <c r="F20" s="9" t="n"/>
      <c r="G20" s="9" t="n"/>
      <c r="H20" s="9" t="n"/>
      <c r="I20" s="9" t="n"/>
      <c r="J20" s="9" t="n"/>
      <c r="K20" s="9" t="n"/>
      <c r="L20" s="12" t="n"/>
      <c r="M20" s="12" t="n"/>
      <c r="N20" s="9" t="n"/>
      <c r="O20" s="12" t="n"/>
      <c r="P20" s="12" t="n"/>
      <c r="Q20" s="9" t="n"/>
      <c r="R20" s="9" t="n"/>
      <c r="S20" s="12" t="n"/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12" t="n"/>
      <c r="AD20" s="9" t="n"/>
      <c r="AE20" s="9" t="n"/>
      <c r="AF20" s="9" t="n"/>
      <c r="AG20" s="13">
        <f>SUM(B20:AF20)</f>
        <v/>
      </c>
    </row>
    <row r="21" ht="15.75" customHeight="1">
      <c r="A21" s="15" t="inlineStr">
        <is>
          <t>HB SC</t>
        </is>
      </c>
      <c r="B21" s="16" t="n">
        <v>3800</v>
      </c>
      <c r="C21" s="16" t="n">
        <v>14719.19</v>
      </c>
      <c r="D21" s="16" t="n">
        <v>3800</v>
      </c>
      <c r="E21" s="10" t="n">
        <v>3800</v>
      </c>
      <c r="F21" s="10" t="n">
        <v>3800</v>
      </c>
      <c r="G21" s="10" t="n">
        <v>3800</v>
      </c>
      <c r="H21" s="10" t="n">
        <v>3800</v>
      </c>
      <c r="I21" s="10" t="n">
        <v>3800</v>
      </c>
      <c r="J21" s="10" t="n">
        <v>3800</v>
      </c>
      <c r="K21" s="10" t="n">
        <v>3800</v>
      </c>
      <c r="L21" s="10" t="n">
        <v>3800</v>
      </c>
      <c r="M21" s="10" t="n">
        <v>3800</v>
      </c>
      <c r="N21" s="10" t="n">
        <v>3800</v>
      </c>
      <c r="O21" s="10" t="n">
        <v>3800</v>
      </c>
      <c r="P21" s="10" t="n">
        <v>3800</v>
      </c>
      <c r="Q21" s="10" t="n">
        <v>3800</v>
      </c>
      <c r="R21" s="10" t="n">
        <v>3800</v>
      </c>
      <c r="S21" s="10" t="n">
        <v>3800</v>
      </c>
      <c r="T21" s="10" t="n">
        <v>3800</v>
      </c>
      <c r="U21" s="10" t="n">
        <v>3800</v>
      </c>
      <c r="V21" s="10" t="n">
        <v>3800</v>
      </c>
      <c r="W21" s="10" t="n">
        <v>3800</v>
      </c>
      <c r="X21" s="10" t="n">
        <v>3800</v>
      </c>
      <c r="Y21" s="10" t="n">
        <v>3800</v>
      </c>
      <c r="Z21" s="10" t="n">
        <v>3800</v>
      </c>
      <c r="AA21" s="10" t="n">
        <v>3800</v>
      </c>
      <c r="AB21" s="10" t="n">
        <v>3800</v>
      </c>
      <c r="AC21" s="10" t="n">
        <v>3800</v>
      </c>
      <c r="AD21" s="10" t="n">
        <v>3800</v>
      </c>
      <c r="AE21" s="10" t="n">
        <v>3800</v>
      </c>
      <c r="AF21" s="10" t="n"/>
      <c r="AG21" s="13">
        <f>SUM(B21:AF21)</f>
        <v/>
      </c>
    </row>
    <row r="22" ht="16.5" customHeight="1" thickBot="1">
      <c r="A22" s="15" t="inlineStr">
        <is>
          <t>Total</t>
        </is>
      </c>
      <c r="B22">
        <f>SUM(B4:B21)</f>
        <v/>
      </c>
      <c r="C22">
        <f>SUM(C4:C21)</f>
        <v/>
      </c>
      <c r="D22">
        <f>SUM(D4:D21)</f>
        <v/>
      </c>
      <c r="E22" s="12">
        <f>SUM(E4:E21)</f>
        <v/>
      </c>
      <c r="F22" s="12">
        <f>SUM(F4:F21)</f>
        <v/>
      </c>
      <c r="G22" s="12">
        <f>SUM(G4:G21)</f>
        <v/>
      </c>
      <c r="H22" s="12">
        <f>SUM(H4:H21)</f>
        <v/>
      </c>
      <c r="I22" s="12">
        <f>SUM(I4:I21)</f>
        <v/>
      </c>
      <c r="J22" s="12">
        <f>SUM(J4:J21)</f>
        <v/>
      </c>
      <c r="K22" s="12">
        <f>SUM(K4:K21)</f>
        <v/>
      </c>
      <c r="L22" s="12">
        <f>SUM(L4:L21)</f>
        <v/>
      </c>
      <c r="M22" s="12">
        <f>SUM(M4:M21)</f>
        <v/>
      </c>
      <c r="N22" s="12">
        <f>SUM(N4:N21)</f>
        <v/>
      </c>
      <c r="O22" s="12">
        <f>SUM(O4:O21)</f>
        <v/>
      </c>
      <c r="P22" s="12">
        <f>SUM(P4:P21)</f>
        <v/>
      </c>
      <c r="Q22" s="12">
        <f>SUM(Q4:Q21)</f>
        <v/>
      </c>
      <c r="R22" s="12">
        <f>SUM(R4:R21)</f>
        <v/>
      </c>
      <c r="S22" s="12">
        <f>SUM(S4:S21)</f>
        <v/>
      </c>
      <c r="T22" s="12">
        <f>SUM(T4:T21)</f>
        <v/>
      </c>
      <c r="U22" s="12">
        <f>SUM(U4:U21)</f>
        <v/>
      </c>
      <c r="V22" s="12">
        <f>SUM(V4:V21)</f>
        <v/>
      </c>
      <c r="W22" s="12">
        <f>SUM(W4:W21)</f>
        <v/>
      </c>
      <c r="X22" s="12">
        <f>SUM(X4:X21)</f>
        <v/>
      </c>
      <c r="Y22" s="12">
        <f>SUM(Y4:Y21)</f>
        <v/>
      </c>
      <c r="Z22" s="12">
        <f>SUM(Z4:Z21)</f>
        <v/>
      </c>
      <c r="AA22" s="12">
        <f>SUM(AA4:AA21)</f>
        <v/>
      </c>
      <c r="AB22" s="12">
        <f>SUM(AB4:AB21)</f>
        <v/>
      </c>
      <c r="AC22" s="12">
        <f>SUM(AC4:AC21)</f>
        <v/>
      </c>
      <c r="AD22" s="12">
        <f>SUM(AD4:AD21)</f>
        <v/>
      </c>
      <c r="AE22" s="12">
        <f>SUM(AE4:AE21)</f>
        <v/>
      </c>
      <c r="AF22" s="12">
        <f>SUM(AF4:AF21)</f>
        <v/>
      </c>
      <c r="AG22" s="22">
        <f>SUM(AG4:AG21)</f>
        <v/>
      </c>
    </row>
    <row r="23" ht="16.5" customHeight="1" thickTop="1">
      <c r="A23" s="15" t="n"/>
      <c r="E23" s="12" t="n"/>
      <c r="F23" s="12" t="n"/>
      <c r="G23" s="12" t="n"/>
      <c r="H23" s="12" t="n"/>
      <c r="I23" s="12" t="n"/>
      <c r="J23" s="12" t="n"/>
      <c r="K23" s="12" t="n"/>
      <c r="L23" s="12" t="n"/>
      <c r="M23" s="12" t="n"/>
      <c r="N23" s="12" t="n"/>
      <c r="O23" s="12" t="n"/>
      <c r="P23" s="12" t="n"/>
      <c r="Q23" s="12" t="n"/>
      <c r="R23" s="12" t="n"/>
      <c r="S23" s="12" t="n"/>
      <c r="T23" s="12" t="n"/>
      <c r="U23" s="12" t="n"/>
      <c r="V23" s="12" t="n"/>
      <c r="W23" s="12" t="n"/>
      <c r="X23" s="12" t="n"/>
      <c r="Y23" s="12" t="n"/>
      <c r="Z23" s="12" t="n"/>
      <c r="AA23" s="12" t="n"/>
      <c r="AB23" s="12" t="n"/>
      <c r="AC23" s="12" t="n"/>
      <c r="AD23" s="12" t="n"/>
      <c r="AE23" s="12" t="n"/>
      <c r="AF23" s="12" t="n"/>
      <c r="AG23" s="13" t="n"/>
    </row>
    <row r="24">
      <c r="A24" s="1" t="n"/>
      <c r="B24" s="2" t="inlineStr">
        <is>
          <t>May</t>
        </is>
      </c>
      <c r="C24" s="2" t="n"/>
      <c r="D24" s="2" t="n"/>
      <c r="E24" s="2" t="n"/>
      <c r="F24" s="2" t="n"/>
      <c r="G24" s="2" t="n"/>
      <c r="H24" s="2" t="n"/>
      <c r="I24" s="2" t="n"/>
      <c r="J24" s="2" t="n"/>
      <c r="K24" s="2" t="n"/>
      <c r="L24" s="2" t="n"/>
      <c r="M24" s="2" t="n"/>
      <c r="N24" s="2" t="n"/>
      <c r="O24" s="2" t="n"/>
      <c r="P24" s="2" t="n"/>
      <c r="Q24" s="2" t="n"/>
      <c r="R24" s="2" t="n"/>
      <c r="S24" s="2" t="n"/>
      <c r="T24" s="2" t="n"/>
      <c r="U24" s="2" t="n"/>
      <c r="V24" s="2" t="n"/>
      <c r="W24" s="2" t="n"/>
      <c r="X24" s="2" t="n"/>
      <c r="Y24" s="2" t="n"/>
      <c r="Z24" s="2" t="n"/>
      <c r="AA24" s="2" t="n"/>
      <c r="AB24" s="2" t="n"/>
      <c r="AC24" s="2" t="n"/>
      <c r="AD24" s="2" t="n"/>
      <c r="AE24" s="1" t="n"/>
      <c r="AF24" s="1" t="n"/>
      <c r="AG24" s="1" t="n"/>
    </row>
    <row r="25">
      <c r="A25" s="1" t="n"/>
      <c r="B25" s="2" t="inlineStr">
        <is>
          <t>Wednesday</t>
        </is>
      </c>
      <c r="C25" s="2" t="inlineStr">
        <is>
          <t>Thursday</t>
        </is>
      </c>
      <c r="D25" s="2" t="inlineStr">
        <is>
          <t>Friday</t>
        </is>
      </c>
      <c r="E25" s="2" t="inlineStr">
        <is>
          <t>Saturday</t>
        </is>
      </c>
      <c r="F25" s="2" t="inlineStr">
        <is>
          <t>Sunday</t>
        </is>
      </c>
      <c r="G25" s="34" t="inlineStr">
        <is>
          <t>Monday</t>
        </is>
      </c>
      <c r="H25" s="2" t="inlineStr">
        <is>
          <t>Tuesday</t>
        </is>
      </c>
      <c r="I25" s="2" t="inlineStr">
        <is>
          <t>Wednesday</t>
        </is>
      </c>
      <c r="J25" s="2" t="inlineStr">
        <is>
          <t>Thursday</t>
        </is>
      </c>
      <c r="K25" s="2" t="inlineStr">
        <is>
          <t>Friday</t>
        </is>
      </c>
      <c r="L25" s="2" t="inlineStr">
        <is>
          <t>Saturday</t>
        </is>
      </c>
      <c r="M25" s="2" t="inlineStr">
        <is>
          <t>Sunday</t>
        </is>
      </c>
      <c r="N25" s="2" t="inlineStr">
        <is>
          <t>Monday</t>
        </is>
      </c>
      <c r="O25" s="2" t="inlineStr">
        <is>
          <t>Tuesday</t>
        </is>
      </c>
      <c r="P25" s="2" t="inlineStr">
        <is>
          <t>Wednesday</t>
        </is>
      </c>
      <c r="Q25" s="2" t="inlineStr">
        <is>
          <t>Thursday</t>
        </is>
      </c>
      <c r="R25" s="2" t="inlineStr">
        <is>
          <t>Friday</t>
        </is>
      </c>
      <c r="S25" s="2" t="inlineStr">
        <is>
          <t>Saturday</t>
        </is>
      </c>
      <c r="T25" s="2" t="inlineStr">
        <is>
          <t>Sunday</t>
        </is>
      </c>
      <c r="U25" s="2" t="inlineStr">
        <is>
          <t>Monday</t>
        </is>
      </c>
      <c r="V25" s="2" t="inlineStr">
        <is>
          <t>Tuesday</t>
        </is>
      </c>
      <c r="W25" s="2" t="inlineStr">
        <is>
          <t>Wednesday</t>
        </is>
      </c>
      <c r="X25" s="2" t="inlineStr">
        <is>
          <t>Thursday</t>
        </is>
      </c>
      <c r="Y25" s="2" t="inlineStr">
        <is>
          <t>Friday</t>
        </is>
      </c>
      <c r="Z25" s="2" t="inlineStr">
        <is>
          <t>Saturday</t>
        </is>
      </c>
      <c r="AA25" s="2" t="inlineStr">
        <is>
          <t>Sunday</t>
        </is>
      </c>
      <c r="AB25" s="34" t="inlineStr">
        <is>
          <t>Monday</t>
        </is>
      </c>
      <c r="AC25" s="2" t="inlineStr">
        <is>
          <t>Tuesday</t>
        </is>
      </c>
      <c r="AD25" s="2" t="inlineStr">
        <is>
          <t>Wednesday</t>
        </is>
      </c>
      <c r="AE25" s="2" t="inlineStr">
        <is>
          <t>Thursday</t>
        </is>
      </c>
      <c r="AF25" s="2" t="inlineStr">
        <is>
          <t>Friday</t>
        </is>
      </c>
      <c r="AG25" s="2" t="inlineStr">
        <is>
          <t>Total</t>
        </is>
      </c>
    </row>
    <row r="26">
      <c r="A26" s="1" t="n"/>
      <c r="B26" s="7" t="inlineStr">
        <is>
          <t>1st</t>
        </is>
      </c>
      <c r="C26" s="7" t="inlineStr">
        <is>
          <t>2nd</t>
        </is>
      </c>
      <c r="D26" s="7" t="inlineStr">
        <is>
          <t>3rd</t>
        </is>
      </c>
      <c r="E26" s="7" t="inlineStr">
        <is>
          <t>4th</t>
        </is>
      </c>
      <c r="F26" s="7" t="inlineStr">
        <is>
          <t>5th</t>
        </is>
      </c>
      <c r="G26" s="4" t="inlineStr">
        <is>
          <t>6th</t>
        </is>
      </c>
      <c r="H26" s="4" t="inlineStr">
        <is>
          <t>7th</t>
        </is>
      </c>
      <c r="I26" s="4" t="inlineStr">
        <is>
          <t>8th</t>
        </is>
      </c>
      <c r="J26" s="4" t="inlineStr">
        <is>
          <t>9th</t>
        </is>
      </c>
      <c r="K26" s="4" t="inlineStr">
        <is>
          <t>10th</t>
        </is>
      </c>
      <c r="L26" s="4" t="inlineStr">
        <is>
          <t>11th</t>
        </is>
      </c>
      <c r="M26" s="4" t="inlineStr">
        <is>
          <t>12th</t>
        </is>
      </c>
      <c r="N26" s="5" t="inlineStr">
        <is>
          <t>13th</t>
        </is>
      </c>
      <c r="O26" s="5" t="inlineStr">
        <is>
          <t>14th</t>
        </is>
      </c>
      <c r="P26" s="5" t="inlineStr">
        <is>
          <t>15th</t>
        </is>
      </c>
      <c r="Q26" s="5" t="inlineStr">
        <is>
          <t>16th</t>
        </is>
      </c>
      <c r="R26" s="5" t="inlineStr">
        <is>
          <t>17th</t>
        </is>
      </c>
      <c r="S26" s="5" t="inlineStr">
        <is>
          <t>18th</t>
        </is>
      </c>
      <c r="T26" s="5" t="inlineStr">
        <is>
          <t>19th</t>
        </is>
      </c>
      <c r="U26" s="6" t="inlineStr">
        <is>
          <t>20th</t>
        </is>
      </c>
      <c r="V26" s="6" t="inlineStr">
        <is>
          <t>21st</t>
        </is>
      </c>
      <c r="W26" s="6" t="inlineStr">
        <is>
          <t>22nd</t>
        </is>
      </c>
      <c r="X26" s="6" t="inlineStr">
        <is>
          <t>23rd</t>
        </is>
      </c>
      <c r="Y26" s="6" t="inlineStr">
        <is>
          <t>24th</t>
        </is>
      </c>
      <c r="Z26" s="6" t="inlineStr">
        <is>
          <t>25th</t>
        </is>
      </c>
      <c r="AA26" s="6" t="inlineStr">
        <is>
          <t>26th</t>
        </is>
      </c>
      <c r="AB26" s="7" t="inlineStr">
        <is>
          <t>27th</t>
        </is>
      </c>
      <c r="AC26" s="7" t="inlineStr">
        <is>
          <t>28th</t>
        </is>
      </c>
      <c r="AD26" s="7" t="inlineStr">
        <is>
          <t>29th</t>
        </is>
      </c>
      <c r="AE26" s="7" t="inlineStr">
        <is>
          <t>30th</t>
        </is>
      </c>
      <c r="AF26" s="7" t="inlineStr">
        <is>
          <t>31st</t>
        </is>
      </c>
      <c r="AG26" s="1" t="n"/>
    </row>
    <row r="27" ht="18.75" customHeight="1">
      <c r="A27" s="8" t="inlineStr">
        <is>
          <t>B-HAM CITY COUNCIL-200790-70489166</t>
        </is>
      </c>
      <c r="C27" s="9" t="n"/>
      <c r="D27" s="12" t="n"/>
      <c r="E27" s="9" t="n"/>
      <c r="F27" s="12" t="n"/>
      <c r="G27" s="79" t="n"/>
      <c r="H27" s="10" t="n"/>
      <c r="I27" s="11" t="n"/>
      <c r="J27" s="9" t="n"/>
      <c r="L27" s="12" t="n"/>
      <c r="M27" s="12" t="n"/>
      <c r="N27" s="12" t="n"/>
      <c r="P27" t="n">
        <v>5230.45</v>
      </c>
      <c r="Q27" s="10" t="n"/>
      <c r="R27" s="12" t="n"/>
      <c r="S27" s="12" t="n"/>
      <c r="T27" s="12" t="n"/>
      <c r="V27" s="11" t="n"/>
      <c r="W27" t="n">
        <v>5018.56</v>
      </c>
      <c r="X27" s="31" t="n"/>
      <c r="Y27" s="91" t="n">
        <v>74350</v>
      </c>
      <c r="Z27" s="9" t="n"/>
      <c r="AB27" s="77" t="n"/>
      <c r="AF27" s="12" t="n"/>
      <c r="AG27" s="13">
        <f>SUM(B27:AF27)</f>
        <v/>
      </c>
    </row>
    <row r="28" ht="18.75" customHeight="1">
      <c r="A28" s="8" t="inlineStr">
        <is>
          <t>Accord/Age uk</t>
        </is>
      </c>
      <c r="B28" s="12" t="n"/>
      <c r="C28" s="12" t="n"/>
      <c r="D28" s="12" t="n"/>
      <c r="E28" s="12" t="n"/>
      <c r="F28" s="12" t="n"/>
      <c r="G28" s="79" t="n"/>
      <c r="H28" s="9" t="n"/>
      <c r="I28" s="11" t="n"/>
      <c r="J28" s="9" t="n"/>
      <c r="K28" s="12" t="n"/>
      <c r="L28" s="12" t="n"/>
      <c r="M28" s="12" t="n"/>
      <c r="N28" s="12" t="n"/>
      <c r="O28" s="9" t="n"/>
      <c r="P28" s="9" t="n"/>
      <c r="Q28" s="12" t="n"/>
      <c r="R28" s="12" t="n"/>
      <c r="S28" s="11" t="n"/>
      <c r="T28" s="12" t="n"/>
      <c r="U28" s="11" t="n"/>
      <c r="V28" s="9" t="n"/>
      <c r="W28" s="9" t="n"/>
      <c r="X28" s="26" t="n"/>
      <c r="Y28" s="31" t="n"/>
      <c r="Z28" s="9" t="n"/>
      <c r="AA28" s="9" t="n"/>
      <c r="AB28" s="77" t="n"/>
      <c r="AC28" s="9" t="n"/>
      <c r="AD28" s="9" t="n"/>
      <c r="AE28" s="9" t="n"/>
      <c r="AF28" s="9" t="n"/>
      <c r="AG28" s="13">
        <f>SUM(B28:AF28)</f>
        <v/>
      </c>
    </row>
    <row r="29" ht="15.75" customHeight="1">
      <c r="A29" s="8" t="inlineStr">
        <is>
          <t>Buckingham</t>
        </is>
      </c>
      <c r="C29" s="9" t="n"/>
      <c r="D29" s="9" t="n"/>
      <c r="E29" s="9" t="n"/>
      <c r="F29" s="9" t="n"/>
      <c r="G29" s="80" t="n"/>
      <c r="H29" s="26" t="n"/>
      <c r="I29" s="26" t="n"/>
      <c r="J29" s="26" t="n"/>
      <c r="K29" s="31" t="n">
        <v>5134.44</v>
      </c>
      <c r="L29" s="26" t="n"/>
      <c r="M29" s="26" t="n"/>
      <c r="N29" s="26" t="n"/>
      <c r="O29" s="9" t="n"/>
      <c r="P29" s="12" t="n"/>
      <c r="Q29" s="9" t="n"/>
      <c r="R29" s="9" t="n"/>
      <c r="S29" s="9" t="n"/>
      <c r="T29" s="9" t="n"/>
      <c r="U29" s="9" t="n"/>
      <c r="V29" s="9" t="n"/>
      <c r="W29" s="9" t="n"/>
      <c r="X29" s="26" t="n"/>
      <c r="Y29" s="26" t="n"/>
      <c r="Z29" s="9" t="n"/>
      <c r="AA29" s="9" t="n"/>
      <c r="AB29" s="77" t="n"/>
      <c r="AC29" s="9" t="n"/>
      <c r="AD29" s="9" t="n"/>
      <c r="AE29" s="9" t="n"/>
      <c r="AF29" s="9" t="n"/>
      <c r="AG29" s="13">
        <f>SUM(B29:AF29)</f>
        <v/>
      </c>
    </row>
    <row r="30" ht="15.75" customHeight="1">
      <c r="A30" s="8" t="inlineStr">
        <is>
          <t>Sandwell respite est</t>
        </is>
      </c>
      <c r="B30" s="9" t="n"/>
      <c r="C30" s="9" t="n"/>
      <c r="D30" s="9" t="n"/>
      <c r="E30" s="9" t="n"/>
      <c r="F30" s="9" t="n"/>
      <c r="G30" s="80" t="n"/>
      <c r="H30" s="26" t="n"/>
      <c r="I30" s="26" t="n"/>
      <c r="J30" s="26" t="n"/>
      <c r="K30" s="26" t="n"/>
      <c r="L30" s="26" t="n"/>
      <c r="M30" s="26" t="n"/>
      <c r="N30" t="n">
        <v>9872.459999999999</v>
      </c>
      <c r="P30" t="n">
        <v>2284.8</v>
      </c>
      <c r="Q30" s="9" t="n"/>
      <c r="R30" s="9" t="n"/>
      <c r="S30" s="9" t="n"/>
      <c r="T30" s="9" t="n"/>
      <c r="U30" s="9" t="n"/>
      <c r="V30" s="9" t="n"/>
      <c r="W30" s="9" t="n"/>
      <c r="X30" s="26" t="n"/>
      <c r="Y30" s="26" t="n"/>
      <c r="Z30" s="9" t="n"/>
      <c r="AA30" s="9" t="n"/>
      <c r="AB30" s="77" t="n"/>
      <c r="AC30" s="26" t="n"/>
      <c r="AD30" s="9" t="n"/>
      <c r="AE30" s="9" t="n"/>
      <c r="AF30" s="10" t="n"/>
      <c r="AG30" s="13">
        <f>SUM(B30:AF30)</f>
        <v/>
      </c>
    </row>
    <row r="31" ht="15.75" customHeight="1">
      <c r="A31" s="8" t="inlineStr">
        <is>
          <t xml:space="preserve">Wolverhampton respite est </t>
        </is>
      </c>
      <c r="B31" s="9" t="n"/>
      <c r="C31" s="16" t="n">
        <v>6710.38</v>
      </c>
      <c r="D31" s="9" t="n"/>
      <c r="E31" s="9" t="n"/>
      <c r="F31" s="9" t="n"/>
      <c r="G31" s="80" t="n"/>
      <c r="H31" s="26" t="n"/>
      <c r="I31" s="26" t="n"/>
      <c r="J31" s="26" t="n"/>
      <c r="K31" s="26" t="n">
        <v>7794.54</v>
      </c>
      <c r="L31" s="26" t="n"/>
      <c r="M31" s="26" t="n"/>
      <c r="N31" s="26" t="n"/>
      <c r="O31" s="9" t="n"/>
      <c r="P31" s="9" t="n"/>
      <c r="Q31" s="16" t="n">
        <v>7088.1</v>
      </c>
      <c r="R31" s="9" t="n"/>
      <c r="S31" s="9" t="n"/>
      <c r="T31" s="9" t="n"/>
      <c r="U31" s="9" t="n"/>
      <c r="V31" s="9" t="n"/>
      <c r="W31" s="9" t="n"/>
      <c r="X31" s="16" t="n">
        <v>7088.1</v>
      </c>
      <c r="Y31" s="26" t="n"/>
      <c r="Z31" s="9" t="n"/>
      <c r="AA31" s="9" t="n"/>
      <c r="AB31" s="77" t="n"/>
      <c r="AC31" s="26" t="n">
        <v>11948.48</v>
      </c>
      <c r="AD31" s="9" t="n"/>
      <c r="AE31" s="9" t="n"/>
      <c r="AF31" t="n">
        <v>3014.78</v>
      </c>
      <c r="AG31" s="13">
        <f>SUM(B31:AF31)</f>
        <v/>
      </c>
    </row>
    <row r="32" ht="15.75" customHeight="1">
      <c r="A32" s="8" t="inlineStr">
        <is>
          <t>Walsall Respite</t>
        </is>
      </c>
      <c r="B32" s="9" t="n"/>
      <c r="C32" s="26" t="n"/>
      <c r="D32" s="9" t="n"/>
      <c r="E32" s="9" t="n"/>
      <c r="F32" s="9" t="n"/>
      <c r="G32" s="81" t="n"/>
      <c r="H32" s="26" t="n">
        <v>11806.4</v>
      </c>
      <c r="I32" s="26" t="n"/>
      <c r="J32" s="26" t="n"/>
      <c r="K32" s="31" t="n"/>
      <c r="L32" s="26" t="n"/>
      <c r="M32" s="26" t="n"/>
      <c r="N32" s="26" t="n"/>
      <c r="O32" s="9" t="n"/>
      <c r="P32" s="9" t="n"/>
      <c r="Q32" s="26" t="n"/>
      <c r="R32" t="n">
        <v>3040</v>
      </c>
      <c r="S32" s="9" t="n"/>
      <c r="T32" s="9" t="n"/>
      <c r="U32" s="9" t="n"/>
      <c r="V32" s="9" t="n"/>
      <c r="W32" s="9" t="n"/>
      <c r="X32" s="26" t="n"/>
      <c r="Y32" s="26" t="n"/>
      <c r="Z32" s="9" t="n"/>
      <c r="AA32" s="9" t="n"/>
      <c r="AB32" s="77" t="n"/>
      <c r="AC32" s="9" t="n"/>
      <c r="AD32" s="9" t="n"/>
      <c r="AE32" s="9" t="n"/>
      <c r="AF32" s="9" t="n"/>
      <c r="AG32" s="13">
        <f>SUM(B32:AF32)</f>
        <v/>
      </c>
    </row>
    <row r="33" ht="18.75" customHeight="1">
      <c r="A33" s="8" t="inlineStr">
        <is>
          <t>Ideal for All Ltd</t>
        </is>
      </c>
      <c r="B33" s="9" t="n"/>
      <c r="C33" s="31" t="n"/>
      <c r="D33" s="12" t="n"/>
      <c r="E33" s="11" t="n"/>
      <c r="F33" s="9" t="n"/>
      <c r="G33" s="79" t="n"/>
      <c r="H33" s="76" t="n"/>
      <c r="I33" s="31" t="n"/>
      <c r="J33" s="31" t="n"/>
      <c r="K33" s="31" t="n">
        <v>2516.8</v>
      </c>
      <c r="L33" s="26" t="n"/>
      <c r="M33" s="31" t="n"/>
      <c r="N33" s="31" t="n"/>
      <c r="O33" s="12" t="n"/>
      <c r="P33" s="12" t="n"/>
      <c r="Q33" s="31" t="n"/>
      <c r="R33" s="9" t="n"/>
      <c r="S33" s="9" t="n"/>
      <c r="T33" s="9" t="n"/>
      <c r="U33" t="n">
        <v>3814.88</v>
      </c>
      <c r="V33" s="9" t="n"/>
      <c r="W33" s="9" t="n"/>
      <c r="X33" s="76" t="n"/>
      <c r="Y33" s="26" t="n"/>
      <c r="Z33" s="9" t="n"/>
      <c r="AA33" s="9" t="n"/>
      <c r="AB33" s="77" t="n"/>
      <c r="AC33" s="9" t="n"/>
      <c r="AF33" s="12" t="n"/>
      <c r="AG33" s="13">
        <f>SUM(B33:AF33)</f>
        <v/>
      </c>
    </row>
    <row r="34" ht="15.75" customHeight="1">
      <c r="A34" s="8" t="inlineStr">
        <is>
          <t>KIRKLEES COUNCIL-204312-63046958</t>
        </is>
      </c>
      <c r="B34" s="9" t="n"/>
      <c r="C34" s="26" t="n"/>
      <c r="D34" s="9" t="n"/>
      <c r="E34" s="9" t="n"/>
      <c r="F34" s="9" t="n"/>
      <c r="G34" s="80" t="n"/>
      <c r="H34" s="31" t="n">
        <v>5698.2</v>
      </c>
      <c r="I34" s="31" t="n"/>
      <c r="J34" s="26" t="n"/>
      <c r="K34" s="31" t="n"/>
      <c r="L34" s="26" t="n"/>
      <c r="M34" s="26" t="n"/>
      <c r="N34" s="31" t="n"/>
      <c r="O34" s="9" t="n"/>
      <c r="P34" s="12" t="n"/>
      <c r="Q34" s="26" t="n"/>
      <c r="R34" s="9" t="n"/>
      <c r="S34" s="9" t="n"/>
      <c r="T34" s="9" t="n"/>
      <c r="V34" t="n">
        <v>5888.14</v>
      </c>
      <c r="W34" s="12" t="n"/>
      <c r="X34" s="26" t="n"/>
      <c r="Y34" s="26" t="n"/>
      <c r="Z34" s="9" t="n"/>
      <c r="AA34" s="9" t="n"/>
      <c r="AB34" s="77" t="n"/>
      <c r="AC34" s="12" t="n"/>
      <c r="AD34" s="9" t="n"/>
      <c r="AE34" s="12" t="n"/>
      <c r="AF34" s="12" t="n"/>
      <c r="AG34" s="13">
        <f>SUM(B34:AF34)</f>
        <v/>
      </c>
    </row>
    <row r="35" ht="15.75" customHeight="1">
      <c r="A35" s="8" t="inlineStr">
        <is>
          <t>LBH PAYMENTS BACS-602210-72430192</t>
        </is>
      </c>
      <c r="B35" s="9" t="n"/>
      <c r="C35" s="26" t="n"/>
      <c r="D35" s="9" t="n"/>
      <c r="E35" s="9" t="n"/>
      <c r="F35" s="9" t="n"/>
      <c r="G35" s="80" t="n"/>
      <c r="H35" s="26" t="n"/>
      <c r="I35" s="26" t="n"/>
      <c r="J35" s="26" t="n"/>
      <c r="K35" s="31" t="n"/>
      <c r="L35" s="26" t="n"/>
      <c r="M35" s="26" t="n"/>
      <c r="N35" s="26" t="n"/>
      <c r="O35" s="9" t="n"/>
      <c r="P35" s="9" t="n"/>
      <c r="Q35" s="31" t="n"/>
      <c r="R35" s="9" t="n"/>
      <c r="S35" s="9" t="n"/>
      <c r="T35" s="9" t="n"/>
      <c r="U35" t="n">
        <v>5040</v>
      </c>
      <c r="V35" s="9" t="n"/>
      <c r="W35" s="9" t="n"/>
      <c r="X35" s="26" t="n"/>
      <c r="Y35" s="26" t="n"/>
      <c r="Z35" s="9" t="n"/>
      <c r="AA35" s="9" t="n"/>
      <c r="AB35" s="77" t="n"/>
      <c r="AC35" s="9" t="n"/>
      <c r="AD35" s="9" t="n"/>
      <c r="AE35" s="9" t="n"/>
      <c r="AF35" s="9" t="n"/>
      <c r="AG35" s="13">
        <f>SUM(B35:AF35)</f>
        <v/>
      </c>
    </row>
    <row r="36" ht="15.75" customHeight="1">
      <c r="A36" s="8" t="inlineStr">
        <is>
          <t>NHS BIRMINGHAM &amp; S-607080-10017097</t>
        </is>
      </c>
      <c r="B36" s="9" t="n"/>
      <c r="C36" s="26" t="n"/>
      <c r="D36" s="9" t="n"/>
      <c r="E36" s="9" t="n"/>
      <c r="F36" s="12" t="n"/>
      <c r="G36" s="80" t="n"/>
      <c r="H36" s="26" t="n"/>
      <c r="I36" s="31" t="n"/>
      <c r="J36" s="31" t="n">
        <v>6891.9</v>
      </c>
      <c r="K36" s="31" t="n"/>
      <c r="L36" s="31" t="n"/>
      <c r="M36" s="31" t="n"/>
      <c r="N36" s="31" t="n"/>
      <c r="O36" s="9" t="inlineStr"/>
      <c r="P36" s="9" t="n"/>
      <c r="Q36" s="26" t="n"/>
      <c r="R36" s="9" t="n"/>
      <c r="S36" s="9" t="n"/>
      <c r="T36" s="9" t="n"/>
      <c r="U36" s="9" t="n"/>
      <c r="V36" s="9" t="n"/>
      <c r="W36" s="9" t="n"/>
      <c r="X36" s="26" t="n"/>
      <c r="Y36" s="26" t="n"/>
      <c r="Z36" s="9" t="n"/>
      <c r="AA36" s="9" t="n"/>
      <c r="AB36" s="77" t="n"/>
      <c r="AC36" s="9" t="n"/>
      <c r="AD36" s="9" t="n"/>
      <c r="AE36" s="9" t="n"/>
      <c r="AF36" s="9" t="n"/>
      <c r="AG36" s="13">
        <f>SUM(B36:AF36)</f>
        <v/>
      </c>
    </row>
    <row r="37" ht="15.75" customHeight="1">
      <c r="A37" s="8" t="inlineStr">
        <is>
          <t>NHS BLACK COUNTRY-607080-10015272</t>
        </is>
      </c>
      <c r="B37" s="9" t="n"/>
      <c r="C37" s="31" t="n"/>
      <c r="D37" s="9" t="n"/>
      <c r="E37" s="12" t="n"/>
      <c r="F37" s="9" t="n"/>
      <c r="G37" s="80" t="n"/>
      <c r="H37" s="26" t="n"/>
      <c r="I37" s="26" t="n"/>
      <c r="J37" s="26" t="inlineStr"/>
      <c r="K37" s="31" t="n"/>
      <c r="L37" s="26" t="inlineStr"/>
      <c r="M37" s="26" t="inlineStr"/>
      <c r="N37" s="31" t="n">
        <v>13625.17</v>
      </c>
      <c r="O37" s="12" t="n"/>
      <c r="P37" s="9" t="n"/>
      <c r="Q37" s="26" t="n"/>
      <c r="R37" s="9" t="n"/>
      <c r="S37" s="9" t="n"/>
      <c r="T37" s="12" t="n"/>
      <c r="U37" s="9" t="n"/>
      <c r="V37" s="9" t="n"/>
      <c r="W37" s="90" t="n">
        <v>1101.6</v>
      </c>
      <c r="X37" s="31" t="n"/>
      <c r="Y37" s="26" t="n"/>
      <c r="Z37" s="9" t="n"/>
      <c r="AA37" s="9" t="n"/>
      <c r="AB37" s="77" t="n"/>
      <c r="AC37" s="9" t="n"/>
      <c r="AD37" s="9" t="n"/>
      <c r="AE37" s="26" t="n">
        <v>8342.32</v>
      </c>
      <c r="AF37" s="26" t="n">
        <v>1384.9</v>
      </c>
      <c r="AG37" s="13">
        <f>SUM(B37:AF37)</f>
        <v/>
      </c>
    </row>
    <row r="38" ht="15.75" customHeight="1">
      <c r="A38" s="14" t="inlineStr">
        <is>
          <t>SANDWELL MBC  BEN-601539-69624151</t>
        </is>
      </c>
      <c r="B38" s="9" t="n"/>
      <c r="C38" s="26" t="n"/>
      <c r="D38" s="9" t="n"/>
      <c r="E38" s="9" t="n"/>
      <c r="F38" s="9" t="n"/>
      <c r="G38" s="80" t="n"/>
      <c r="H38" s="26" t="n"/>
      <c r="I38" s="26" t="n"/>
      <c r="J38" s="26" t="n"/>
      <c r="K38" s="26" t="n"/>
      <c r="L38" s="26" t="n"/>
      <c r="M38" s="31" t="n"/>
      <c r="N38" s="26" t="n"/>
      <c r="O38" s="9" t="n"/>
      <c r="P38" s="9" t="n"/>
      <c r="Q38" s="26" t="n"/>
      <c r="R38" s="9" t="n"/>
      <c r="S38" s="9" t="n"/>
      <c r="T38" s="9" t="n"/>
      <c r="U38" s="9" t="n"/>
      <c r="V38" s="9" t="n"/>
      <c r="W38" s="9" t="n"/>
      <c r="X38" s="26" t="n"/>
      <c r="Y38" s="31" t="n">
        <v>2660</v>
      </c>
      <c r="Z38" s="9" t="n"/>
      <c r="AA38" s="9" t="n"/>
      <c r="AB38" s="77" t="n"/>
      <c r="AC38" s="12" t="n"/>
      <c r="AD38" s="9" t="n"/>
      <c r="AE38" s="9" t="n"/>
      <c r="AF38" s="9" t="n"/>
      <c r="AG38" s="13">
        <f>SUM(B38:AF38)</f>
        <v/>
      </c>
    </row>
    <row r="39" ht="15.75" customHeight="1">
      <c r="A39" s="14" t="inlineStr">
        <is>
          <t>SANDWELL MBC-601539-69624135</t>
        </is>
      </c>
      <c r="B39" t="n">
        <v>120054.72</v>
      </c>
      <c r="C39" s="26" t="n"/>
      <c r="D39" s="9" t="n"/>
      <c r="E39" s="9" t="n"/>
      <c r="F39" s="9" t="n"/>
      <c r="G39" s="80" t="n"/>
      <c r="H39" s="26" t="n"/>
      <c r="I39" s="26" t="n"/>
      <c r="J39" s="26" t="n"/>
      <c r="K39" s="26" t="n"/>
      <c r="L39" s="26" t="n"/>
      <c r="M39" s="26" t="n"/>
      <c r="N39" s="31" t="n"/>
      <c r="O39" s="12" t="n"/>
      <c r="Q39" s="31" t="n"/>
      <c r="R39" s="9" t="n"/>
      <c r="S39" s="9" t="n"/>
      <c r="T39" s="9" t="n"/>
      <c r="U39" t="n">
        <v>129344.64</v>
      </c>
      <c r="V39" s="9" t="n"/>
      <c r="W39" s="9" t="n"/>
      <c r="X39" s="26" t="n"/>
      <c r="Y39" s="26" t="n"/>
      <c r="Z39" s="9" t="n"/>
      <c r="AA39" s="9" t="n"/>
      <c r="AB39" s="78" t="n"/>
      <c r="AC39" s="26" t="n">
        <v>121574.4</v>
      </c>
      <c r="AF39" s="9" t="n"/>
      <c r="AG39" s="13">
        <f>SUM(B39:AF39)</f>
        <v/>
      </c>
    </row>
    <row r="40" ht="15.75" customHeight="1">
      <c r="A40" s="15" t="inlineStr">
        <is>
          <t>SOLIHULL MBC EXP.-200771-00561525</t>
        </is>
      </c>
      <c r="B40" s="9" t="n"/>
      <c r="C40" s="26" t="n"/>
      <c r="D40" s="9" t="n"/>
      <c r="E40" s="9" t="n"/>
      <c r="F40" s="9" t="n"/>
      <c r="G40" s="80" t="n"/>
      <c r="H40" s="26" t="n"/>
      <c r="I40" s="26" t="n"/>
      <c r="J40" s="26" t="n"/>
      <c r="K40" s="26" t="n"/>
      <c r="L40" s="26" t="n"/>
      <c r="M40" s="26" t="n"/>
      <c r="N40" s="31" t="n"/>
      <c r="O40" s="9" t="n"/>
      <c r="P40" s="9" t="n"/>
      <c r="Q40" s="26" t="n"/>
      <c r="R40" s="12" t="n"/>
      <c r="S40" s="9" t="n"/>
      <c r="T40" s="9" t="n"/>
      <c r="U40" t="n">
        <v>32010.44</v>
      </c>
      <c r="V40" s="84" t="n"/>
      <c r="W40" s="9" t="n"/>
      <c r="X40" s="26" t="n"/>
      <c r="Y40" s="26" t="n"/>
      <c r="Z40" s="9" t="n"/>
      <c r="AA40" s="9" t="n"/>
      <c r="AB40" s="77" t="n"/>
      <c r="AC40" s="9" t="n"/>
      <c r="AD40" s="9" t="n"/>
      <c r="AE40" s="9" t="n"/>
      <c r="AF40" s="9" t="n"/>
      <c r="AG40" s="13">
        <f>SUM(B40:AF40)</f>
        <v/>
      </c>
    </row>
    <row r="41" ht="15.75" customHeight="1">
      <c r="A41" s="15" t="inlineStr">
        <is>
          <t>WALSALL MBC BARC-209073-10731692</t>
        </is>
      </c>
      <c r="B41" s="9" t="n"/>
      <c r="C41" s="26" t="n"/>
      <c r="D41" s="9" t="n"/>
      <c r="E41" s="9" t="n"/>
      <c r="F41" s="9" t="n"/>
      <c r="G41" s="81" t="n"/>
      <c r="H41" s="16">
        <f>187335.81-H32</f>
        <v/>
      </c>
      <c r="I41" s="26" t="n"/>
      <c r="J41" s="26" t="n"/>
      <c r="K41" s="31" t="n"/>
      <c r="L41" s="26" t="n"/>
      <c r="M41" s="26" t="n"/>
      <c r="N41" s="26" t="n"/>
      <c r="O41" s="9" t="n"/>
      <c r="P41" s="9" t="n"/>
      <c r="Q41" s="26" t="n"/>
      <c r="R41" s="9" t="n"/>
      <c r="S41" s="9" t="n"/>
      <c r="T41" s="9" t="n"/>
      <c r="U41" s="9" t="n"/>
      <c r="V41" s="9" t="n"/>
      <c r="W41" s="9" t="n"/>
      <c r="X41" s="26" t="n"/>
      <c r="Y41" s="26" t="n"/>
      <c r="Z41" s="9" t="n"/>
      <c r="AA41" s="9" t="n"/>
      <c r="AB41" s="77" t="n"/>
      <c r="AC41" s="9" t="n"/>
      <c r="AD41" s="9" t="n"/>
      <c r="AE41" s="9" t="n"/>
      <c r="AF41" s="9" t="n"/>
      <c r="AG41" s="13">
        <f>SUM(B41:AF41)</f>
        <v/>
      </c>
    </row>
    <row r="42" ht="15.75" customHeight="1">
      <c r="A42" s="15" t="inlineStr">
        <is>
          <t>WOLVERHAMPTON CC-560069-44470320</t>
        </is>
      </c>
      <c r="B42" s="9" t="n"/>
      <c r="C42" s="26" t="n">
        <v>110245.52</v>
      </c>
      <c r="D42" t="n">
        <v>1681.6</v>
      </c>
      <c r="E42" s="9" t="n"/>
      <c r="F42" s="9" t="n"/>
      <c r="G42" s="80" t="n"/>
      <c r="H42" s="26" t="n"/>
      <c r="I42" s="26" t="n"/>
      <c r="J42" s="31" t="n"/>
      <c r="K42" s="26">
        <f>119259.74-K31</f>
        <v/>
      </c>
      <c r="L42" s="26" t="n"/>
      <c r="M42" s="26" t="n"/>
      <c r="N42" s="26" t="n">
        <v>7528.8</v>
      </c>
      <c r="O42" s="9" t="n"/>
      <c r="P42" s="9" t="n"/>
      <c r="Q42" s="16">
        <f>119405.04-Q31</f>
        <v/>
      </c>
      <c r="R42" s="9" t="n"/>
      <c r="S42" s="9" t="n"/>
      <c r="T42" s="9" t="n"/>
      <c r="U42" s="9" t="n"/>
      <c r="V42" s="9" t="n"/>
      <c r="W42" s="9" t="n"/>
      <c r="X42" s="26" t="n">
        <v>121335.2</v>
      </c>
      <c r="Y42" s="26" t="n"/>
      <c r="Z42" s="9" t="n"/>
      <c r="AA42" s="9" t="n"/>
      <c r="AB42" s="77" t="n"/>
      <c r="AC42" s="9" t="n"/>
      <c r="AD42" s="9" t="n"/>
      <c r="AE42" s="9" t="n"/>
      <c r="AF42" s="26" t="n">
        <v>137358.79</v>
      </c>
      <c r="AG42" s="13">
        <f>SUM(B42:AF42)</f>
        <v/>
      </c>
    </row>
    <row r="43" ht="15.75" customHeight="1">
      <c r="A43" s="15" t="inlineStr">
        <is>
          <t>Portsmouth PCC</t>
        </is>
      </c>
      <c r="B43" s="9" t="n"/>
      <c r="C43" s="26" t="n"/>
      <c r="E43" s="9" t="n"/>
      <c r="F43" s="9" t="n"/>
      <c r="G43" s="80" t="n"/>
      <c r="H43" s="31" t="n">
        <v>6771.43</v>
      </c>
      <c r="I43" s="9" t="n"/>
      <c r="K43" s="9" t="n"/>
      <c r="L43" s="9" t="n"/>
      <c r="M43" s="9" t="n"/>
      <c r="N43" s="9" t="n"/>
      <c r="O43" s="9" t="n"/>
      <c r="P43" s="9" t="n"/>
      <c r="Q43" s="9" t="n"/>
      <c r="R43" s="9" t="n"/>
      <c r="S43" s="9" t="n"/>
      <c r="T43" s="9" t="n"/>
      <c r="U43" s="9" t="n"/>
      <c r="V43" s="9" t="n"/>
      <c r="W43" s="9" t="n"/>
      <c r="X43" s="26" t="n"/>
      <c r="Y43" s="26" t="n"/>
      <c r="Z43" s="9" t="n"/>
      <c r="AA43" s="9" t="n"/>
      <c r="AB43" s="77" t="n"/>
      <c r="AC43" s="9" t="n"/>
      <c r="AD43" s="9" t="n"/>
      <c r="AE43" s="9" t="n"/>
      <c r="AF43" s="26" t="n">
        <v>5078.57</v>
      </c>
      <c r="AG43" s="13">
        <f>SUM(B43:AF43)</f>
        <v/>
      </c>
    </row>
    <row r="44" ht="15.75" customHeight="1">
      <c r="A44" s="15" t="inlineStr">
        <is>
          <t>TLC</t>
        </is>
      </c>
      <c r="B44" s="9" t="n"/>
      <c r="C44" s="9" t="n"/>
      <c r="D44" s="12" t="n"/>
      <c r="E44" s="12" t="n"/>
      <c r="F44" s="9" t="n"/>
      <c r="G44" s="80" t="n"/>
      <c r="H44" s="9" t="n"/>
      <c r="I44" s="9" t="n"/>
      <c r="J44" s="9" t="n"/>
      <c r="K44" s="9" t="n"/>
      <c r="L44" s="12" t="n"/>
      <c r="M44" s="12" t="n"/>
      <c r="N44" s="9" t="n"/>
      <c r="O44" s="12" t="n"/>
      <c r="P44" s="12" t="n"/>
      <c r="Q44" s="9" t="n"/>
      <c r="R44" s="9" t="n"/>
      <c r="S44" s="12" t="n"/>
      <c r="T44" s="9" t="n"/>
      <c r="U44" s="9" t="n"/>
      <c r="V44" s="9" t="n"/>
      <c r="W44" s="9" t="n"/>
      <c r="X44" s="26" t="n"/>
      <c r="Y44" s="26" t="n"/>
      <c r="Z44" s="9" t="n"/>
      <c r="AA44" s="9" t="n"/>
      <c r="AB44" s="77" t="n"/>
      <c r="AC44" s="12" t="n"/>
      <c r="AD44" s="9" t="n"/>
      <c r="AE44" s="9" t="n"/>
      <c r="AF44" s="9" t="n"/>
      <c r="AG44" s="13">
        <f>SUM(B44:AF44)</f>
        <v/>
      </c>
    </row>
    <row r="45" ht="15.75" customHeight="1">
      <c r="A45" s="15" t="inlineStr">
        <is>
          <t>HB SC</t>
        </is>
      </c>
      <c r="B45" s="16" t="n">
        <v>10595.3</v>
      </c>
      <c r="C45" s="16" t="n">
        <v>1448.470000000001</v>
      </c>
      <c r="D45" s="16" t="n">
        <v>5539.050000000001</v>
      </c>
      <c r="E45" s="16" t="n">
        <v>0</v>
      </c>
      <c r="F45" s="16" t="n">
        <v>250</v>
      </c>
      <c r="G45" s="16" t="n">
        <v>0</v>
      </c>
      <c r="H45" s="16" t="n">
        <v>5072.209999999996</v>
      </c>
      <c r="I45" s="16" t="n">
        <v>1564.85</v>
      </c>
      <c r="J45" s="16" t="n">
        <v>2175.729999999996</v>
      </c>
      <c r="K45" s="16" t="n">
        <v>4587.850000000012</v>
      </c>
      <c r="L45" s="16" t="n">
        <v>600</v>
      </c>
      <c r="M45" s="16" t="n">
        <v>150</v>
      </c>
      <c r="N45" s="16">
        <f>13979.59-N30</f>
        <v/>
      </c>
      <c r="O45" s="16" t="n">
        <v>2399.86</v>
      </c>
      <c r="P45" s="16" t="n">
        <v>2725.360000000001</v>
      </c>
      <c r="Q45" s="16" t="n">
        <v>3327.430000000008</v>
      </c>
      <c r="R45" s="16" t="n">
        <v>3144.290000000001</v>
      </c>
      <c r="S45" s="16" t="n">
        <v>0</v>
      </c>
      <c r="T45" s="16" t="n">
        <v>150</v>
      </c>
      <c r="U45" s="16" t="n">
        <v>6044.610000000005</v>
      </c>
      <c r="V45" s="16" t="n">
        <v>9096.5</v>
      </c>
      <c r="W45" s="16" t="n">
        <v>5746.739999999998</v>
      </c>
      <c r="X45" s="16">
        <f>5690.12000000001+230.46</f>
        <v/>
      </c>
      <c r="Y45" s="16" t="n">
        <v>5451.989999999991</v>
      </c>
      <c r="Z45" s="16" t="n">
        <v>0</v>
      </c>
      <c r="AA45" s="16" t="n">
        <v>0</v>
      </c>
      <c r="AB45" s="16" t="n">
        <v>3907.53</v>
      </c>
      <c r="AC45" s="16" t="n">
        <v>10738.79000000001</v>
      </c>
      <c r="AD45" s="16" t="n">
        <v>2698.399999999949</v>
      </c>
      <c r="AE45" s="16" t="n">
        <v>5361.190000000001</v>
      </c>
      <c r="AF45" s="16" t="n">
        <v>2607.350000000005</v>
      </c>
      <c r="AG45" s="13">
        <f>SUM(B45:AF45)</f>
        <v/>
      </c>
    </row>
    <row r="46" ht="16.5" customHeight="1" thickBot="1">
      <c r="A46" s="15" t="inlineStr">
        <is>
          <t>Total</t>
        </is>
      </c>
      <c r="B46">
        <f>SUM(B27:B45)</f>
        <v/>
      </c>
      <c r="C46">
        <f>SUM(C27:C45)</f>
        <v/>
      </c>
      <c r="D46">
        <f>SUM(D27:D45)</f>
        <v/>
      </c>
      <c r="E46">
        <f>SUM(E27:E45)</f>
        <v/>
      </c>
      <c r="F46">
        <f>SUM(F27:F45)</f>
        <v/>
      </c>
      <c r="G46">
        <f>SUM(G27:G45)</f>
        <v/>
      </c>
      <c r="H46">
        <f>SUM(H27:H45)</f>
        <v/>
      </c>
      <c r="I46">
        <f>SUM(I27:I45)</f>
        <v/>
      </c>
      <c r="J46">
        <f>SUM(J27:J45)</f>
        <v/>
      </c>
      <c r="K46">
        <f>SUM(K27:K45)</f>
        <v/>
      </c>
      <c r="L46">
        <f>SUM(L27:L45)</f>
        <v/>
      </c>
      <c r="M46">
        <f>SUM(M27:M45)</f>
        <v/>
      </c>
      <c r="N46">
        <f>SUM(N27:N45)</f>
        <v/>
      </c>
      <c r="O46">
        <f>SUM(O27:O45)</f>
        <v/>
      </c>
      <c r="P46">
        <f>SUM(P27:P45)</f>
        <v/>
      </c>
      <c r="Q46">
        <f>SUM(Q27:Q45)</f>
        <v/>
      </c>
      <c r="R46">
        <f>SUM(R27:R45)</f>
        <v/>
      </c>
      <c r="S46">
        <f>SUM(S27:S45)</f>
        <v/>
      </c>
      <c r="T46">
        <f>SUM(T27:T45)</f>
        <v/>
      </c>
      <c r="U46">
        <f>SUM(U27:U45)</f>
        <v/>
      </c>
      <c r="V46">
        <f>SUM(V27:V45)</f>
        <v/>
      </c>
      <c r="W46">
        <f>SUM(W27:W45)</f>
        <v/>
      </c>
      <c r="X46">
        <f>SUM(X27:X45)</f>
        <v/>
      </c>
      <c r="Y46">
        <f>SUM(Y27:Y45)</f>
        <v/>
      </c>
      <c r="Z46">
        <f>SUM(Z27:Z45)</f>
        <v/>
      </c>
      <c r="AA46">
        <f>SUM(AA27:AA45)</f>
        <v/>
      </c>
      <c r="AB46">
        <f>SUM(AB27:AB45)</f>
        <v/>
      </c>
      <c r="AC46">
        <f>SUM(AC27:AC45)</f>
        <v/>
      </c>
      <c r="AD46">
        <f>SUM(AD27:AD45)</f>
        <v/>
      </c>
      <c r="AE46">
        <f>SUM(AE27:AE45)</f>
        <v/>
      </c>
      <c r="AF46">
        <f>SUM(AF27:AF45)</f>
        <v/>
      </c>
      <c r="AG46" s="22">
        <f>SUM(AG27:AG45)</f>
        <v/>
      </c>
    </row>
    <row r="47" ht="15.75" customHeight="1" thickTop="1">
      <c r="A47" s="15" t="inlineStr">
        <is>
          <t>Ruunning Total</t>
        </is>
      </c>
      <c r="B47">
        <f>B46</f>
        <v/>
      </c>
      <c r="C47">
        <f>B47+C46</f>
        <v/>
      </c>
      <c r="D47">
        <f>C47+D46</f>
        <v/>
      </c>
      <c r="E47">
        <f>D47+E46</f>
        <v/>
      </c>
      <c r="F47">
        <f>E47+F46</f>
        <v/>
      </c>
      <c r="G47">
        <f>F47+G46</f>
        <v/>
      </c>
      <c r="H47">
        <f>G47+H46</f>
        <v/>
      </c>
      <c r="I47">
        <f>H47+I46</f>
        <v/>
      </c>
      <c r="J47">
        <f>I47+J46</f>
        <v/>
      </c>
      <c r="K47">
        <f>J47+K46</f>
        <v/>
      </c>
      <c r="L47">
        <f>K47+L46</f>
        <v/>
      </c>
      <c r="M47">
        <f>L47+M46</f>
        <v/>
      </c>
      <c r="N47">
        <f>M47+N46</f>
        <v/>
      </c>
      <c r="O47">
        <f>N47+O46</f>
        <v/>
      </c>
      <c r="P47">
        <f>O47+P46</f>
        <v/>
      </c>
      <c r="Q47">
        <f>P47+Q46</f>
        <v/>
      </c>
      <c r="R47">
        <f>Q47+R46</f>
        <v/>
      </c>
      <c r="S47">
        <f>R47+S46</f>
        <v/>
      </c>
      <c r="T47">
        <f>S47+T46</f>
        <v/>
      </c>
      <c r="U47">
        <f>T47+U46</f>
        <v/>
      </c>
      <c r="V47">
        <f>U47+V46</f>
        <v/>
      </c>
      <c r="W47">
        <f>V47+W46</f>
        <v/>
      </c>
      <c r="X47">
        <f>W47+X46</f>
        <v/>
      </c>
      <c r="Y47">
        <f>X47+Y46</f>
        <v/>
      </c>
      <c r="Z47">
        <f>Y47+Z46</f>
        <v/>
      </c>
      <c r="AA47">
        <f>Z47+AA46</f>
        <v/>
      </c>
      <c r="AB47">
        <f>AA47+AB46</f>
        <v/>
      </c>
      <c r="AC47">
        <f>AB47+AC46</f>
        <v/>
      </c>
      <c r="AD47">
        <f>AC47+AD46</f>
        <v/>
      </c>
      <c r="AE47">
        <f>AD47+AE46</f>
        <v/>
      </c>
      <c r="AF47">
        <f>AE47+AF46</f>
        <v/>
      </c>
    </row>
    <row r="48">
      <c r="B48" t="n">
        <v>-171314.81</v>
      </c>
      <c r="C48" t="n">
        <v>-50</v>
      </c>
      <c r="D48" t="n">
        <v>-148.15</v>
      </c>
      <c r="E48" t="n">
        <v>0</v>
      </c>
      <c r="F48" t="n">
        <v>0</v>
      </c>
      <c r="G48" t="n">
        <v>0</v>
      </c>
      <c r="H48" t="n">
        <v>-59453.81999999999</v>
      </c>
      <c r="I48" t="n">
        <v>-1352.8</v>
      </c>
    </row>
    <row r="50">
      <c r="A50" s="51" t="inlineStr">
        <is>
          <t>Chasing</t>
        </is>
      </c>
    </row>
    <row r="51">
      <c r="A51" t="inlineStr">
        <is>
          <t>Birmingham</t>
        </is>
      </c>
      <c r="B51" t="n">
        <v>10218.6</v>
      </c>
      <c r="K51" t="inlineStr">
        <is>
          <t> </t>
        </is>
      </c>
    </row>
    <row r="52">
      <c r="A52" t="inlineStr">
        <is>
          <t>Nhs Birmingham</t>
        </is>
      </c>
      <c r="B52" t="n">
        <v>0</v>
      </c>
      <c r="I52" s="83" t="n"/>
    </row>
    <row r="53">
      <c r="A53" t="inlineStr">
        <is>
          <t>NHS Black country Foundation</t>
        </is>
      </c>
      <c r="B53" t="n">
        <v>0</v>
      </c>
      <c r="I53" s="83" t="n"/>
    </row>
    <row r="54">
      <c r="A54" t="inlineStr">
        <is>
          <t>Nhs black country</t>
        </is>
      </c>
      <c r="B54" t="n">
        <v>0</v>
      </c>
      <c r="I54" s="83" t="n"/>
    </row>
    <row r="55">
      <c r="A55" t="inlineStr">
        <is>
          <t>Sandwell</t>
        </is>
      </c>
      <c r="B55" t="n">
        <v>27026.4</v>
      </c>
      <c r="I55" s="83" t="n"/>
    </row>
    <row r="56">
      <c r="A56" s="52" t="inlineStr">
        <is>
          <t xml:space="preserve">Walsall </t>
        </is>
      </c>
      <c r="B56" t="n">
        <v>5797.96</v>
      </c>
      <c r="I56" s="83" t="n"/>
    </row>
    <row r="57">
      <c r="A57" t="inlineStr">
        <is>
          <t>Wolverhampton</t>
        </is>
      </c>
      <c r="B57" t="n">
        <v>35078.08</v>
      </c>
      <c r="I57" s="83" t="n"/>
    </row>
    <row r="58" ht="15.75" customHeight="1" thickBot="1">
      <c r="A58" s="50" t="inlineStr">
        <is>
          <t>Total</t>
        </is>
      </c>
      <c r="B58" s="29">
        <f>SUM(B51:B57)</f>
        <v/>
      </c>
      <c r="I58" s="83" t="n"/>
    </row>
    <row r="59" ht="15.75" customHeight="1" thickTop="1">
      <c r="I59" s="83" t="n"/>
    </row>
    <row r="60">
      <c r="I60" s="83" t="n"/>
    </row>
    <row r="61">
      <c r="I61" s="83" t="n"/>
      <c r="M61" s="25" t="n"/>
    </row>
    <row r="62">
      <c r="I62" s="83" t="n"/>
    </row>
    <row r="63">
      <c r="I63" s="83" t="n"/>
    </row>
    <row r="64">
      <c r="I64" s="83" t="n"/>
    </row>
    <row r="65">
      <c r="I65" s="83" t="n"/>
    </row>
    <row r="66">
      <c r="I66" s="83" t="n"/>
    </row>
    <row r="67">
      <c r="I67" s="83" t="n"/>
      <c r="M67" s="25" t="n"/>
    </row>
    <row r="68">
      <c r="I68" s="83" t="n"/>
    </row>
    <row r="69">
      <c r="I69" s="83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1:AH46"/>
  <sheetViews>
    <sheetView topLeftCell="A3" workbookViewId="0">
      <pane xSplit="1" topLeftCell="N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10.140625" bestFit="1" customWidth="1" min="21" max="21"/>
    <col width="14.28515625" bestFit="1" customWidth="1" min="33" max="33"/>
    <col width="11.5703125" bestFit="1" customWidth="1" min="34" max="34"/>
  </cols>
  <sheetData>
    <row r="1">
      <c r="A1" s="1" t="n"/>
      <c r="B1" s="2" t="inlineStr">
        <is>
          <t>June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 ht="15.75" customHeight="1">
      <c r="A2" s="1" t="n"/>
      <c r="B2" s="2" t="inlineStr">
        <is>
          <t>Sunday</t>
        </is>
      </c>
      <c r="C2" s="2" t="inlineStr">
        <is>
          <t>Monday</t>
        </is>
      </c>
      <c r="D2" s="2" t="inlineStr">
        <is>
          <t>Tuesday</t>
        </is>
      </c>
      <c r="E2" s="2" t="inlineStr">
        <is>
          <t>Wednesday</t>
        </is>
      </c>
      <c r="F2" s="2" t="inlineStr">
        <is>
          <t>Thursday</t>
        </is>
      </c>
      <c r="G2" s="2" t="inlineStr">
        <is>
          <t>Friday</t>
        </is>
      </c>
      <c r="H2" s="2" t="inlineStr">
        <is>
          <t>Saturday</t>
        </is>
      </c>
      <c r="I2" s="2" t="inlineStr">
        <is>
          <t>Sunday</t>
        </is>
      </c>
      <c r="J2" s="2" t="inlineStr">
        <is>
          <t>Monday</t>
        </is>
      </c>
      <c r="K2" s="2" t="inlineStr">
        <is>
          <t>Tuesday</t>
        </is>
      </c>
      <c r="L2" s="2" t="inlineStr">
        <is>
          <t>Wednesday</t>
        </is>
      </c>
      <c r="M2" s="2" t="inlineStr">
        <is>
          <t>Thursday</t>
        </is>
      </c>
      <c r="N2" s="2" t="inlineStr">
        <is>
          <t>Friday</t>
        </is>
      </c>
      <c r="O2" s="2" t="inlineStr">
        <is>
          <t>Saturday</t>
        </is>
      </c>
      <c r="P2" s="2" t="inlineStr">
        <is>
          <t>Sunday</t>
        </is>
      </c>
      <c r="Q2" s="2" t="inlineStr">
        <is>
          <t>Monday</t>
        </is>
      </c>
      <c r="R2" s="2" t="inlineStr">
        <is>
          <t>Tuesday</t>
        </is>
      </c>
      <c r="S2" s="2" t="inlineStr">
        <is>
          <t>Wednesday</t>
        </is>
      </c>
      <c r="T2" s="2" t="inlineStr">
        <is>
          <t>Thursday</t>
        </is>
      </c>
      <c r="U2" s="2" t="inlineStr">
        <is>
          <t>Friday</t>
        </is>
      </c>
      <c r="V2" s="2" t="inlineStr">
        <is>
          <t>Saturday</t>
        </is>
      </c>
      <c r="W2" s="2" t="inlineStr">
        <is>
          <t>Sunday</t>
        </is>
      </c>
      <c r="X2" s="2" t="inlineStr">
        <is>
          <t>Monday</t>
        </is>
      </c>
      <c r="Y2" s="2" t="inlineStr">
        <is>
          <t>Tuesday</t>
        </is>
      </c>
      <c r="Z2" s="2" t="inlineStr">
        <is>
          <t>Wednesday</t>
        </is>
      </c>
      <c r="AA2" s="2" t="inlineStr">
        <is>
          <t>Thursday</t>
        </is>
      </c>
      <c r="AB2" s="2" t="inlineStr">
        <is>
          <t>Friday</t>
        </is>
      </c>
      <c r="AC2" s="2" t="inlineStr">
        <is>
          <t>Saturday</t>
        </is>
      </c>
      <c r="AD2" s="2" t="inlineStr">
        <is>
          <t>Sunday</t>
        </is>
      </c>
      <c r="AE2" s="2" t="inlineStr">
        <is>
          <t>Monday</t>
        </is>
      </c>
      <c r="AF2" s="9" t="n"/>
      <c r="AG2" s="2" t="inlineStr">
        <is>
          <t>Total</t>
        </is>
      </c>
    </row>
    <row r="3" ht="15.75" customHeight="1">
      <c r="A3" s="1" t="n"/>
      <c r="B3" s="7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3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4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5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6" t="inlineStr">
        <is>
          <t>29th</t>
        </is>
      </c>
      <c r="AE3" s="7" t="inlineStr">
        <is>
          <t>30th</t>
        </is>
      </c>
      <c r="AF3" s="9" t="n"/>
      <c r="AG3" s="1" t="n"/>
    </row>
    <row r="4" ht="15.75" customHeight="1">
      <c r="A4" s="8" t="inlineStr">
        <is>
          <t>B-HAM CITY COUNCIL-200790-70489166</t>
        </is>
      </c>
      <c r="D4" s="12" t="n"/>
      <c r="E4" s="12" t="n"/>
      <c r="F4" s="12" t="n"/>
      <c r="G4" s="12" t="n"/>
      <c r="H4" s="12" t="n"/>
      <c r="I4" s="12" t="n"/>
      <c r="J4" s="12" t="n"/>
      <c r="K4" s="12" t="n"/>
      <c r="L4" s="12" t="n"/>
      <c r="M4" s="12" t="n"/>
      <c r="N4" s="12" t="n"/>
      <c r="O4" s="12" t="n"/>
      <c r="P4" s="12" t="n"/>
      <c r="Q4" s="12" t="n"/>
      <c r="R4" s="12" t="n">
        <v>5230.45</v>
      </c>
      <c r="S4" s="12" t="n"/>
      <c r="T4" s="12" t="n"/>
      <c r="U4" s="12" t="n"/>
      <c r="V4" s="12" t="n"/>
      <c r="W4" s="12" t="n"/>
      <c r="X4" s="12" t="n"/>
      <c r="Y4" s="85" t="n">
        <v>74350</v>
      </c>
      <c r="Z4" s="12" t="n"/>
      <c r="AA4" s="12" t="n"/>
      <c r="AB4" s="12" t="n"/>
      <c r="AC4" s="12" t="n"/>
      <c r="AD4" s="12" t="n"/>
      <c r="AE4" s="12" t="n"/>
      <c r="AG4" s="13">
        <f>SUM(B4:AF4)</f>
        <v/>
      </c>
    </row>
    <row r="5" ht="15.75" customHeight="1">
      <c r="A5" s="8" t="inlineStr">
        <is>
          <t>Buckingham</t>
        </is>
      </c>
      <c r="C5" s="9" t="n"/>
      <c r="D5" s="9" t="n"/>
      <c r="E5" s="9" t="n"/>
      <c r="F5" s="9" t="n"/>
      <c r="G5" s="12" t="n">
        <v>5134.44</v>
      </c>
      <c r="H5" s="9" t="n"/>
      <c r="I5" s="9" t="n"/>
      <c r="J5" s="9" t="n"/>
      <c r="K5" s="9" t="n"/>
      <c r="L5" s="12" t="n"/>
      <c r="M5" s="9" t="n"/>
      <c r="N5" s="9" t="n"/>
      <c r="O5" s="9" t="n"/>
      <c r="P5" s="9" t="n"/>
      <c r="Q5" s="9" t="n"/>
      <c r="R5" s="9" t="n"/>
      <c r="S5" s="9" t="n"/>
      <c r="T5" s="9" t="n"/>
      <c r="U5" s="9" t="n"/>
      <c r="V5" s="12" t="n"/>
      <c r="W5" s="9" t="n"/>
      <c r="X5" s="12" t="n">
        <v>5134.44</v>
      </c>
      <c r="Y5" s="12" t="n"/>
      <c r="Z5" s="12" t="n"/>
      <c r="AA5" s="12" t="n"/>
      <c r="AB5" s="12" t="n"/>
      <c r="AC5" s="12" t="n"/>
      <c r="AD5" s="12" t="n"/>
      <c r="AE5" s="12" t="n"/>
      <c r="AG5" s="13">
        <f>SUM(B5:AF5)</f>
        <v/>
      </c>
    </row>
    <row r="6" ht="15.75" customHeight="1">
      <c r="A6" s="8" t="inlineStr">
        <is>
          <t>Sandwell respite est</t>
        </is>
      </c>
      <c r="C6" s="9" t="n"/>
      <c r="D6" s="9" t="n"/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12" t="n"/>
      <c r="Y6" s="12" t="n"/>
      <c r="Z6" s="12" t="n"/>
      <c r="AA6" s="12" t="n"/>
      <c r="AB6" s="12" t="n"/>
      <c r="AC6" s="12" t="n"/>
      <c r="AD6" s="12" t="n"/>
      <c r="AE6" s="12" t="n"/>
      <c r="AF6" s="9" t="n">
        <v>20000</v>
      </c>
      <c r="AG6" s="13">
        <f>SUM(B6:AF6)</f>
        <v/>
      </c>
    </row>
    <row r="7" ht="15.75" customHeight="1">
      <c r="A7" s="8" t="inlineStr">
        <is>
          <t xml:space="preserve">Wolverhampton respite est </t>
        </is>
      </c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9" t="n">
        <v>30000</v>
      </c>
      <c r="AG7" s="13">
        <f>SUM(B7:AF7)</f>
        <v/>
      </c>
    </row>
    <row r="8" ht="15.75" customHeight="1">
      <c r="A8" s="8" t="inlineStr">
        <is>
          <t>Walsall Respite</t>
        </is>
      </c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12" t="n"/>
      <c r="Y8" s="12" t="n"/>
      <c r="Z8" s="12" t="n"/>
      <c r="AA8" s="12" t="n"/>
      <c r="AB8" s="12" t="n"/>
      <c r="AC8" s="12" t="n"/>
      <c r="AD8" s="12" t="n"/>
      <c r="AE8" s="12" t="n"/>
      <c r="AF8" s="9" t="n">
        <v>19208</v>
      </c>
      <c r="AG8" s="13">
        <f>SUM(B8:AF8)</f>
        <v/>
      </c>
    </row>
    <row r="9" ht="18.75" customHeight="1">
      <c r="A9" s="8" t="inlineStr">
        <is>
          <t>Ideal for All Ltd</t>
        </is>
      </c>
      <c r="D9" s="9" t="n"/>
      <c r="E9" s="9" t="n"/>
      <c r="F9" s="12" t="n"/>
      <c r="G9" s="12" t="n"/>
      <c r="H9" s="12" t="n"/>
      <c r="I9" s="12" t="n"/>
      <c r="J9" s="11" t="n">
        <v>3661.88</v>
      </c>
      <c r="K9" s="9" t="n"/>
      <c r="L9" s="9" t="n"/>
      <c r="M9" s="9" t="n"/>
      <c r="N9" s="12" t="n">
        <v>3344</v>
      </c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12" t="n"/>
      <c r="Y9" s="12" t="n"/>
      <c r="Z9" s="12" t="n"/>
      <c r="AA9" s="12" t="n"/>
      <c r="AB9" s="12" t="n"/>
      <c r="AC9" s="12" t="n"/>
      <c r="AD9" s="12" t="n"/>
      <c r="AE9" s="12" t="n"/>
      <c r="AG9" s="13">
        <f>SUM(B9:AF9)</f>
        <v/>
      </c>
    </row>
    <row r="10" ht="15.75" customHeight="1">
      <c r="A10" s="8" t="inlineStr">
        <is>
          <t>KIRKLEES COUNCIL-204312-63046958</t>
        </is>
      </c>
      <c r="C10" s="12" t="n"/>
      <c r="D10" s="9" t="n"/>
      <c r="E10" s="12" t="n"/>
      <c r="F10" s="9" t="n"/>
      <c r="G10" s="9" t="n"/>
      <c r="H10" s="9" t="n"/>
      <c r="I10" s="9" t="n"/>
      <c r="J10" s="12" t="n"/>
      <c r="K10" s="12" t="n">
        <v>5554.89</v>
      </c>
      <c r="L10" s="12" t="n"/>
      <c r="M10" s="9" t="n"/>
      <c r="N10" s="12" t="n"/>
      <c r="O10" s="9" t="n"/>
      <c r="P10" s="9" t="n"/>
      <c r="Q10" s="9" t="n"/>
      <c r="R10" s="9" t="n"/>
      <c r="S10" s="9" t="n"/>
      <c r="T10" s="9" t="n"/>
      <c r="U10" s="9" t="n"/>
      <c r="V10" s="9" t="n"/>
      <c r="W10" s="9" t="n"/>
      <c r="X10" s="12" t="n"/>
      <c r="Y10" s="12" t="n"/>
      <c r="Z10" s="12" t="n"/>
      <c r="AA10" s="12" t="n"/>
      <c r="AB10" s="12" t="n"/>
      <c r="AC10" s="12" t="n"/>
      <c r="AD10" s="12" t="n"/>
      <c r="AE10" s="12" t="n"/>
      <c r="AG10" s="13">
        <f>SUM(B10:AF10)</f>
        <v/>
      </c>
    </row>
    <row r="11" ht="15.75" customHeight="1">
      <c r="A11" s="8" t="inlineStr">
        <is>
          <t>LBH PAYMENTS BACS-602210-72430192</t>
        </is>
      </c>
      <c r="C11" s="9" t="n"/>
      <c r="D11" s="9" t="n"/>
      <c r="E11" s="9" t="n"/>
      <c r="F11" s="12" t="n"/>
      <c r="G11" s="9" t="n"/>
      <c r="H11" s="9" t="n"/>
      <c r="I11" s="9" t="n"/>
      <c r="J11" s="12" t="n"/>
      <c r="K11" s="9" t="n"/>
      <c r="L11" s="9" t="n"/>
      <c r="M11" s="9" t="n"/>
      <c r="N11" s="12" t="n"/>
      <c r="O11" s="9" t="n"/>
      <c r="P11" s="9" t="n"/>
      <c r="Q11" s="9" t="n"/>
      <c r="R11" s="9" t="n"/>
      <c r="S11" s="9" t="n"/>
      <c r="T11" s="9" t="n">
        <v>5040</v>
      </c>
      <c r="U11" s="9" t="n"/>
      <c r="V11" s="9" t="n"/>
      <c r="W11" s="9" t="n"/>
      <c r="X11" s="12" t="n"/>
      <c r="Y11" s="12" t="n"/>
      <c r="Z11" s="12" t="n"/>
      <c r="AA11" s="12" t="n"/>
      <c r="AB11" s="12" t="n"/>
      <c r="AC11" s="12" t="n"/>
      <c r="AD11" s="12" t="n"/>
      <c r="AE11" s="12" t="n"/>
      <c r="AG11" s="13">
        <f>SUM(B11:AF11)</f>
        <v/>
      </c>
    </row>
    <row r="12" ht="15.75" customHeight="1">
      <c r="A12" s="8" t="inlineStr">
        <is>
          <t>NHS BIRMINGHAM &amp; S-607080-10017097</t>
        </is>
      </c>
      <c r="C12" s="12" t="n"/>
      <c r="D12" s="9" t="inlineStr"/>
      <c r="E12" s="9" t="n"/>
      <c r="F12" s="9" t="n"/>
      <c r="G12" s="9" t="n"/>
      <c r="H12" s="9" t="n"/>
      <c r="I12" s="9" t="n"/>
      <c r="J12" s="9" t="n"/>
      <c r="K12" s="9" t="n"/>
      <c r="L12" s="9" t="n"/>
      <c r="M12" s="9" t="n"/>
      <c r="N12" s="12" t="n">
        <v>7121.63</v>
      </c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12" t="n"/>
      <c r="Y12" s="12" t="n"/>
      <c r="Z12" s="12" t="n"/>
      <c r="AA12" s="12" t="n"/>
      <c r="AB12" s="12" t="n"/>
      <c r="AC12" s="12" t="n"/>
      <c r="AD12" s="12" t="n"/>
      <c r="AE12" s="12" t="n"/>
      <c r="AG12" s="13">
        <f>SUM(B12:AF12)</f>
        <v/>
      </c>
    </row>
    <row r="13" ht="15.75" customHeight="1">
      <c r="A13" s="8" t="inlineStr">
        <is>
          <t>NHS BLACK COUNTRY-607080-10015272</t>
        </is>
      </c>
      <c r="C13" s="9" t="inlineStr"/>
      <c r="D13" s="9" t="n"/>
      <c r="E13" s="9" t="n"/>
      <c r="F13" s="9" t="n"/>
      <c r="G13" s="12" t="n"/>
      <c r="H13" s="12" t="n"/>
      <c r="I13" s="12" t="n"/>
      <c r="J13" s="9" t="n"/>
      <c r="K13" s="9" t="n"/>
      <c r="L13" s="12" t="n">
        <v>13185.64</v>
      </c>
      <c r="M13" s="12" t="n"/>
      <c r="N13" s="9" t="n"/>
      <c r="O13" s="9" t="n"/>
      <c r="P13" s="9" t="n"/>
      <c r="Q13" s="9" t="n"/>
      <c r="R13" s="9" t="n"/>
      <c r="S13" s="9" t="n"/>
      <c r="T13" s="9" t="n"/>
      <c r="U13" s="12" t="n">
        <v>8073.21</v>
      </c>
      <c r="V13" s="9" t="n"/>
      <c r="W13" s="12" t="n"/>
      <c r="X13" s="12" t="n"/>
      <c r="Y13" s="12" t="n"/>
      <c r="Z13" s="12" t="n"/>
      <c r="AA13" s="12" t="n"/>
      <c r="AB13" s="12" t="n"/>
      <c r="AC13" s="12" t="n"/>
      <c r="AD13" s="12" t="n"/>
      <c r="AE13" s="12" t="n"/>
      <c r="AG13" s="13">
        <f>SUM(B13:AF13)</f>
        <v/>
      </c>
    </row>
    <row r="14" ht="15.75" customHeight="1">
      <c r="A14" s="14" t="inlineStr">
        <is>
          <t>SANDWELL MBC  BEN-601539-69624151</t>
        </is>
      </c>
      <c r="C14" s="9" t="inlineStr"/>
      <c r="D14" s="12" t="inlineStr">
        <is>
          <t>.</t>
        </is>
      </c>
      <c r="E14" s="12" t="n"/>
      <c r="F14" s="9" t="n"/>
      <c r="G14" s="9" t="n"/>
      <c r="H14" s="9" t="n"/>
      <c r="I14" s="9" t="n"/>
      <c r="J14" s="12" t="n"/>
      <c r="K14" s="12" t="n"/>
      <c r="L14" s="9" t="n"/>
      <c r="M14" s="9" t="n"/>
      <c r="N14" s="9" t="n"/>
      <c r="O14" s="9" t="n"/>
      <c r="P14" s="12" t="n"/>
      <c r="Q14" s="9" t="n"/>
      <c r="R14" s="9" t="n"/>
      <c r="S14" s="9" t="n"/>
      <c r="T14" s="12" t="n"/>
      <c r="U14" s="12" t="n">
        <v>2660</v>
      </c>
      <c r="V14" s="9" t="n"/>
      <c r="W14" s="9" t="n"/>
      <c r="X14" s="12" t="n"/>
      <c r="Y14" s="12" t="n"/>
      <c r="Z14" s="12" t="n"/>
      <c r="AA14" s="12" t="n"/>
      <c r="AB14" s="12" t="n"/>
      <c r="AC14" s="12" t="n"/>
      <c r="AD14" s="12" t="n"/>
      <c r="AE14" s="12" t="n"/>
      <c r="AG14" s="13">
        <f>SUM(B14:AF14)</f>
        <v/>
      </c>
    </row>
    <row r="15" ht="15.75" customHeight="1">
      <c r="A15" s="14" t="inlineStr">
        <is>
          <t>SANDWELL MBC-601539-69624135</t>
        </is>
      </c>
      <c r="D15" s="12" t="n"/>
      <c r="E15" s="12" t="n"/>
      <c r="F15" s="12" t="n"/>
      <c r="G15" s="12" t="n"/>
      <c r="H15" s="12" t="n"/>
      <c r="I15" s="12" t="n"/>
      <c r="J15" s="12" t="n"/>
      <c r="K15" s="12" t="n">
        <v>120000</v>
      </c>
      <c r="L15" s="12" t="n"/>
      <c r="M15" s="12" t="n"/>
      <c r="N15" s="12" t="n"/>
      <c r="O15" s="12" t="n"/>
      <c r="P15" s="12" t="n"/>
      <c r="Q15" s="12" t="n"/>
      <c r="R15" s="12" t="n"/>
      <c r="S15" s="12" t="n"/>
      <c r="T15" s="12" t="n"/>
      <c r="U15" s="12" t="n"/>
      <c r="V15" s="12" t="n"/>
      <c r="W15" s="12" t="n"/>
      <c r="X15" s="12" t="n"/>
      <c r="Y15" s="12" t="n">
        <v>120000</v>
      </c>
      <c r="Z15" s="12" t="n"/>
      <c r="AA15" s="12" t="n"/>
      <c r="AB15" s="12" t="n"/>
      <c r="AC15" s="12" t="n"/>
      <c r="AD15" s="12" t="n"/>
      <c r="AE15" s="12" t="n"/>
      <c r="AG15" s="13">
        <f>SUM(B15:AF15)</f>
        <v/>
      </c>
    </row>
    <row r="16" ht="15.75" customHeight="1">
      <c r="A16" s="15" t="inlineStr">
        <is>
          <t>SOLIHULL MBC EXP.-200771-00561525</t>
        </is>
      </c>
      <c r="D16" s="12" t="n"/>
      <c r="E16" s="12" t="n"/>
      <c r="F16" s="12" t="n"/>
      <c r="G16" s="12" t="n"/>
      <c r="H16" s="12" t="n"/>
      <c r="I16" s="12" t="n"/>
      <c r="J16" s="12" t="n"/>
      <c r="K16" s="12" t="n"/>
      <c r="L16" s="12" t="n"/>
      <c r="M16" s="12" t="n"/>
      <c r="N16" s="12" t="n"/>
      <c r="O16" s="12" t="n"/>
      <c r="P16" s="12" t="n"/>
      <c r="Q16" s="12" t="n"/>
      <c r="R16" s="12" t="n"/>
      <c r="S16" s="12" t="n"/>
      <c r="T16" s="12" t="n"/>
      <c r="U16" s="12" t="n"/>
      <c r="V16" s="12" t="n"/>
      <c r="W16" s="12" t="n"/>
      <c r="X16" s="12" t="n"/>
      <c r="Y16" s="12" t="n">
        <v>32000</v>
      </c>
      <c r="Z16" s="12" t="n"/>
      <c r="AA16" s="12" t="n"/>
      <c r="AB16" s="12" t="n"/>
      <c r="AC16" s="12" t="n"/>
      <c r="AD16" s="12" t="n"/>
      <c r="AE16" s="12" t="n"/>
      <c r="AG16" s="13">
        <f>SUM(B16:AF16)</f>
        <v/>
      </c>
    </row>
    <row r="17" ht="15.75" customHeight="1">
      <c r="A17" s="15" t="inlineStr">
        <is>
          <t>WALSALL MBC BARC-209073-10731692</t>
        </is>
      </c>
      <c r="D17" s="12" t="n"/>
      <c r="E17" s="12" t="n"/>
      <c r="F17" s="12" t="n"/>
      <c r="G17" s="12" t="n"/>
      <c r="H17" s="12" t="n"/>
      <c r="I17" s="12" t="n"/>
      <c r="J17" s="9" t="n">
        <v>191991.08</v>
      </c>
      <c r="K17" s="12" t="n"/>
      <c r="L17" s="12" t="n"/>
      <c r="M17" s="12" t="n"/>
      <c r="N17" s="12" t="n"/>
      <c r="O17" s="12" t="n"/>
      <c r="P17" s="12" t="n"/>
      <c r="Q17" s="12" t="n"/>
      <c r="R17" s="12" t="n"/>
      <c r="S17" s="12" t="n"/>
      <c r="T17" s="12" t="n"/>
      <c r="U17" s="12" t="n"/>
      <c r="V17" s="12" t="n"/>
      <c r="W17" s="12" t="n"/>
      <c r="X17" s="12" t="n"/>
      <c r="Y17" s="12" t="n"/>
      <c r="Z17" s="12" t="n"/>
      <c r="AA17" s="12" t="n"/>
      <c r="AB17" s="12" t="n"/>
      <c r="AC17" s="12" t="n"/>
      <c r="AD17" s="12" t="n"/>
      <c r="AE17" s="12" t="n"/>
      <c r="AG17" s="13">
        <f>SUM(B17:AF17)</f>
        <v/>
      </c>
    </row>
    <row r="18" ht="15.75" customHeight="1">
      <c r="A18" s="15" t="inlineStr">
        <is>
          <t>WOLVERHAMPTON CC-560069-44470320</t>
        </is>
      </c>
      <c r="D18" s="12" t="n"/>
      <c r="E18" s="12" t="n"/>
      <c r="F18" s="12" t="n">
        <v>112000</v>
      </c>
      <c r="G18" s="12" t="n"/>
      <c r="H18" s="12" t="n"/>
      <c r="I18" s="12" t="n"/>
      <c r="J18" s="12" t="n"/>
      <c r="K18" s="12" t="n"/>
      <c r="L18" s="12" t="n"/>
      <c r="M18" s="12" t="n">
        <v>112000</v>
      </c>
      <c r="N18" s="12" t="n"/>
      <c r="O18" s="12" t="n"/>
      <c r="P18" s="12" t="n"/>
      <c r="Q18" s="12" t="n"/>
      <c r="R18" s="12" t="n"/>
      <c r="S18" s="12" t="n"/>
      <c r="T18" s="12" t="n">
        <v>112000</v>
      </c>
      <c r="U18" s="12" t="n"/>
      <c r="V18" s="12" t="n"/>
      <c r="W18" s="12" t="n"/>
      <c r="X18" s="12" t="n"/>
      <c r="Y18" s="12" t="n"/>
      <c r="Z18" s="12" t="n"/>
      <c r="AA18" s="12" t="n">
        <v>112000</v>
      </c>
      <c r="AB18" s="12" t="n"/>
      <c r="AC18" s="12" t="n"/>
      <c r="AD18" s="12" t="n"/>
      <c r="AE18" s="12" t="n"/>
      <c r="AG18" s="13">
        <f>SUM(B18:AF18)</f>
        <v/>
      </c>
    </row>
    <row r="19" ht="15.75" customHeight="1">
      <c r="A19" s="15" t="inlineStr">
        <is>
          <t>Portsmouth</t>
        </is>
      </c>
      <c r="D19" s="12" t="n"/>
      <c r="E19" s="12" t="n"/>
      <c r="F19" s="12" t="n"/>
      <c r="G19" s="12" t="n"/>
      <c r="H19" s="12" t="n"/>
      <c r="I19" s="12" t="n"/>
      <c r="J19" s="12" t="n"/>
      <c r="K19" s="9" t="n">
        <v>5247.86</v>
      </c>
      <c r="L19" s="12" t="n"/>
      <c r="M19" s="12" t="n"/>
      <c r="N19" s="12" t="n"/>
      <c r="O19" s="12" t="n"/>
      <c r="P19" s="12" t="n"/>
      <c r="Q19" s="12" t="n"/>
      <c r="R19" s="12" t="n"/>
      <c r="S19" s="12" t="n"/>
      <c r="T19" s="12" t="n"/>
      <c r="U19" s="12" t="n"/>
      <c r="V19" s="12" t="n"/>
      <c r="W19" s="12" t="n"/>
      <c r="X19" s="12" t="n"/>
      <c r="Y19" s="12" t="n"/>
      <c r="Z19" s="12" t="n"/>
      <c r="AA19" s="12" t="n"/>
      <c r="AB19" s="12" t="n"/>
      <c r="AC19" s="12" t="n"/>
      <c r="AD19" s="12" t="n"/>
      <c r="AE19" s="12" t="n"/>
      <c r="AG19" s="13">
        <f>SUM(B19:AF19)</f>
        <v/>
      </c>
    </row>
    <row r="20" ht="15.75" customHeight="1">
      <c r="A20" s="15" t="inlineStr">
        <is>
          <t>HB SC</t>
        </is>
      </c>
      <c r="B20" s="10" t="n">
        <v>3400</v>
      </c>
      <c r="C20" s="10" t="n">
        <v>3400</v>
      </c>
      <c r="D20" s="10" t="n">
        <v>3400</v>
      </c>
      <c r="E20" s="10" t="n">
        <v>3400</v>
      </c>
      <c r="F20" s="10" t="n">
        <v>3400</v>
      </c>
      <c r="G20" s="10" t="n">
        <v>3400</v>
      </c>
      <c r="H20" s="10" t="n">
        <v>3400</v>
      </c>
      <c r="I20" s="10" t="n">
        <v>3400</v>
      </c>
      <c r="J20" s="10" t="n">
        <v>3400</v>
      </c>
      <c r="K20" s="10" t="n">
        <v>3400</v>
      </c>
      <c r="L20" s="10" t="n">
        <v>3400</v>
      </c>
      <c r="M20" s="10" t="n">
        <v>3400</v>
      </c>
      <c r="N20" s="10" t="n">
        <v>3400</v>
      </c>
      <c r="O20" s="10" t="n">
        <v>3400</v>
      </c>
      <c r="P20" s="10" t="n">
        <v>3400</v>
      </c>
      <c r="Q20" s="10" t="n">
        <v>3400</v>
      </c>
      <c r="R20" s="10" t="n">
        <v>3400</v>
      </c>
      <c r="S20" s="10" t="n">
        <v>3400</v>
      </c>
      <c r="T20" s="10" t="n">
        <v>3400</v>
      </c>
      <c r="U20" s="10" t="n">
        <v>3400</v>
      </c>
      <c r="V20" s="10" t="n">
        <v>3400</v>
      </c>
      <c r="W20" s="10" t="n">
        <v>3400</v>
      </c>
      <c r="X20" s="10" t="n">
        <v>3400</v>
      </c>
      <c r="Y20" s="10" t="n">
        <v>3400</v>
      </c>
      <c r="Z20" s="10" t="n">
        <v>3400</v>
      </c>
      <c r="AA20" s="10" t="n">
        <v>3400</v>
      </c>
      <c r="AB20" s="10" t="n">
        <v>3400</v>
      </c>
      <c r="AC20" s="10" t="n">
        <v>3400</v>
      </c>
      <c r="AD20" s="10" t="n">
        <v>3400</v>
      </c>
      <c r="AE20" s="10" t="n">
        <v>3400</v>
      </c>
      <c r="AF20" s="16" t="n"/>
      <c r="AG20" s="13">
        <f>SUM(B20:AF20)</f>
        <v/>
      </c>
    </row>
    <row r="21" ht="16.5" customHeight="1" thickBot="1">
      <c r="A21" s="15" t="inlineStr">
        <is>
          <t>Total</t>
        </is>
      </c>
      <c r="B21">
        <f>SUM(B4:B20)</f>
        <v/>
      </c>
      <c r="C21">
        <f>SUM(C4:C20)</f>
        <v/>
      </c>
      <c r="D21">
        <f>SUM(D4:D20)</f>
        <v/>
      </c>
      <c r="E21">
        <f>SUM(E4:E20)</f>
        <v/>
      </c>
      <c r="F21">
        <f>SUM(F4:F20)</f>
        <v/>
      </c>
      <c r="G21">
        <f>SUM(G4:G20)</f>
        <v/>
      </c>
      <c r="H21">
        <f>SUM(H4:H20)</f>
        <v/>
      </c>
      <c r="I21">
        <f>SUM(I4:I20)</f>
        <v/>
      </c>
      <c r="J21">
        <f>SUM(J4:J20)</f>
        <v/>
      </c>
      <c r="K21">
        <f>SUM(K4:K20)</f>
        <v/>
      </c>
      <c r="L21">
        <f>SUM(L4:L20)</f>
        <v/>
      </c>
      <c r="M21">
        <f>SUM(M4:M20)</f>
        <v/>
      </c>
      <c r="N21">
        <f>SUM(N4:N20)</f>
        <v/>
      </c>
      <c r="O21">
        <f>SUM(O4:O20)</f>
        <v/>
      </c>
      <c r="P21">
        <f>SUM(P4:P20)</f>
        <v/>
      </c>
      <c r="Q21">
        <f>SUM(Q4:Q20)</f>
        <v/>
      </c>
      <c r="R21">
        <f>SUM(R4:R20)</f>
        <v/>
      </c>
      <c r="S21">
        <f>SUM(S4:S20)</f>
        <v/>
      </c>
      <c r="T21">
        <f>SUM(T4:T20)</f>
        <v/>
      </c>
      <c r="U21">
        <f>SUM(U4:U20)</f>
        <v/>
      </c>
      <c r="V21">
        <f>SUM(V4:V20)</f>
        <v/>
      </c>
      <c r="W21">
        <f>SUM(W4:W20)</f>
        <v/>
      </c>
      <c r="X21">
        <f>SUM(X4:X20)</f>
        <v/>
      </c>
      <c r="Y21">
        <f>SUM(Y4:Y20)</f>
        <v/>
      </c>
      <c r="Z21">
        <f>SUM(Z4:Z20)</f>
        <v/>
      </c>
      <c r="AA21">
        <f>SUM(AA4:AA20)</f>
        <v/>
      </c>
      <c r="AB21">
        <f>SUM(AB4:AB20)</f>
        <v/>
      </c>
      <c r="AC21">
        <f>SUM(AC4:AC20)</f>
        <v/>
      </c>
      <c r="AD21">
        <f>SUM(AD4:AD20)</f>
        <v/>
      </c>
      <c r="AE21">
        <f>SUM(AE4:AE20)</f>
        <v/>
      </c>
      <c r="AG21" s="252">
        <f>SUM(AG4:AG20)</f>
        <v/>
      </c>
    </row>
    <row r="22" ht="15.75" customHeight="1" thickTop="1">
      <c r="A22" s="15" t="inlineStr">
        <is>
          <t>Ruunning Total</t>
        </is>
      </c>
      <c r="B22">
        <f>B21</f>
        <v/>
      </c>
      <c r="C22">
        <f>B22+C21</f>
        <v/>
      </c>
      <c r="D22">
        <f>C22+D21</f>
        <v/>
      </c>
      <c r="E22">
        <f>D22+E21</f>
        <v/>
      </c>
      <c r="F22">
        <f>E22+F21</f>
        <v/>
      </c>
      <c r="G22">
        <f>F22+G21</f>
        <v/>
      </c>
      <c r="H22">
        <f>G22+H21</f>
        <v/>
      </c>
      <c r="I22">
        <f>H22+I21</f>
        <v/>
      </c>
      <c r="J22">
        <f>I22+J21</f>
        <v/>
      </c>
      <c r="K22">
        <f>J22+K21</f>
        <v/>
      </c>
      <c r="L22">
        <f>K22+L21</f>
        <v/>
      </c>
      <c r="M22">
        <f>L22+M21</f>
        <v/>
      </c>
      <c r="N22">
        <f>M22+N21</f>
        <v/>
      </c>
      <c r="O22">
        <f>N22+O21</f>
        <v/>
      </c>
      <c r="P22">
        <f>O22+P21</f>
        <v/>
      </c>
      <c r="Q22">
        <f>P22+Q21</f>
        <v/>
      </c>
      <c r="R22">
        <f>Q22+R21</f>
        <v/>
      </c>
      <c r="S22">
        <f>R22+S21</f>
        <v/>
      </c>
      <c r="T22">
        <f>S22+T21</f>
        <v/>
      </c>
      <c r="U22">
        <f>T22+U21</f>
        <v/>
      </c>
      <c r="V22">
        <f>U22+V21</f>
        <v/>
      </c>
      <c r="W22">
        <f>V22+W21</f>
        <v/>
      </c>
      <c r="X22">
        <f>W22+X21</f>
        <v/>
      </c>
      <c r="Y22">
        <f>X22+Y21</f>
        <v/>
      </c>
      <c r="Z22">
        <f>Y22+Z21</f>
        <v/>
      </c>
      <c r="AA22">
        <f>Z22+AA21</f>
        <v/>
      </c>
      <c r="AB22">
        <f>AA22+AB21</f>
        <v/>
      </c>
      <c r="AC22">
        <f>AB22+AC21</f>
        <v/>
      </c>
      <c r="AD22">
        <f>AC22+AD21</f>
        <v/>
      </c>
      <c r="AE22">
        <f>AD22+AE21</f>
        <v/>
      </c>
    </row>
    <row r="23" ht="16.5" customHeight="1" thickBot="1">
      <c r="A23" s="15" t="n"/>
      <c r="AG23" s="252" t="n"/>
    </row>
    <row r="24" ht="15.75" customHeight="1" thickTop="1">
      <c r="A24" s="15" t="n"/>
    </row>
    <row r="25">
      <c r="A25" s="1" t="n"/>
      <c r="B25" s="2" t="inlineStr">
        <is>
          <t>June</t>
        </is>
      </c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1" t="n"/>
      <c r="AF25" s="1" t="n"/>
      <c r="AG25" s="1" t="n"/>
    </row>
    <row r="26" ht="15.75" customHeight="1">
      <c r="A26" s="1" t="n"/>
      <c r="B26" s="2" t="inlineStr">
        <is>
          <t>Saturday</t>
        </is>
      </c>
      <c r="C26" s="2" t="inlineStr">
        <is>
          <t>Sunday</t>
        </is>
      </c>
      <c r="D26" s="2" t="inlineStr">
        <is>
          <t>Monday</t>
        </is>
      </c>
      <c r="E26" s="2" t="inlineStr">
        <is>
          <t>Tuesday</t>
        </is>
      </c>
      <c r="F26" s="2" t="inlineStr">
        <is>
          <t>Wednesday</t>
        </is>
      </c>
      <c r="G26" s="2" t="inlineStr">
        <is>
          <t>Thursday</t>
        </is>
      </c>
      <c r="H26" s="2" t="inlineStr">
        <is>
          <t>Friday</t>
        </is>
      </c>
      <c r="I26" s="2" t="inlineStr">
        <is>
          <t>Saturday</t>
        </is>
      </c>
      <c r="J26" s="2" t="inlineStr">
        <is>
          <t>Sunday</t>
        </is>
      </c>
      <c r="K26" s="2" t="inlineStr">
        <is>
          <t>Monday</t>
        </is>
      </c>
      <c r="L26" s="2" t="inlineStr">
        <is>
          <t>Tuesday</t>
        </is>
      </c>
      <c r="M26" s="2" t="inlineStr">
        <is>
          <t>Wednesday</t>
        </is>
      </c>
      <c r="N26" s="2" t="inlineStr">
        <is>
          <t>Thursday</t>
        </is>
      </c>
      <c r="O26" s="2" t="inlineStr">
        <is>
          <t>Friday</t>
        </is>
      </c>
      <c r="P26" s="2" t="inlineStr">
        <is>
          <t>Saturday</t>
        </is>
      </c>
      <c r="Q26" s="2" t="inlineStr">
        <is>
          <t>Sunday</t>
        </is>
      </c>
      <c r="R26" s="2" t="inlineStr">
        <is>
          <t>Monday</t>
        </is>
      </c>
      <c r="S26" s="2" t="inlineStr">
        <is>
          <t>Tuesday</t>
        </is>
      </c>
      <c r="T26" s="2" t="inlineStr">
        <is>
          <t>Wednesday</t>
        </is>
      </c>
      <c r="U26" s="2" t="inlineStr">
        <is>
          <t>Thursday</t>
        </is>
      </c>
      <c r="V26" s="2" t="inlineStr">
        <is>
          <t>Friday</t>
        </is>
      </c>
      <c r="W26" s="2" t="inlineStr">
        <is>
          <t>Saturday</t>
        </is>
      </c>
      <c r="X26" s="2" t="inlineStr">
        <is>
          <t>Sunday</t>
        </is>
      </c>
      <c r="Y26" s="2" t="inlineStr">
        <is>
          <t>Monday</t>
        </is>
      </c>
      <c r="Z26" s="2" t="inlineStr">
        <is>
          <t>Tuesday</t>
        </is>
      </c>
      <c r="AA26" s="2" t="inlineStr">
        <is>
          <t>Wednesday</t>
        </is>
      </c>
      <c r="AB26" s="2" t="inlineStr">
        <is>
          <t>Thursday</t>
        </is>
      </c>
      <c r="AC26" s="2" t="inlineStr">
        <is>
          <t>Friday</t>
        </is>
      </c>
      <c r="AD26" s="2" t="inlineStr">
        <is>
          <t>Saturday</t>
        </is>
      </c>
      <c r="AE26" s="2" t="inlineStr">
        <is>
          <t>Sunday</t>
        </is>
      </c>
      <c r="AF26" s="9" t="n"/>
      <c r="AG26" s="2" t="inlineStr">
        <is>
          <t>Total</t>
        </is>
      </c>
    </row>
    <row r="27" ht="15.75" customHeight="1">
      <c r="A27" s="1" t="n"/>
      <c r="B27" s="7" t="inlineStr">
        <is>
          <t>1st</t>
        </is>
      </c>
      <c r="C27" s="7" t="inlineStr">
        <is>
          <t>2nd</t>
        </is>
      </c>
      <c r="D27" s="3" t="inlineStr">
        <is>
          <t>3rd</t>
        </is>
      </c>
      <c r="E27" s="3" t="inlineStr">
        <is>
          <t>4th</t>
        </is>
      </c>
      <c r="F27" s="3" t="inlineStr">
        <is>
          <t>5th</t>
        </is>
      </c>
      <c r="G27" s="3" t="inlineStr">
        <is>
          <t>6th</t>
        </is>
      </c>
      <c r="H27" s="3" t="inlineStr">
        <is>
          <t>7th</t>
        </is>
      </c>
      <c r="I27" s="3" t="inlineStr">
        <is>
          <t>8th</t>
        </is>
      </c>
      <c r="J27" s="3" t="inlineStr">
        <is>
          <t>9th</t>
        </is>
      </c>
      <c r="K27" s="4" t="inlineStr">
        <is>
          <t>10th</t>
        </is>
      </c>
      <c r="L27" s="4" t="inlineStr">
        <is>
          <t>11th</t>
        </is>
      </c>
      <c r="M27" s="4" t="inlineStr">
        <is>
          <t>12th</t>
        </is>
      </c>
      <c r="N27" s="4" t="inlineStr">
        <is>
          <t>13th</t>
        </is>
      </c>
      <c r="O27" s="4" t="inlineStr">
        <is>
          <t>14th</t>
        </is>
      </c>
      <c r="P27" s="4" t="inlineStr">
        <is>
          <t>15th</t>
        </is>
      </c>
      <c r="Q27" s="4" t="inlineStr">
        <is>
          <t>16th</t>
        </is>
      </c>
      <c r="R27" s="5" t="inlineStr">
        <is>
          <t>17th</t>
        </is>
      </c>
      <c r="S27" s="5" t="inlineStr">
        <is>
          <t>18th</t>
        </is>
      </c>
      <c r="T27" s="5" t="inlineStr">
        <is>
          <t>19th</t>
        </is>
      </c>
      <c r="U27" s="5" t="inlineStr">
        <is>
          <t>20th</t>
        </is>
      </c>
      <c r="V27" s="5" t="inlineStr">
        <is>
          <t>21st</t>
        </is>
      </c>
      <c r="W27" s="5" t="inlineStr">
        <is>
          <t>22nd</t>
        </is>
      </c>
      <c r="X27" s="5" t="inlineStr">
        <is>
          <t>23rd</t>
        </is>
      </c>
      <c r="Y27" s="6" t="inlineStr">
        <is>
          <t>24th</t>
        </is>
      </c>
      <c r="Z27" s="6" t="inlineStr">
        <is>
          <t>25th</t>
        </is>
      </c>
      <c r="AA27" s="6" t="inlineStr">
        <is>
          <t>26th</t>
        </is>
      </c>
      <c r="AB27" s="6" t="inlineStr">
        <is>
          <t>27th</t>
        </is>
      </c>
      <c r="AC27" s="6" t="inlineStr">
        <is>
          <t>28th</t>
        </is>
      </c>
      <c r="AD27" s="6" t="inlineStr">
        <is>
          <t>29th</t>
        </is>
      </c>
      <c r="AE27" s="6" t="inlineStr">
        <is>
          <t>30th</t>
        </is>
      </c>
      <c r="AF27" s="9" t="n"/>
      <c r="AG27" s="1" t="n"/>
    </row>
    <row r="28" ht="15.75" customHeight="1">
      <c r="A28" s="8" t="inlineStr">
        <is>
          <t>B-HAM CITY COUNCIL-200790-70489166</t>
        </is>
      </c>
      <c r="D28" s="12" t="n"/>
      <c r="E28" s="31" t="n"/>
      <c r="F28" s="12" t="n"/>
      <c r="G28" s="31" t="n"/>
      <c r="H28" s="31" t="n"/>
      <c r="I28" s="31" t="n"/>
      <c r="J28" s="31" t="n"/>
      <c r="K28" s="31" t="n"/>
      <c r="L28" s="12" t="n"/>
      <c r="M28" s="12" t="n"/>
      <c r="N28" s="12" t="n"/>
      <c r="O28" s="92" t="n">
        <v>62841.32</v>
      </c>
      <c r="P28" s="12" t="n"/>
      <c r="Q28" s="12" t="n"/>
      <c r="S28" s="12" t="n"/>
      <c r="U28" s="12" t="n"/>
      <c r="V28" s="12" t="n"/>
      <c r="W28" s="12" t="n"/>
      <c r="X28" s="12" t="n"/>
      <c r="Z28" s="12" t="n"/>
      <c r="AA28" s="12" t="n"/>
      <c r="AB28" s="12" t="n"/>
      <c r="AC28" s="12" t="n"/>
      <c r="AD28" s="12" t="n"/>
      <c r="AE28" s="12" t="n"/>
      <c r="AG28" s="13">
        <f>SUM(B28:AF28)</f>
        <v/>
      </c>
    </row>
    <row r="29" ht="15.75" customHeight="1">
      <c r="A29" s="8" t="inlineStr">
        <is>
          <t>Buckingham</t>
        </is>
      </c>
      <c r="C29" s="12" t="n"/>
      <c r="D29" s="12" t="n"/>
      <c r="E29" s="31" t="n"/>
      <c r="F29" s="12" t="n"/>
      <c r="G29" s="31" t="n"/>
      <c r="H29" s="31" t="n">
        <v>5134.44</v>
      </c>
      <c r="I29" s="31" t="n"/>
      <c r="J29" s="31" t="n"/>
      <c r="K29" s="31" t="n"/>
      <c r="L29" s="12" t="n"/>
      <c r="M29" s="12" t="n"/>
      <c r="N29" s="12" t="n"/>
      <c r="O29" s="12" t="n"/>
      <c r="P29" s="12" t="n"/>
      <c r="Q29" s="12" t="n"/>
      <c r="S29" s="12" t="n"/>
      <c r="T29" s="12" t="n"/>
      <c r="U29" s="12" t="n"/>
      <c r="V29" s="12" t="n"/>
      <c r="W29" s="12" t="n"/>
      <c r="Y29" s="12" t="n"/>
      <c r="AA29" s="12" t="n"/>
      <c r="AC29" s="12" t="n"/>
      <c r="AD29" s="12" t="n"/>
      <c r="AE29" s="12" t="n"/>
      <c r="AG29" s="13">
        <f>SUM(B29:AF29)</f>
        <v/>
      </c>
    </row>
    <row r="30" ht="15.75" customHeight="1">
      <c r="A30" s="8" t="inlineStr">
        <is>
          <t>Sandwell respite est</t>
        </is>
      </c>
      <c r="C30" s="12" t="n"/>
      <c r="D30" s="12" t="n"/>
      <c r="E30" s="31" t="n"/>
      <c r="F30" s="12" t="n"/>
      <c r="G30" s="31" t="n">
        <v>5331.2</v>
      </c>
      <c r="H30" s="31" t="n"/>
      <c r="I30" s="31" t="n"/>
      <c r="J30" s="31" t="n"/>
      <c r="K30" s="31" t="n"/>
      <c r="L30" s="12" t="n"/>
      <c r="M30" s="12" t="n"/>
      <c r="N30" s="12" t="n"/>
      <c r="O30" s="12" t="n"/>
      <c r="P30" s="12" t="n"/>
      <c r="Q30" s="12" t="n"/>
      <c r="S30" s="12" t="n"/>
      <c r="T30" s="12" t="n"/>
      <c r="U30" s="12" t="n"/>
      <c r="V30" s="12" t="n"/>
      <c r="W30" s="12" t="n"/>
      <c r="X30" s="12" t="n"/>
      <c r="Y30" s="31" t="n">
        <v>380</v>
      </c>
      <c r="Z30" s="12" t="n"/>
      <c r="AA30" s="12" t="n"/>
      <c r="AB30" s="12" t="n"/>
      <c r="AC30" s="31" t="n">
        <v>10270.15</v>
      </c>
      <c r="AD30" s="12" t="n"/>
      <c r="AE30" s="12" t="n"/>
      <c r="AF30" s="12" t="n"/>
      <c r="AG30" s="13">
        <f>SUM(B30:AF30)</f>
        <v/>
      </c>
    </row>
    <row r="31" ht="15.75" customHeight="1">
      <c r="A31" s="8" t="inlineStr">
        <is>
          <t xml:space="preserve">Wolverhampton respite est </t>
        </is>
      </c>
      <c r="C31" s="12" t="n"/>
      <c r="D31" s="12" t="n"/>
      <c r="E31" s="31" t="n"/>
      <c r="F31" s="12" t="n"/>
      <c r="G31" s="75" t="n">
        <v>7108.1</v>
      </c>
      <c r="H31" s="31" t="n"/>
      <c r="I31" s="31" t="n"/>
      <c r="J31" s="31" t="n"/>
      <c r="K31" s="31" t="n"/>
      <c r="L31" s="12" t="n"/>
      <c r="M31" s="31" t="n"/>
      <c r="N31" s="31" t="n"/>
      <c r="O31" s="75" t="n">
        <v>7108.1</v>
      </c>
      <c r="P31" s="12" t="n"/>
      <c r="Q31" s="12" t="n"/>
      <c r="S31" s="12" t="n"/>
      <c r="T31" s="12" t="n"/>
      <c r="U31" s="75" t="n">
        <v>7108.1</v>
      </c>
      <c r="V31" s="12" t="n"/>
      <c r="W31" s="12" t="n"/>
      <c r="X31" s="12" t="n"/>
      <c r="Y31" t="n">
        <v>11822.12</v>
      </c>
      <c r="Z31" s="12" t="n"/>
      <c r="AA31" s="31" t="n"/>
      <c r="AB31" s="75" t="n">
        <v>7108.1</v>
      </c>
      <c r="AC31" s="31" t="n"/>
      <c r="AD31" s="12" t="n"/>
      <c r="AE31" s="12" t="n"/>
      <c r="AF31" s="74" t="n"/>
      <c r="AG31" s="13">
        <f>SUM(B31:AF31)</f>
        <v/>
      </c>
    </row>
    <row r="32" ht="15.75" customHeight="1">
      <c r="A32" s="8" t="inlineStr">
        <is>
          <t>Walsall Respite</t>
        </is>
      </c>
      <c r="C32" s="12" t="n"/>
      <c r="D32" s="12" t="n"/>
      <c r="E32" s="31" t="n">
        <v>19208</v>
      </c>
      <c r="F32" s="12" t="n"/>
      <c r="G32" s="31" t="n"/>
      <c r="H32" s="31" t="n"/>
      <c r="I32" s="31" t="n"/>
      <c r="J32" s="31" t="n"/>
      <c r="K32" s="31" t="n"/>
      <c r="L32" s="12" t="n"/>
      <c r="M32" s="31" t="n"/>
      <c r="N32" s="31" t="n"/>
      <c r="O32" s="31" t="n">
        <v>3040</v>
      </c>
      <c r="P32" s="12" t="n"/>
      <c r="Q32" s="12" t="n"/>
      <c r="S32" s="12" t="n"/>
      <c r="T32" t="n">
        <v>1517.5</v>
      </c>
      <c r="U32" s="12" t="n"/>
      <c r="V32" s="12" t="n"/>
      <c r="W32" s="12" t="n"/>
      <c r="X32" s="12" t="n"/>
      <c r="Y32" s="12" t="n"/>
      <c r="Z32" s="12" t="n"/>
      <c r="AA32" s="31" t="n"/>
      <c r="AB32" s="31" t="n"/>
      <c r="AC32" s="31" t="n"/>
      <c r="AD32" s="12" t="n"/>
      <c r="AE32" s="12" t="n"/>
      <c r="AF32" s="12" t="n"/>
      <c r="AG32" s="13">
        <f>SUM(B32:AF32)</f>
        <v/>
      </c>
    </row>
    <row r="33" ht="15.75" customHeight="1">
      <c r="A33" s="8" t="inlineStr">
        <is>
          <t>Ideal for All Ltd</t>
        </is>
      </c>
      <c r="D33" s="12" t="n"/>
      <c r="E33" s="31" t="n"/>
      <c r="F33" s="12" t="n"/>
      <c r="G33" s="31" t="n"/>
      <c r="H33" s="31" t="n"/>
      <c r="I33" s="31" t="n"/>
      <c r="J33" s="31" t="n"/>
      <c r="K33" s="31" t="n"/>
      <c r="L33" s="12" t="n"/>
      <c r="M33" s="31" t="n"/>
      <c r="N33" s="31" t="n"/>
      <c r="O33" s="31" t="n"/>
      <c r="P33" s="12" t="n"/>
      <c r="Q33" s="12" t="n"/>
      <c r="R33" t="n">
        <v>3661.88</v>
      </c>
      <c r="S33" s="12" t="n"/>
      <c r="U33" s="12" t="n"/>
      <c r="W33" s="12" t="n"/>
      <c r="X33" s="12" t="n"/>
      <c r="Y33" s="12" t="n"/>
      <c r="Z33" s="12" t="n"/>
      <c r="AA33" s="31" t="n"/>
      <c r="AB33" s="31" t="n"/>
      <c r="AC33" s="31" t="n"/>
      <c r="AD33" s="12" t="n"/>
      <c r="AE33" s="12" t="n"/>
      <c r="AG33" s="13">
        <f>SUM(B33:AF33)</f>
        <v/>
      </c>
    </row>
    <row r="34" ht="15.75" customHeight="1">
      <c r="A34" s="8" t="inlineStr">
        <is>
          <t>KIRKLEES COUNCIL-204312-63046958</t>
        </is>
      </c>
      <c r="C34" s="12" t="n"/>
      <c r="D34" s="12" t="n"/>
      <c r="E34" s="31" t="n"/>
      <c r="F34" s="12" t="n"/>
      <c r="G34" s="31" t="n"/>
      <c r="H34" s="31" t="n"/>
      <c r="I34" s="31" t="n"/>
      <c r="J34" s="31" t="n"/>
      <c r="K34" s="31" t="n"/>
      <c r="L34" s="12" t="n"/>
      <c r="M34" s="31" t="n"/>
      <c r="N34" s="31" t="n"/>
      <c r="O34" s="31" t="n">
        <v>5698.2</v>
      </c>
      <c r="P34" s="12" t="n"/>
      <c r="Q34" s="12" t="n"/>
      <c r="R34" s="12" t="n"/>
      <c r="S34" s="12" t="n"/>
      <c r="T34" s="12" t="n"/>
      <c r="U34" s="12" t="n"/>
      <c r="V34" s="12" t="n"/>
      <c r="W34" s="12" t="n"/>
      <c r="X34" s="12" t="n"/>
      <c r="Y34" s="12" t="n"/>
      <c r="Z34" s="12" t="n"/>
      <c r="AA34" s="31" t="n"/>
      <c r="AB34" s="31" t="n"/>
      <c r="AC34" s="31" t="n"/>
      <c r="AD34" s="12" t="n"/>
      <c r="AE34" s="12" t="n"/>
      <c r="AG34" s="13">
        <f>SUM(B34:AF34)</f>
        <v/>
      </c>
    </row>
    <row r="35" ht="15.75" customHeight="1">
      <c r="A35" s="8" t="inlineStr">
        <is>
          <t>LBH PAYMENTS BACS-602210-72430192</t>
        </is>
      </c>
      <c r="C35" s="12" t="n"/>
      <c r="D35" s="12" t="n"/>
      <c r="E35" s="31" t="n"/>
      <c r="F35" s="12" t="n"/>
      <c r="G35" s="31" t="n"/>
      <c r="H35" s="31" t="n"/>
      <c r="I35" s="31" t="n"/>
      <c r="J35" s="31" t="n"/>
      <c r="K35" s="31" t="n"/>
      <c r="L35" s="12" t="n"/>
      <c r="M35" s="31" t="n">
        <v>5040</v>
      </c>
      <c r="N35" s="31" t="n"/>
      <c r="O35" s="31" t="n"/>
      <c r="P35" s="12" t="n"/>
      <c r="Q35" s="12" t="n"/>
      <c r="R35" s="12" t="n"/>
      <c r="S35" s="12" t="n"/>
      <c r="T35" s="31" t="n"/>
      <c r="U35" s="31" t="n"/>
      <c r="V35" s="12" t="n"/>
      <c r="W35" s="12" t="n"/>
      <c r="X35" s="12" t="n"/>
      <c r="Y35" s="12" t="n"/>
      <c r="Z35" s="12" t="n"/>
      <c r="AA35" s="31" t="n"/>
      <c r="AB35" s="31" t="n"/>
      <c r="AC35" s="31" t="n"/>
      <c r="AD35" s="12" t="n"/>
      <c r="AE35" s="12" t="n"/>
      <c r="AG35" s="13">
        <f>SUM(B35:AF35)</f>
        <v/>
      </c>
    </row>
    <row r="36" ht="15.75" customHeight="1">
      <c r="A36" s="8" t="inlineStr">
        <is>
          <t>NHS BIRMINGHAM &amp; S-607080-10017097</t>
        </is>
      </c>
      <c r="C36" s="12" t="n"/>
      <c r="D36" s="12" t="inlineStr"/>
      <c r="E36" s="31" t="n"/>
      <c r="F36" s="12" t="n"/>
      <c r="G36" s="31" t="n"/>
      <c r="H36" s="31" t="n"/>
      <c r="I36" s="31" t="n"/>
      <c r="J36" s="31" t="n"/>
      <c r="K36" s="31" t="n"/>
      <c r="L36" s="12" t="n"/>
      <c r="M36" s="31" t="n"/>
      <c r="N36" s="31" t="n"/>
      <c r="O36" s="31" t="n">
        <v>7121.63</v>
      </c>
      <c r="P36" s="12" t="n"/>
      <c r="Q36" s="12" t="n"/>
      <c r="R36" s="12" t="n"/>
      <c r="S36" s="12" t="n"/>
      <c r="T36" s="31" t="n"/>
      <c r="U36" s="31" t="n"/>
      <c r="V36" s="12" t="n"/>
      <c r="W36" s="12" t="n"/>
      <c r="X36" s="12" t="n"/>
      <c r="Y36" s="12" t="n"/>
      <c r="Z36" s="12" t="n"/>
      <c r="AA36" s="31" t="n"/>
      <c r="AB36" s="31" t="n"/>
      <c r="AC36" s="31" t="n"/>
      <c r="AD36" s="12" t="n"/>
      <c r="AE36" s="12" t="n"/>
      <c r="AG36" s="13">
        <f>SUM(B36:AF36)</f>
        <v/>
      </c>
    </row>
    <row r="37" ht="15.75" customHeight="1">
      <c r="A37" s="8" t="inlineStr">
        <is>
          <t>NHS BLACK COUNTRY-607080-10015272</t>
        </is>
      </c>
      <c r="C37" s="12" t="inlineStr"/>
      <c r="D37" s="12" t="n"/>
      <c r="E37" s="31" t="n"/>
      <c r="F37" s="12" t="n"/>
      <c r="G37" s="31" t="n">
        <v>2200</v>
      </c>
      <c r="H37" s="31" t="n"/>
      <c r="I37" s="31" t="n"/>
      <c r="J37" s="31" t="n"/>
      <c r="K37" s="31" t="n"/>
      <c r="M37" s="31" t="n">
        <v>13185.64</v>
      </c>
      <c r="N37" s="31" t="n"/>
      <c r="O37" s="31" t="n"/>
      <c r="P37" s="12" t="n"/>
      <c r="Q37" s="12" t="n"/>
      <c r="R37" s="12" t="n"/>
      <c r="S37" s="12" t="n"/>
      <c r="T37" s="31" t="n"/>
      <c r="U37" s="31" t="n"/>
      <c r="V37" s="12" t="n"/>
      <c r="W37" s="12" t="n"/>
      <c r="X37" s="12" t="n"/>
      <c r="Z37" s="12" t="n"/>
      <c r="AA37" s="31" t="n"/>
      <c r="AB37" s="31" t="n">
        <v>1883.75</v>
      </c>
      <c r="AC37" s="31" t="n"/>
      <c r="AD37" s="12" t="n"/>
      <c r="AE37" s="12" t="n"/>
      <c r="AG37" s="13">
        <f>SUM(B37:AF37)</f>
        <v/>
      </c>
    </row>
    <row r="38" ht="15.75" customHeight="1">
      <c r="A38" s="14" t="inlineStr">
        <is>
          <t>SANDWELL MBC  BEN-601539-69624151</t>
        </is>
      </c>
      <c r="C38" s="12" t="inlineStr"/>
      <c r="D38" s="12" t="inlineStr">
        <is>
          <t>.</t>
        </is>
      </c>
      <c r="E38" s="31" t="n"/>
      <c r="F38" s="12" t="n"/>
      <c r="G38" s="31" t="n"/>
      <c r="H38" s="31" t="n"/>
      <c r="I38" s="31" t="n"/>
      <c r="J38" s="31" t="n"/>
      <c r="K38" s="31" t="n"/>
      <c r="L38" s="12" t="n"/>
      <c r="M38" s="31" t="n"/>
      <c r="N38" s="31" t="n"/>
      <c r="O38" s="31" t="n"/>
      <c r="P38" s="12" t="n"/>
      <c r="Q38" s="12" t="n"/>
      <c r="R38" s="12" t="n"/>
      <c r="S38" s="12" t="n"/>
      <c r="T38" s="31" t="n"/>
      <c r="U38" s="31" t="n"/>
      <c r="V38" s="12" t="n"/>
      <c r="W38" s="12" t="n"/>
      <c r="X38" s="12" t="n"/>
      <c r="Y38" s="31" t="n">
        <v>2660</v>
      </c>
      <c r="Z38" s="12" t="n"/>
      <c r="AA38" s="31" t="n"/>
      <c r="AB38" s="31" t="n"/>
      <c r="AC38" s="31" t="n"/>
      <c r="AD38" s="12" t="n"/>
      <c r="AE38" s="12" t="n"/>
      <c r="AG38" s="13">
        <f>SUM(B38:AF38)</f>
        <v/>
      </c>
    </row>
    <row r="39" ht="15.75" customHeight="1">
      <c r="A39" s="14" t="inlineStr">
        <is>
          <t>SANDWELL MBC-601539-69624135</t>
        </is>
      </c>
      <c r="D39" s="12" t="n"/>
      <c r="E39" s="31" t="n"/>
      <c r="F39" s="12" t="n"/>
      <c r="G39" s="31" t="n"/>
      <c r="H39" s="31" t="n"/>
      <c r="I39" s="31" t="n"/>
      <c r="J39" s="31" t="n"/>
      <c r="K39" s="31" t="n">
        <v>131844.55</v>
      </c>
      <c r="L39" s="12" t="n"/>
      <c r="M39" s="31" t="n"/>
      <c r="N39" s="31" t="n"/>
      <c r="O39" s="31" t="n"/>
      <c r="P39" s="12" t="n"/>
      <c r="Q39" s="12" t="n"/>
      <c r="R39" s="12" t="n"/>
      <c r="S39" s="12" t="n"/>
      <c r="T39" s="31" t="n"/>
      <c r="U39" s="31" t="n"/>
      <c r="V39" s="12" t="n"/>
      <c r="W39" s="12" t="n"/>
      <c r="X39" s="12" t="n"/>
      <c r="Y39" s="31" t="n">
        <v>123552.29</v>
      </c>
      <c r="Z39" s="12" t="n"/>
      <c r="AA39" s="31" t="n"/>
      <c r="AB39" s="31" t="n"/>
      <c r="AC39" s="31" t="n"/>
      <c r="AD39" s="12" t="n"/>
      <c r="AE39" s="12" t="n"/>
      <c r="AG39" s="13">
        <f>SUM(B39:AF39)</f>
        <v/>
      </c>
    </row>
    <row r="40" ht="15.75" customHeight="1">
      <c r="A40" s="15" t="inlineStr">
        <is>
          <t>SOLIHULL MBC EXP.-200771-00561525</t>
        </is>
      </c>
      <c r="D40" s="12" t="n"/>
      <c r="E40" s="31" t="n"/>
      <c r="F40" s="12" t="n"/>
      <c r="G40" s="31" t="n"/>
      <c r="H40" s="31" t="n"/>
      <c r="I40" s="31" t="n"/>
      <c r="J40" s="31" t="n"/>
      <c r="K40" s="31" t="n"/>
      <c r="L40" s="12" t="n"/>
      <c r="M40" s="31" t="n"/>
      <c r="N40" s="31" t="n"/>
      <c r="O40" s="31" t="n"/>
      <c r="P40" s="12" t="n"/>
      <c r="Q40" s="12" t="n"/>
      <c r="R40" t="n">
        <v>32010.44</v>
      </c>
      <c r="S40" s="12" t="n"/>
      <c r="T40" s="31" t="n"/>
      <c r="U40" s="31" t="n"/>
      <c r="V40" s="12" t="n"/>
      <c r="W40" s="12" t="n"/>
      <c r="X40" s="12" t="n"/>
      <c r="Y40" s="12" t="n"/>
      <c r="Z40" s="12" t="n"/>
      <c r="AA40" s="31" t="n"/>
      <c r="AB40" s="31" t="n"/>
      <c r="AC40" s="31" t="n"/>
      <c r="AD40" s="12" t="n"/>
      <c r="AE40" s="12" t="n"/>
      <c r="AG40" s="13">
        <f>SUM(B40:AF40)</f>
        <v/>
      </c>
    </row>
    <row r="41" ht="15.75" customHeight="1">
      <c r="A41" s="15" t="inlineStr">
        <is>
          <t>WALSALL MBC BARC-209073-10731692</t>
        </is>
      </c>
      <c r="D41" s="12" t="n"/>
      <c r="E41" s="31" t="n">
        <v>191991.08</v>
      </c>
      <c r="F41" s="12" t="n"/>
      <c r="G41" s="31" t="n"/>
      <c r="H41" s="31" t="n"/>
      <c r="I41" s="31" t="n"/>
      <c r="J41" s="31" t="n"/>
      <c r="K41" s="31" t="n"/>
      <c r="L41" s="12" t="n"/>
      <c r="M41" s="31" t="n"/>
      <c r="N41" s="31" t="n"/>
      <c r="O41" s="31" t="n"/>
      <c r="P41" s="12" t="n"/>
      <c r="Q41" s="12" t="n"/>
      <c r="R41" s="12" t="n"/>
      <c r="S41" s="12" t="n"/>
      <c r="T41" s="31" t="n"/>
      <c r="U41" s="31" t="n"/>
      <c r="V41" s="12" t="n"/>
      <c r="W41" s="12" t="n"/>
      <c r="X41" s="12" t="n"/>
      <c r="Y41" s="12" t="n"/>
      <c r="Z41" s="12" t="n"/>
      <c r="AA41" s="31" t="n"/>
      <c r="AB41" s="31" t="n"/>
      <c r="AC41" s="31" t="n"/>
      <c r="AD41" s="12" t="n"/>
      <c r="AE41" s="12" t="n"/>
      <c r="AG41" s="13">
        <f>SUM(B41:AF41)</f>
        <v/>
      </c>
    </row>
    <row r="42" ht="15.75" customHeight="1">
      <c r="A42" s="15" t="inlineStr">
        <is>
          <t>WOLVERHAMPTON CC-560069-44470320</t>
        </is>
      </c>
      <c r="D42" s="12" t="n"/>
      <c r="E42" s="31" t="n"/>
      <c r="G42" s="31" t="n">
        <v>113338.88</v>
      </c>
      <c r="H42" s="31" t="n"/>
      <c r="I42" s="31" t="n"/>
      <c r="J42" s="31" t="n"/>
      <c r="K42" s="31" t="n"/>
      <c r="L42" s="12" t="n"/>
      <c r="M42" s="31" t="n"/>
      <c r="N42" s="31" t="n"/>
      <c r="O42" s="31" t="n">
        <v>110884.4</v>
      </c>
      <c r="P42" s="12" t="n"/>
      <c r="Q42" s="12" t="n"/>
      <c r="R42" s="12" t="n"/>
      <c r="S42" s="12" t="n"/>
      <c r="T42" s="31" t="n"/>
      <c r="U42" s="75">
        <f>117992.5-U31</f>
        <v/>
      </c>
      <c r="V42" s="12" t="n"/>
      <c r="W42" s="12" t="n"/>
      <c r="X42" s="12" t="n"/>
      <c r="Y42" s="12" t="n"/>
      <c r="Z42" s="12" t="n"/>
      <c r="AA42" s="31" t="n"/>
      <c r="AB42" s="31" t="n">
        <v>112375.12</v>
      </c>
      <c r="AC42" s="75" t="n">
        <v>2630.4</v>
      </c>
      <c r="AD42" s="12" t="n"/>
      <c r="AE42" s="12" t="n"/>
      <c r="AG42" s="13">
        <f>SUM(B42:AF42)</f>
        <v/>
      </c>
    </row>
    <row r="43" ht="15.75" customHeight="1">
      <c r="A43" s="15" t="inlineStr">
        <is>
          <t>Portsmouth</t>
        </is>
      </c>
      <c r="D43" s="12" t="n"/>
      <c r="E43" s="31" t="n"/>
      <c r="F43" s="12" t="n"/>
      <c r="G43" s="31" t="n"/>
      <c r="H43" s="31" t="n"/>
      <c r="I43" s="31" t="n"/>
      <c r="J43" s="31" t="n"/>
      <c r="K43" s="31" t="n"/>
      <c r="L43" s="12" t="n"/>
      <c r="M43" s="31" t="n"/>
      <c r="N43" s="31" t="n"/>
      <c r="O43" s="31" t="n"/>
      <c r="P43" s="12" t="n"/>
      <c r="Q43" s="12" t="n"/>
      <c r="S43" s="12" t="n"/>
      <c r="T43" s="31" t="n"/>
      <c r="U43" s="31" t="n"/>
      <c r="V43" s="12" t="n"/>
      <c r="W43" s="12" t="n"/>
      <c r="X43" s="12" t="n"/>
      <c r="Y43" s="12" t="n"/>
      <c r="Z43" s="12" t="n"/>
      <c r="AA43" s="31" t="n"/>
      <c r="AB43" s="31" t="n"/>
      <c r="AC43" s="31" t="n"/>
      <c r="AD43" s="12" t="n"/>
      <c r="AE43" s="12" t="n"/>
      <c r="AG43" s="13">
        <f>SUM(B43:AF43)</f>
        <v/>
      </c>
    </row>
    <row r="44" ht="15.75" customHeight="1">
      <c r="A44" s="15" t="inlineStr">
        <is>
          <t>HB SC</t>
        </is>
      </c>
      <c r="B44" s="75" t="n">
        <v>200</v>
      </c>
      <c r="C44" s="75" t="n">
        <v>150</v>
      </c>
      <c r="D44" s="75" t="n">
        <v>5675.01</v>
      </c>
      <c r="E44" s="75" t="n">
        <v>5601.76999999999</v>
      </c>
      <c r="F44" s="75" t="n">
        <v>1248.34</v>
      </c>
      <c r="G44" s="75" t="n">
        <v>1538.499999999997</v>
      </c>
      <c r="H44" s="75" t="n">
        <v>16500.33</v>
      </c>
      <c r="I44" s="75" t="n">
        <v>0</v>
      </c>
      <c r="J44" s="75" t="n">
        <v>0</v>
      </c>
      <c r="K44" s="75" t="n">
        <v>7303.26</v>
      </c>
      <c r="L44" s="75" t="n">
        <v>3123.3</v>
      </c>
      <c r="M44" s="75" t="n">
        <v>1001.360000000001</v>
      </c>
      <c r="N44" s="75" t="n">
        <v>3559.07</v>
      </c>
      <c r="O44" s="75" t="n">
        <v>5064.399999999987</v>
      </c>
      <c r="P44" s="75" t="n">
        <v>0</v>
      </c>
      <c r="Q44" s="75" t="n">
        <v>0</v>
      </c>
      <c r="R44" s="75" t="n">
        <v>6890.39</v>
      </c>
      <c r="S44" s="75" t="n">
        <v>6606.860000000001</v>
      </c>
      <c r="T44" s="75" t="n">
        <v>15165.99</v>
      </c>
      <c r="U44" s="75" t="n">
        <v>2009.820000000007</v>
      </c>
      <c r="V44" s="75" t="n">
        <v>5089.839999999999</v>
      </c>
      <c r="W44" s="75" t="n">
        <v>480.56</v>
      </c>
      <c r="X44" s="75" t="n">
        <v>580</v>
      </c>
      <c r="Y44" s="75" t="n">
        <v>7622.659999999989</v>
      </c>
      <c r="Z44" s="75" t="n">
        <v>2811.71</v>
      </c>
      <c r="AA44" s="75" t="n">
        <v>1225.869999999995</v>
      </c>
      <c r="AB44" s="75" t="n">
        <v>3232.770000000004</v>
      </c>
      <c r="AC44" s="75" t="n">
        <v>11011.77</v>
      </c>
      <c r="AD44" s="75" t="n">
        <v>1191.9</v>
      </c>
      <c r="AE44" s="74" t="n">
        <v>0</v>
      </c>
      <c r="AF44" s="75" t="n"/>
      <c r="AG44" s="13">
        <f>SUM(B44:AF44)</f>
        <v/>
      </c>
      <c r="AH44" s="253" t="n"/>
    </row>
    <row r="45" ht="16.5" customHeight="1" thickBot="1">
      <c r="A45" s="15" t="inlineStr">
        <is>
          <t>Total</t>
        </is>
      </c>
      <c r="B45">
        <f>SUM(B28:B44)</f>
        <v/>
      </c>
      <c r="C45">
        <f>SUM(C28:C44)</f>
        <v/>
      </c>
      <c r="D45">
        <f>SUM(D28:D44)</f>
        <v/>
      </c>
      <c r="E45">
        <f>SUM(E28:E44)</f>
        <v/>
      </c>
      <c r="F45">
        <f>SUM(F28:F44)</f>
        <v/>
      </c>
      <c r="G45">
        <f>SUM(G28:G44)</f>
        <v/>
      </c>
      <c r="H45">
        <f>SUM(H28:H44)</f>
        <v/>
      </c>
      <c r="I45">
        <f>SUM(I28:I44)</f>
        <v/>
      </c>
      <c r="J45">
        <f>SUM(J28:J44)</f>
        <v/>
      </c>
      <c r="K45">
        <f>SUM(K28:K44)</f>
        <v/>
      </c>
      <c r="L45">
        <f>SUM(L28:L44)</f>
        <v/>
      </c>
      <c r="M45">
        <f>SUM(M28:M44)</f>
        <v/>
      </c>
      <c r="N45">
        <f>SUM(N28:N44)</f>
        <v/>
      </c>
      <c r="O45">
        <f>SUM(O28:O44)</f>
        <v/>
      </c>
      <c r="P45">
        <f>SUM(P28:P44)</f>
        <v/>
      </c>
      <c r="Q45">
        <f>SUM(Q28:Q44)</f>
        <v/>
      </c>
      <c r="R45">
        <f>SUM(R28:R44)</f>
        <v/>
      </c>
      <c r="S45">
        <f>SUM(S28:S44)</f>
        <v/>
      </c>
      <c r="T45">
        <f>SUM(T28:T44)</f>
        <v/>
      </c>
      <c r="U45">
        <f>SUM(U28:U44)</f>
        <v/>
      </c>
      <c r="V45">
        <f>SUM(V28:V44)</f>
        <v/>
      </c>
      <c r="W45">
        <f>SUM(W28:W44)</f>
        <v/>
      </c>
      <c r="X45">
        <f>SUM(X28:X44)</f>
        <v/>
      </c>
      <c r="Y45">
        <f>SUM(Y28:Y44)</f>
        <v/>
      </c>
      <c r="Z45">
        <f>SUM(Z28:Z44)</f>
        <v/>
      </c>
      <c r="AA45">
        <f>SUM(AA28:AA44)</f>
        <v/>
      </c>
      <c r="AB45">
        <f>SUM(AB28:AB44)</f>
        <v/>
      </c>
      <c r="AC45">
        <f>SUM(AC28:AC44)</f>
        <v/>
      </c>
      <c r="AD45">
        <f>SUM(AD28:AD44)</f>
        <v/>
      </c>
      <c r="AE45">
        <f>SUM(AE28:AE44)</f>
        <v/>
      </c>
      <c r="AG45" s="252">
        <f>SUM(AG28:AG44)</f>
        <v/>
      </c>
    </row>
    <row r="46" ht="15.75" customHeight="1" thickTop="1">
      <c r="A46" s="15" t="inlineStr">
        <is>
          <t>Ruunning Total</t>
        </is>
      </c>
      <c r="B46">
        <f>B45</f>
        <v/>
      </c>
      <c r="C46">
        <f>B46+C45</f>
        <v/>
      </c>
      <c r="D46">
        <f>C46+D45</f>
        <v/>
      </c>
      <c r="E46">
        <f>D46+E45</f>
        <v/>
      </c>
      <c r="F46">
        <f>E46+F45</f>
        <v/>
      </c>
      <c r="G46">
        <f>F46+G45</f>
        <v/>
      </c>
      <c r="H46">
        <f>G46+H45</f>
        <v/>
      </c>
      <c r="I46">
        <f>H46+I45</f>
        <v/>
      </c>
      <c r="J46">
        <f>I46+J45</f>
        <v/>
      </c>
      <c r="K46">
        <f>J46+K45</f>
        <v/>
      </c>
      <c r="L46">
        <f>K46+L45</f>
        <v/>
      </c>
      <c r="M46">
        <f>L46+M45</f>
        <v/>
      </c>
      <c r="N46">
        <f>M46+N45</f>
        <v/>
      </c>
      <c r="O46">
        <f>N46+O45</f>
        <v/>
      </c>
      <c r="P46">
        <f>O46+P45</f>
        <v/>
      </c>
      <c r="Q46">
        <f>P46+Q45</f>
        <v/>
      </c>
      <c r="R46">
        <f>Q46+R45</f>
        <v/>
      </c>
      <c r="S46">
        <f>R46+S45</f>
        <v/>
      </c>
      <c r="T46">
        <f>S46+T45</f>
        <v/>
      </c>
      <c r="U46">
        <f>T46+U45</f>
        <v/>
      </c>
      <c r="V46">
        <f>U46+V45</f>
        <v/>
      </c>
      <c r="W46">
        <f>V46+W45</f>
        <v/>
      </c>
      <c r="X46">
        <f>W46+X45</f>
        <v/>
      </c>
      <c r="Y46">
        <f>X46+Y45</f>
        <v/>
      </c>
      <c r="Z46">
        <f>Y46+Z45</f>
        <v/>
      </c>
      <c r="AA46">
        <f>Z46+AA45</f>
        <v/>
      </c>
      <c r="AB46">
        <f>AA46+AB45</f>
        <v/>
      </c>
      <c r="AC46">
        <f>AB46+AC45</f>
        <v/>
      </c>
      <c r="AD46">
        <f>AC46+AD45</f>
        <v/>
      </c>
      <c r="AE46">
        <f>AD46+AE45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AG46"/>
  <sheetViews>
    <sheetView workbookViewId="0">
      <pane xSplit="1" topLeftCell="J1" activePane="topRight" state="frozen"/>
      <selection activeCell="I36" sqref="I36"/>
      <selection pane="topRight" activeCell="I36" sqref="I36"/>
    </sheetView>
  </sheetViews>
  <sheetFormatPr baseColWidth="8" defaultRowHeight="15"/>
  <cols>
    <col width="35.5703125" bestFit="1" customWidth="1" min="1" max="1"/>
    <col width="11.28515625" bestFit="1" customWidth="1" min="12" max="12"/>
    <col width="8.7109375" bestFit="1" customWidth="1" min="18" max="18"/>
    <col width="10.140625" bestFit="1" customWidth="1" min="19" max="19"/>
    <col width="8.7109375" bestFit="1" customWidth="1" min="20" max="20"/>
    <col width="9.5703125" bestFit="1" customWidth="1" min="23" max="23"/>
    <col width="8.7109375" bestFit="1" customWidth="1" min="24" max="24"/>
    <col width="9.28515625" bestFit="1" customWidth="1" min="25" max="25"/>
    <col width="10.140625" bestFit="1" customWidth="1" min="26" max="26"/>
    <col width="9.140625" bestFit="1" customWidth="1" min="27" max="27"/>
    <col width="8.7109375" bestFit="1" customWidth="1" min="30" max="30"/>
    <col width="10.140625" bestFit="1" customWidth="1" min="31" max="31"/>
    <col width="11" bestFit="1" customWidth="1" min="32" max="32"/>
    <col width="14.28515625" bestFit="1" customWidth="1" min="33" max="33"/>
  </cols>
  <sheetData>
    <row r="1">
      <c r="A1" s="1" t="n"/>
      <c r="B1" s="2" t="inlineStr">
        <is>
          <t xml:space="preserve">July 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>
      <c r="A2" s="1" t="n"/>
      <c r="B2" s="2" t="inlineStr">
        <is>
          <t>Monday</t>
        </is>
      </c>
      <c r="C2" s="2" t="inlineStr">
        <is>
          <t>Tuesday</t>
        </is>
      </c>
      <c r="D2" s="2" t="inlineStr">
        <is>
          <t>Wednesday</t>
        </is>
      </c>
      <c r="E2" s="2" t="inlineStr">
        <is>
          <t>Thursday</t>
        </is>
      </c>
      <c r="F2" s="2" t="inlineStr">
        <is>
          <t>Friday</t>
        </is>
      </c>
      <c r="G2" s="2" t="inlineStr">
        <is>
          <t>Saturday</t>
        </is>
      </c>
      <c r="H2" s="2" t="inlineStr">
        <is>
          <t>Sunday</t>
        </is>
      </c>
      <c r="I2" s="2" t="inlineStr">
        <is>
          <t>Monday</t>
        </is>
      </c>
      <c r="J2" s="2" t="inlineStr">
        <is>
          <t>Tuesday</t>
        </is>
      </c>
      <c r="K2" s="2" t="inlineStr">
        <is>
          <t>Wednesday</t>
        </is>
      </c>
      <c r="L2" s="2" t="inlineStr">
        <is>
          <t>Thursday</t>
        </is>
      </c>
      <c r="M2" s="2" t="inlineStr">
        <is>
          <t>Friday</t>
        </is>
      </c>
      <c r="N2" s="2" t="inlineStr">
        <is>
          <t>Saturday</t>
        </is>
      </c>
      <c r="O2" s="2" t="inlineStr">
        <is>
          <t>Sunday</t>
        </is>
      </c>
      <c r="P2" s="2" t="inlineStr">
        <is>
          <t>Monday</t>
        </is>
      </c>
      <c r="Q2" s="2" t="inlineStr">
        <is>
          <t>Tuesday</t>
        </is>
      </c>
      <c r="R2" s="2" t="inlineStr">
        <is>
          <t>Wednesday</t>
        </is>
      </c>
      <c r="S2" s="2" t="inlineStr">
        <is>
          <t>Thursday</t>
        </is>
      </c>
      <c r="T2" s="2" t="inlineStr">
        <is>
          <t>Friday</t>
        </is>
      </c>
      <c r="U2" s="2" t="inlineStr">
        <is>
          <t>Saturday</t>
        </is>
      </c>
      <c r="V2" s="2" t="inlineStr">
        <is>
          <t>Sunday</t>
        </is>
      </c>
      <c r="W2" s="2" t="inlineStr">
        <is>
          <t>Monday</t>
        </is>
      </c>
      <c r="X2" s="2" t="inlineStr">
        <is>
          <t>Tuesday</t>
        </is>
      </c>
      <c r="Y2" s="2" t="inlineStr">
        <is>
          <t>Wednesday</t>
        </is>
      </c>
      <c r="Z2" s="2" t="inlineStr">
        <is>
          <t>Thursday</t>
        </is>
      </c>
      <c r="AA2" s="2" t="inlineStr">
        <is>
          <t>Friday</t>
        </is>
      </c>
      <c r="AB2" s="2" t="inlineStr">
        <is>
          <t>Saturday</t>
        </is>
      </c>
      <c r="AC2" s="2" t="inlineStr">
        <is>
          <t>Sunday</t>
        </is>
      </c>
      <c r="AD2" s="2" t="inlineStr">
        <is>
          <t>Monday</t>
        </is>
      </c>
      <c r="AE2" s="2" t="inlineStr">
        <is>
          <t>Tueday</t>
        </is>
      </c>
      <c r="AF2" s="2" t="inlineStr">
        <is>
          <t>Wedneeday</t>
        </is>
      </c>
      <c r="AG2" s="2" t="inlineStr">
        <is>
          <t>Total</t>
        </is>
      </c>
    </row>
    <row r="3">
      <c r="A3" s="1" t="n"/>
      <c r="B3" s="3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4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5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6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7" t="inlineStr">
        <is>
          <t>29th</t>
        </is>
      </c>
      <c r="AE3" s="7" t="inlineStr">
        <is>
          <t>30th</t>
        </is>
      </c>
      <c r="AF3" s="7" t="inlineStr">
        <is>
          <t>31st</t>
        </is>
      </c>
      <c r="AG3" s="1" t="n"/>
    </row>
    <row r="4" ht="18.75" customHeight="1">
      <c r="A4" s="8" t="inlineStr">
        <is>
          <t>B-HAM CITY COUNCIL-200790-70489166</t>
        </is>
      </c>
      <c r="B4" s="9" t="n"/>
      <c r="C4" s="9" t="n"/>
      <c r="D4" s="12">
        <f>5041.28</f>
        <v/>
      </c>
      <c r="E4" s="10" t="n"/>
      <c r="F4" s="11" t="n"/>
      <c r="G4" s="9" t="n"/>
      <c r="H4" s="12" t="n"/>
      <c r="I4" s="12" t="n">
        <v>75502.24000000001</v>
      </c>
      <c r="J4" s="12" t="n"/>
      <c r="K4" s="12" t="n"/>
      <c r="L4" s="10" t="n"/>
      <c r="M4" s="11" t="n"/>
      <c r="N4" s="9" t="n"/>
      <c r="O4" s="12" t="n"/>
      <c r="P4" s="12" t="n"/>
      <c r="Q4" s="12" t="n"/>
      <c r="R4" s="12" t="n"/>
      <c r="S4" s="9" t="n"/>
      <c r="T4" s="12" t="n"/>
      <c r="U4" s="9" t="n"/>
      <c r="V4" s="12" t="n"/>
      <c r="W4" s="12" t="n"/>
      <c r="X4" s="10" t="n"/>
      <c r="Y4" s="11" t="n"/>
      <c r="Z4" s="9" t="n"/>
      <c r="AA4" s="12" t="n"/>
      <c r="AB4" s="9" t="n"/>
      <c r="AC4" s="9" t="n"/>
      <c r="AD4" s="9" t="n"/>
      <c r="AE4" s="12">
        <f>5041.28</f>
        <v/>
      </c>
      <c r="AF4" s="9" t="n"/>
      <c r="AG4" s="13">
        <f>SUM(B4:AE4)</f>
        <v/>
      </c>
    </row>
    <row r="5" ht="15.75" customHeight="1">
      <c r="A5" s="8" t="inlineStr">
        <is>
          <t>Buckingham</t>
        </is>
      </c>
      <c r="B5" s="9" t="n"/>
      <c r="C5" s="9" t="n"/>
      <c r="D5" s="9" t="n"/>
      <c r="E5" s="9" t="n"/>
      <c r="F5" s="12" t="n">
        <v>5134.44</v>
      </c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2" t="n">
        <v>4937.64</v>
      </c>
      <c r="S5" s="9" t="n"/>
      <c r="T5" s="9" t="n"/>
      <c r="U5" s="9" t="n"/>
      <c r="V5" s="9" t="n"/>
      <c r="W5" s="9" t="n"/>
      <c r="X5" s="9" t="n"/>
      <c r="Y5" s="9" t="n"/>
      <c r="Z5" s="9" t="n"/>
      <c r="AA5" s="9" t="n"/>
      <c r="AB5" s="9" t="n"/>
      <c r="AC5" s="9" t="n"/>
      <c r="AD5" s="9" t="n"/>
      <c r="AE5" s="9" t="n"/>
      <c r="AF5" s="9" t="n"/>
      <c r="AG5" s="13">
        <f>SUM(B5:AE5)</f>
        <v/>
      </c>
    </row>
    <row r="6" ht="15.75" customHeight="1">
      <c r="A6" s="8" t="inlineStr">
        <is>
          <t>Sandwell respite est</t>
        </is>
      </c>
      <c r="B6" s="9" t="n"/>
      <c r="C6" s="9" t="n"/>
      <c r="D6" s="9" t="n"/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>
        <v>20000</v>
      </c>
      <c r="AF6" s="9" t="n"/>
      <c r="AG6" s="13">
        <f>SUM(B6:AE6)</f>
        <v/>
      </c>
    </row>
    <row r="7" ht="15.75" customHeight="1">
      <c r="A7" s="8" t="inlineStr">
        <is>
          <t xml:space="preserve">Wolverhampton respite est 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>
        <v>30000</v>
      </c>
      <c r="AF7" s="9" t="n"/>
      <c r="AG7" s="13">
        <f>SUM(B7:AE7)</f>
        <v/>
      </c>
    </row>
    <row r="8" ht="15.75" customHeight="1">
      <c r="A8" s="8" t="inlineStr">
        <is>
          <t>Walsall Respite</t>
        </is>
      </c>
      <c r="B8" s="9" t="n"/>
      <c r="C8" s="9" t="n"/>
      <c r="D8" s="9" t="n"/>
      <c r="E8" s="9" t="n"/>
      <c r="F8" s="9" t="n"/>
      <c r="G8" s="12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>
        <v>15000</v>
      </c>
      <c r="AF8" s="9" t="n"/>
      <c r="AG8" s="13">
        <f>SUM(B8:AE8)</f>
        <v/>
      </c>
    </row>
    <row r="9" ht="18.75" customHeight="1">
      <c r="A9" s="8" t="inlineStr">
        <is>
          <t>Ideal for All Ltd</t>
        </is>
      </c>
      <c r="B9" s="9" t="n"/>
      <c r="C9" s="9" t="n"/>
      <c r="D9" s="12" t="n"/>
      <c r="E9" s="12" t="n"/>
      <c r="F9" s="12" t="n">
        <v>3344</v>
      </c>
      <c r="G9" s="9" t="n"/>
      <c r="H9" s="12" t="n"/>
      <c r="I9" s="12" t="n"/>
      <c r="J9" s="12" t="n"/>
      <c r="K9" s="11" t="n"/>
      <c r="L9" s="11" t="n">
        <v>3661.88</v>
      </c>
      <c r="M9" s="9" t="n"/>
      <c r="N9" s="9" t="n"/>
      <c r="O9" s="9" t="n"/>
      <c r="P9" s="12" t="n">
        <v>2536.8</v>
      </c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/>
      <c r="AG9" s="13">
        <f>SUM(B9:AE9)</f>
        <v/>
      </c>
    </row>
    <row r="10" ht="15.75" customHeight="1">
      <c r="A10" s="8" t="inlineStr">
        <is>
          <t>KIRKLEES COUNCIL-204312-63046958</t>
        </is>
      </c>
      <c r="B10" s="9" t="n"/>
      <c r="C10" s="9" t="n"/>
      <c r="D10" s="12" t="n"/>
      <c r="E10" s="9" t="n"/>
      <c r="F10" s="12" t="n"/>
      <c r="G10" s="9" t="n"/>
      <c r="H10" s="9" t="n"/>
      <c r="I10" s="12" t="n"/>
      <c r="J10" s="9" t="n"/>
      <c r="K10" s="12" t="n"/>
      <c r="L10" s="9" t="n"/>
      <c r="M10" s="9" t="n"/>
      <c r="N10" s="9" t="n"/>
      <c r="O10" s="9" t="n"/>
      <c r="P10" s="12" t="n"/>
      <c r="Q10" s="12" t="n"/>
      <c r="R10" s="12" t="n">
        <v>5554.89</v>
      </c>
      <c r="S10" s="9" t="n"/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12" t="n"/>
      <c r="AF10" s="12" t="n"/>
      <c r="AG10" s="13">
        <f>SUM(B10:AE10)</f>
        <v/>
      </c>
    </row>
    <row r="11" ht="15.75" customHeight="1">
      <c r="A11" s="8" t="inlineStr">
        <is>
          <t>LBH PAYMENTS BACS-602210-72430192</t>
        </is>
      </c>
      <c r="B11" s="9" t="n"/>
      <c r="C11" s="9" t="n"/>
      <c r="D11" s="9" t="n"/>
      <c r="E11" s="9" t="n"/>
      <c r="F11" s="12" t="n"/>
      <c r="G11" s="9" t="n"/>
      <c r="H11" s="9" t="n"/>
      <c r="I11" s="9" t="n"/>
      <c r="J11" s="9" t="n"/>
      <c r="K11" s="9" t="n"/>
      <c r="L11" s="12" t="n"/>
      <c r="M11" s="9" t="n"/>
      <c r="N11" s="9" t="n"/>
      <c r="O11" s="9" t="n"/>
      <c r="P11" s="9" t="n">
        <v>5040</v>
      </c>
      <c r="Q11" s="9" t="n"/>
      <c r="R11" s="9" t="n"/>
      <c r="S11" s="9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9" t="n"/>
      <c r="AG11" s="13">
        <f>SUM(B11:AE11)</f>
        <v/>
      </c>
    </row>
    <row r="12" ht="15.75" customHeight="1">
      <c r="A12" s="8" t="inlineStr">
        <is>
          <t>NHS BIRMINGHAM &amp; S-607080-10017097</t>
        </is>
      </c>
      <c r="B12" s="9" t="n"/>
      <c r="C12" s="9" t="n"/>
      <c r="D12" s="12" t="n">
        <v>7121.63</v>
      </c>
      <c r="E12" s="12" t="n"/>
      <c r="F12" s="12" t="n"/>
      <c r="G12" s="12" t="n"/>
      <c r="H12" s="12" t="n"/>
      <c r="I12" s="12" t="n"/>
      <c r="J12" s="9" t="inlineStr"/>
      <c r="K12" s="9" t="n"/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SUM(B12:AE12)</f>
        <v/>
      </c>
    </row>
    <row r="13" ht="15.75" customHeight="1">
      <c r="A13" s="8" t="inlineStr">
        <is>
          <t>NHS BLACK COUNTRY-607080-10015272</t>
        </is>
      </c>
      <c r="B13" s="9" t="n"/>
      <c r="C13" s="9" t="n"/>
      <c r="D13" s="9" t="n"/>
      <c r="E13" s="9" t="inlineStr"/>
      <c r="F13" s="12" t="n"/>
      <c r="G13" s="9" t="inlineStr"/>
      <c r="H13" s="9" t="inlineStr"/>
      <c r="I13" s="12" t="inlineStr">
        <is>
          <t>.</t>
        </is>
      </c>
      <c r="J13" s="12" t="n"/>
      <c r="K13" s="9" t="n"/>
      <c r="L13" s="9" t="n"/>
      <c r="M13" s="9" t="n"/>
      <c r="N13" s="9" t="n"/>
      <c r="O13" s="12" t="n">
        <v>13185.64</v>
      </c>
      <c r="P13" s="12" t="n"/>
      <c r="Q13" s="9" t="n"/>
      <c r="R13" s="9" t="n"/>
      <c r="S13" s="9" t="n"/>
      <c r="T13" s="9" t="n"/>
      <c r="U13" s="12" t="n"/>
      <c r="V13" s="9" t="n"/>
      <c r="W13" s="9" t="n"/>
      <c r="X13" s="9" t="n"/>
      <c r="Y13" s="9" t="n"/>
      <c r="Z13" s="9" t="n"/>
      <c r="AA13" s="9" t="n"/>
      <c r="AB13" s="9" t="n"/>
      <c r="AC13" s="12" t="n">
        <v>8073.21</v>
      </c>
      <c r="AD13" s="9" t="n"/>
      <c r="AE13" s="9" t="n"/>
      <c r="AF13" s="9" t="n"/>
      <c r="AG13" s="13">
        <f>SUM(B13:AE13)</f>
        <v/>
      </c>
    </row>
    <row r="14" ht="15.75" customHeight="1">
      <c r="A14" s="14" t="inlineStr">
        <is>
          <t>SANDWELL MBC  BEN-601539-69624151</t>
        </is>
      </c>
      <c r="B14" s="9" t="n"/>
      <c r="C14" s="9" t="n"/>
      <c r="D14" s="9" t="n"/>
      <c r="E14" s="9" t="n"/>
      <c r="F14" s="9" t="n"/>
      <c r="G14" s="9" t="n"/>
      <c r="H14" s="12" t="n"/>
      <c r="I14" s="9" t="n"/>
      <c r="J14" s="9" t="n"/>
      <c r="K14" s="9" t="n"/>
      <c r="L14" s="9" t="n"/>
      <c r="M14" s="9" t="n"/>
      <c r="N14" s="9" t="n"/>
      <c r="O14" s="9" t="n"/>
      <c r="P14" s="9" t="n"/>
      <c r="Q14" s="9" t="n"/>
      <c r="R14" s="9" t="n"/>
      <c r="S14" s="9" t="n"/>
      <c r="T14" s="12" t="n"/>
      <c r="U14" s="9" t="n"/>
      <c r="V14" s="9" t="n"/>
      <c r="W14" s="9" t="n"/>
      <c r="X14" s="9" t="n"/>
      <c r="Y14" s="12" t="n">
        <v>3000</v>
      </c>
      <c r="Z14" s="9" t="n"/>
      <c r="AA14" s="9" t="n"/>
      <c r="AB14" s="9" t="n"/>
      <c r="AC14" s="9" t="n"/>
      <c r="AD14" s="9" t="n"/>
      <c r="AE14" s="9" t="n"/>
      <c r="AF14" s="9" t="n"/>
      <c r="AG14" s="13">
        <f>SUM(B14:AE14)</f>
        <v/>
      </c>
    </row>
    <row r="15" ht="15.75" customHeight="1">
      <c r="A15" s="14" t="inlineStr">
        <is>
          <t>SANDWELL MBC-601539-69624135</t>
        </is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>
        <v>120000</v>
      </c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9" t="n">
        <v>120000</v>
      </c>
      <c r="Z15" s="9" t="n"/>
      <c r="AA15" s="9" t="n"/>
      <c r="AB15" s="9" t="n"/>
      <c r="AC15" s="9" t="n"/>
      <c r="AD15" s="9" t="n"/>
      <c r="AE15" s="9" t="n"/>
      <c r="AF15" s="9" t="n"/>
      <c r="AG15" s="13">
        <f>SUM(B15:AE15)</f>
        <v/>
      </c>
    </row>
    <row r="16" ht="15.75" customHeight="1">
      <c r="A16" s="15" t="inlineStr">
        <is>
          <t>SOLIHULL MBC EXP.-200771-00561525</t>
        </is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12" t="n">
        <v>32000</v>
      </c>
      <c r="Q16" s="9" t="n"/>
      <c r="R16" s="12" t="n"/>
      <c r="S16" s="9" t="n"/>
      <c r="T16" s="12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/>
      <c r="AE16" s="9" t="n"/>
      <c r="AF16" s="9" t="n"/>
      <c r="AG16" s="13">
        <f>SUM(B16:AE16)</f>
        <v/>
      </c>
    </row>
    <row r="17" ht="15.75" customHeight="1">
      <c r="A17" s="15" t="inlineStr">
        <is>
          <t>WALSALL MBC BARC-209073-10731692</t>
        </is>
      </c>
      <c r="B17" s="9" t="n"/>
      <c r="C17" s="9" t="n">
        <v>187000</v>
      </c>
      <c r="D17" s="9" t="n"/>
      <c r="E17" s="9" t="n"/>
      <c r="F17" s="9" t="n"/>
      <c r="G17" s="12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>
        <v>187000</v>
      </c>
      <c r="AF17" s="9" t="n"/>
      <c r="AG17" s="13">
        <f>SUM(B17:AE17)</f>
        <v/>
      </c>
    </row>
    <row r="18" ht="15.75" customHeight="1">
      <c r="A18" s="15" t="inlineStr">
        <is>
          <t>WOLVERHAMPTON CC-560069-44470320</t>
        </is>
      </c>
      <c r="B18" s="9" t="n"/>
      <c r="C18" s="9" t="n"/>
      <c r="D18" s="9" t="n"/>
      <c r="E18" s="9" t="n">
        <v>112000</v>
      </c>
      <c r="F18" s="9" t="n"/>
      <c r="G18" s="9" t="n"/>
      <c r="H18" s="9" t="n"/>
      <c r="I18" s="9" t="n"/>
      <c r="J18" s="9" t="n"/>
      <c r="K18" s="9" t="n"/>
      <c r="L18" s="9" t="n">
        <v>112000</v>
      </c>
      <c r="M18" s="9" t="n"/>
      <c r="N18" s="9" t="n"/>
      <c r="O18" s="9" t="n"/>
      <c r="P18" s="9" t="n"/>
      <c r="Q18" s="9" t="n"/>
      <c r="R18" s="9" t="n"/>
      <c r="S18" s="9" t="n">
        <v>112000</v>
      </c>
      <c r="T18" s="9" t="n"/>
      <c r="U18" s="9" t="n"/>
      <c r="V18" s="9" t="n"/>
      <c r="W18" s="9" t="n"/>
      <c r="X18" s="9" t="n"/>
      <c r="Y18" s="9" t="n"/>
      <c r="Z18" s="9" t="n">
        <v>112000</v>
      </c>
      <c r="AA18" s="9" t="n"/>
      <c r="AB18" s="9" t="n"/>
      <c r="AC18" s="9" t="n"/>
      <c r="AD18" s="9" t="n"/>
      <c r="AE18" s="9" t="n"/>
      <c r="AF18" s="9" t="n"/>
      <c r="AG18" s="13">
        <f>SUM(B18:AE18)</f>
        <v/>
      </c>
    </row>
    <row r="19" ht="15.75" customHeight="1">
      <c r="A19" s="15" t="inlineStr">
        <is>
          <t>Portsmouth</t>
        </is>
      </c>
      <c r="B19" s="9" t="n"/>
      <c r="C19" s="9" t="n"/>
      <c r="D19" s="9" t="n">
        <v>5247.86</v>
      </c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  <c r="V19" s="9" t="n"/>
      <c r="W19" s="9" t="n"/>
      <c r="X19" s="9" t="n"/>
      <c r="Y19" s="9" t="n"/>
      <c r="Z19" s="9" t="n"/>
      <c r="AA19" s="9" t="n"/>
      <c r="AB19" s="9" t="n"/>
      <c r="AC19" s="9" t="n"/>
      <c r="AD19" s="9" t="n"/>
      <c r="AE19" s="9" t="n"/>
      <c r="AF19" s="9" t="n"/>
      <c r="AG19" s="13">
        <f>SUM(B19:AE19)</f>
        <v/>
      </c>
    </row>
    <row r="20" ht="15.75" customHeight="1">
      <c r="A20" s="15" t="inlineStr">
        <is>
          <t>HB SC</t>
        </is>
      </c>
      <c r="B20" s="10" t="n">
        <v>3800</v>
      </c>
      <c r="C20" s="10" t="n">
        <v>3800</v>
      </c>
      <c r="D20" s="10" t="n">
        <v>3800</v>
      </c>
      <c r="E20" s="10" t="n">
        <v>3800</v>
      </c>
      <c r="F20" s="10" t="n">
        <v>3800</v>
      </c>
      <c r="G20" s="10" t="n">
        <v>3800</v>
      </c>
      <c r="H20" s="10" t="n">
        <v>3800</v>
      </c>
      <c r="I20" s="10" t="n">
        <v>3800</v>
      </c>
      <c r="J20" s="10" t="n">
        <v>3800</v>
      </c>
      <c r="K20" s="10" t="n">
        <v>3800</v>
      </c>
      <c r="L20" s="10" t="n">
        <v>3800</v>
      </c>
      <c r="M20" s="10" t="n">
        <v>3800</v>
      </c>
      <c r="N20" s="10" t="n">
        <v>3800</v>
      </c>
      <c r="O20" s="10" t="n">
        <v>3800</v>
      </c>
      <c r="P20" s="10" t="n">
        <v>3800</v>
      </c>
      <c r="Q20" s="10" t="n">
        <v>3800</v>
      </c>
      <c r="R20" s="10" t="n">
        <v>3800</v>
      </c>
      <c r="S20" s="10" t="n">
        <v>3800</v>
      </c>
      <c r="T20" s="10" t="n">
        <v>3800</v>
      </c>
      <c r="U20" s="10" t="n">
        <v>3800</v>
      </c>
      <c r="V20" s="10" t="n">
        <v>3800</v>
      </c>
      <c r="W20" s="10" t="n">
        <v>3800</v>
      </c>
      <c r="X20" s="10" t="n">
        <v>3800</v>
      </c>
      <c r="Y20" s="10" t="n">
        <v>3800</v>
      </c>
      <c r="Z20" s="10" t="n">
        <v>3800</v>
      </c>
      <c r="AA20" s="10" t="n">
        <v>3800</v>
      </c>
      <c r="AB20" s="10" t="n">
        <v>3800</v>
      </c>
      <c r="AC20" s="10" t="n">
        <v>3800</v>
      </c>
      <c r="AD20" s="10" t="n">
        <v>3800</v>
      </c>
      <c r="AE20" s="10" t="n">
        <v>3800</v>
      </c>
      <c r="AF20" s="16" t="n"/>
      <c r="AG20" s="13">
        <f>SUM(B20:AE20)</f>
        <v/>
      </c>
    </row>
    <row r="21" ht="16.5" customHeight="1" thickBot="1">
      <c r="A21" s="15" t="inlineStr">
        <is>
          <t>Total</t>
        </is>
      </c>
      <c r="B21">
        <f>SUM(B4:B20)</f>
        <v/>
      </c>
      <c r="C21">
        <f>SUM(C4:C20)</f>
        <v/>
      </c>
      <c r="D21">
        <f>SUM(D4:D20)</f>
        <v/>
      </c>
      <c r="E21">
        <f>SUM(E4:E20)</f>
        <v/>
      </c>
      <c r="F21">
        <f>SUM(F4:F20)</f>
        <v/>
      </c>
      <c r="G21">
        <f>SUM(G4:G20)</f>
        <v/>
      </c>
      <c r="H21">
        <f>SUM(H4:H20)</f>
        <v/>
      </c>
      <c r="I21">
        <f>SUM(I4:I20)</f>
        <v/>
      </c>
      <c r="J21">
        <f>SUM(J4:J20)</f>
        <v/>
      </c>
      <c r="K21">
        <f>SUM(K4:K20)</f>
        <v/>
      </c>
      <c r="L21">
        <f>SUM(L4:L20)</f>
        <v/>
      </c>
      <c r="M21">
        <f>SUM(M4:M20)</f>
        <v/>
      </c>
      <c r="N21">
        <f>SUM(N4:N20)</f>
        <v/>
      </c>
      <c r="O21">
        <f>SUM(O4:O20)</f>
        <v/>
      </c>
      <c r="P21">
        <f>SUM(P4:P20)</f>
        <v/>
      </c>
      <c r="Q21">
        <f>SUM(Q4:Q20)</f>
        <v/>
      </c>
      <c r="R21">
        <f>SUM(R4:R20)</f>
        <v/>
      </c>
      <c r="S21">
        <f>SUM(S4:S20)</f>
        <v/>
      </c>
      <c r="T21">
        <f>SUM(T4:T20)</f>
        <v/>
      </c>
      <c r="U21">
        <f>SUM(U4:U20)</f>
        <v/>
      </c>
      <c r="V21">
        <f>SUM(V4:V20)</f>
        <v/>
      </c>
      <c r="W21">
        <f>SUM(W4:W20)</f>
        <v/>
      </c>
      <c r="X21">
        <f>SUM(X4:X20)</f>
        <v/>
      </c>
      <c r="Y21">
        <f>SUM(Y4:Y20)</f>
        <v/>
      </c>
      <c r="Z21">
        <f>SUM(Z4:Z20)</f>
        <v/>
      </c>
      <c r="AA21">
        <f>SUM(AA4:AA20)</f>
        <v/>
      </c>
      <c r="AB21">
        <f>SUM(AB4:AB20)</f>
        <v/>
      </c>
      <c r="AC21">
        <f>SUM(AC4:AC20)</f>
        <v/>
      </c>
      <c r="AD21">
        <f>SUM(AD4:AD20)</f>
        <v/>
      </c>
      <c r="AE21">
        <f>SUM(AE4:AE20)</f>
        <v/>
      </c>
      <c r="AG21" s="252">
        <f>SUM(AG4:AG20)</f>
        <v/>
      </c>
    </row>
    <row r="22" ht="15.75" customHeight="1" thickTop="1">
      <c r="A22" s="15" t="inlineStr">
        <is>
          <t>Ruunning Total</t>
        </is>
      </c>
      <c r="B22">
        <f>B21</f>
        <v/>
      </c>
      <c r="C22">
        <f>B22+C21</f>
        <v/>
      </c>
      <c r="D22">
        <f>C22+D21</f>
        <v/>
      </c>
      <c r="E22">
        <f>D22+E21</f>
        <v/>
      </c>
      <c r="F22">
        <f>E22+F21</f>
        <v/>
      </c>
      <c r="G22">
        <f>F22+G21</f>
        <v/>
      </c>
      <c r="H22">
        <f>G22+H21</f>
        <v/>
      </c>
      <c r="I22">
        <f>H22+I21</f>
        <v/>
      </c>
      <c r="J22">
        <f>I22+J21</f>
        <v/>
      </c>
      <c r="K22">
        <f>J22+K21</f>
        <v/>
      </c>
      <c r="L22">
        <f>K22+L21</f>
        <v/>
      </c>
      <c r="M22">
        <f>L22+M21</f>
        <v/>
      </c>
      <c r="N22">
        <f>M22+N21</f>
        <v/>
      </c>
      <c r="O22">
        <f>N22+O21</f>
        <v/>
      </c>
      <c r="P22">
        <f>O22+P21</f>
        <v/>
      </c>
      <c r="Q22">
        <f>P22+Q21</f>
        <v/>
      </c>
      <c r="R22">
        <f>Q22+R21</f>
        <v/>
      </c>
      <c r="S22">
        <f>R22+S21</f>
        <v/>
      </c>
      <c r="T22">
        <f>S22+T21</f>
        <v/>
      </c>
      <c r="U22">
        <f>T22+U21</f>
        <v/>
      </c>
      <c r="V22">
        <f>U22+V21</f>
        <v/>
      </c>
      <c r="W22">
        <f>V22+W21</f>
        <v/>
      </c>
      <c r="X22">
        <f>W22+X21</f>
        <v/>
      </c>
      <c r="Y22">
        <f>X22+Y21</f>
        <v/>
      </c>
      <c r="Z22">
        <f>Y22+Z21</f>
        <v/>
      </c>
      <c r="AA22">
        <f>Z22+AA21</f>
        <v/>
      </c>
      <c r="AB22">
        <f>AA22+AB21</f>
        <v/>
      </c>
      <c r="AC22">
        <f>AB22+AC21</f>
        <v/>
      </c>
      <c r="AD22">
        <f>AC22+AD21</f>
        <v/>
      </c>
      <c r="AE22">
        <f>AD22+AE21</f>
        <v/>
      </c>
    </row>
    <row r="25">
      <c r="A25" s="1" t="n"/>
      <c r="B25" s="2" t="inlineStr">
        <is>
          <t xml:space="preserve">July </t>
        </is>
      </c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1" t="n"/>
      <c r="AF25" s="1" t="n"/>
      <c r="AG25" s="1" t="n"/>
    </row>
    <row r="26">
      <c r="A26" s="1" t="n"/>
      <c r="B26" s="2" t="inlineStr">
        <is>
          <t>Monday</t>
        </is>
      </c>
      <c r="C26" s="2" t="inlineStr">
        <is>
          <t>Tuesday</t>
        </is>
      </c>
      <c r="D26" s="2" t="inlineStr">
        <is>
          <t>Wednesday</t>
        </is>
      </c>
      <c r="E26" s="2" t="inlineStr">
        <is>
          <t>Thursday</t>
        </is>
      </c>
      <c r="F26" s="2" t="inlineStr">
        <is>
          <t>Friday</t>
        </is>
      </c>
      <c r="G26" s="2" t="inlineStr">
        <is>
          <t>Saturday</t>
        </is>
      </c>
      <c r="H26" s="2" t="inlineStr">
        <is>
          <t>Sunday</t>
        </is>
      </c>
      <c r="I26" s="2" t="inlineStr">
        <is>
          <t>Monday</t>
        </is>
      </c>
      <c r="J26" s="2" t="inlineStr">
        <is>
          <t>Tuesday</t>
        </is>
      </c>
      <c r="K26" s="2" t="inlineStr">
        <is>
          <t>Wednesday</t>
        </is>
      </c>
      <c r="L26" s="2" t="inlineStr">
        <is>
          <t>Thursday</t>
        </is>
      </c>
      <c r="M26" s="2" t="inlineStr">
        <is>
          <t>Friday</t>
        </is>
      </c>
      <c r="N26" s="2" t="inlineStr">
        <is>
          <t>Saturday</t>
        </is>
      </c>
      <c r="O26" s="2" t="inlineStr">
        <is>
          <t>Sunday</t>
        </is>
      </c>
      <c r="P26" s="2" t="inlineStr">
        <is>
          <t>Monday</t>
        </is>
      </c>
      <c r="Q26" s="2" t="inlineStr">
        <is>
          <t>Tuesday</t>
        </is>
      </c>
      <c r="R26" s="2" t="inlineStr">
        <is>
          <t>Wednesday</t>
        </is>
      </c>
      <c r="S26" s="2" t="inlineStr">
        <is>
          <t>Thursday</t>
        </is>
      </c>
      <c r="T26" s="2" t="inlineStr">
        <is>
          <t>Friday</t>
        </is>
      </c>
      <c r="U26" s="2" t="inlineStr">
        <is>
          <t>Saturday</t>
        </is>
      </c>
      <c r="V26" s="2" t="inlineStr">
        <is>
          <t>Sunday</t>
        </is>
      </c>
      <c r="W26" s="2" t="inlineStr">
        <is>
          <t>Monday</t>
        </is>
      </c>
      <c r="X26" s="2" t="inlineStr">
        <is>
          <t>Tuesday</t>
        </is>
      </c>
      <c r="Y26" s="2" t="inlineStr">
        <is>
          <t>Wednesday</t>
        </is>
      </c>
      <c r="Z26" s="2" t="inlineStr">
        <is>
          <t>Thursday</t>
        </is>
      </c>
      <c r="AA26" s="2" t="inlineStr">
        <is>
          <t>Friday</t>
        </is>
      </c>
      <c r="AB26" s="2" t="inlineStr">
        <is>
          <t>Saturday</t>
        </is>
      </c>
      <c r="AC26" s="2" t="inlineStr">
        <is>
          <t>Sunday</t>
        </is>
      </c>
      <c r="AD26" s="2" t="inlineStr">
        <is>
          <t>Monday</t>
        </is>
      </c>
      <c r="AE26" s="2" t="inlineStr">
        <is>
          <t>Tueday</t>
        </is>
      </c>
      <c r="AF26" s="2" t="inlineStr">
        <is>
          <t>Wedneeday</t>
        </is>
      </c>
      <c r="AG26" s="2" t="inlineStr">
        <is>
          <t>Total</t>
        </is>
      </c>
    </row>
    <row r="27">
      <c r="A27" s="1" t="n"/>
      <c r="B27" s="3" t="inlineStr">
        <is>
          <t>1st</t>
        </is>
      </c>
      <c r="C27" s="3" t="inlineStr">
        <is>
          <t>2nd</t>
        </is>
      </c>
      <c r="D27" s="3" t="inlineStr">
        <is>
          <t>3rd</t>
        </is>
      </c>
      <c r="E27" s="3" t="inlineStr">
        <is>
          <t>4th</t>
        </is>
      </c>
      <c r="F27" s="3" t="inlineStr">
        <is>
          <t>5th</t>
        </is>
      </c>
      <c r="G27" s="3" t="inlineStr">
        <is>
          <t>6th</t>
        </is>
      </c>
      <c r="H27" s="3" t="inlineStr">
        <is>
          <t>7th</t>
        </is>
      </c>
      <c r="I27" s="4" t="inlineStr">
        <is>
          <t>8th</t>
        </is>
      </c>
      <c r="J27" s="4" t="inlineStr">
        <is>
          <t>9th</t>
        </is>
      </c>
      <c r="K27" s="4" t="inlineStr">
        <is>
          <t>10th</t>
        </is>
      </c>
      <c r="L27" s="4" t="inlineStr">
        <is>
          <t>11th</t>
        </is>
      </c>
      <c r="M27" s="4" t="inlineStr">
        <is>
          <t>12th</t>
        </is>
      </c>
      <c r="N27" s="4" t="inlineStr">
        <is>
          <t>13th</t>
        </is>
      </c>
      <c r="O27" s="4" t="inlineStr">
        <is>
          <t>14th</t>
        </is>
      </c>
      <c r="P27" s="5" t="inlineStr">
        <is>
          <t>15th</t>
        </is>
      </c>
      <c r="Q27" s="5" t="inlineStr">
        <is>
          <t>16th</t>
        </is>
      </c>
      <c r="R27" s="5" t="inlineStr">
        <is>
          <t>17th</t>
        </is>
      </c>
      <c r="S27" s="5" t="inlineStr">
        <is>
          <t>18th</t>
        </is>
      </c>
      <c r="T27" s="5" t="inlineStr">
        <is>
          <t>19th</t>
        </is>
      </c>
      <c r="U27" s="5" t="inlineStr">
        <is>
          <t>20th</t>
        </is>
      </c>
      <c r="V27" s="5" t="inlineStr">
        <is>
          <t>21st</t>
        </is>
      </c>
      <c r="W27" s="6" t="inlineStr">
        <is>
          <t>22nd</t>
        </is>
      </c>
      <c r="X27" s="6" t="inlineStr">
        <is>
          <t>23rd</t>
        </is>
      </c>
      <c r="Y27" s="6" t="inlineStr">
        <is>
          <t>24th</t>
        </is>
      </c>
      <c r="Z27" s="6" t="inlineStr">
        <is>
          <t>25th</t>
        </is>
      </c>
      <c r="AA27" s="6" t="inlineStr">
        <is>
          <t>26th</t>
        </is>
      </c>
      <c r="AB27" s="6" t="inlineStr">
        <is>
          <t>27th</t>
        </is>
      </c>
      <c r="AC27" s="6" t="inlineStr">
        <is>
          <t>28th</t>
        </is>
      </c>
      <c r="AD27" s="7" t="inlineStr">
        <is>
          <t>29th</t>
        </is>
      </c>
      <c r="AE27" s="7" t="inlineStr">
        <is>
          <t>30th</t>
        </is>
      </c>
      <c r="AF27" s="7" t="inlineStr">
        <is>
          <t>31st</t>
        </is>
      </c>
      <c r="AG27" s="1" t="n"/>
    </row>
    <row r="28" ht="15.75" customHeight="1">
      <c r="A28" s="8" t="inlineStr">
        <is>
          <t>B-HAM CITY COUNCIL-200790-70489166</t>
        </is>
      </c>
      <c r="B28" s="26" t="n"/>
      <c r="C28" s="26" t="n"/>
      <c r="D28" s="31" t="n"/>
      <c r="E28" s="16" t="n"/>
      <c r="F28" s="31" t="n"/>
      <c r="G28" s="26" t="n"/>
      <c r="H28" s="31" t="n"/>
      <c r="I28" s="31" t="n"/>
      <c r="J28" s="31" t="n"/>
      <c r="K28" s="31" t="n"/>
      <c r="L28" s="31" t="n"/>
      <c r="M28" t="n">
        <v>62841.32</v>
      </c>
      <c r="N28" s="9" t="n"/>
      <c r="O28" s="12" t="n"/>
      <c r="P28" s="12" t="n"/>
      <c r="Q28" s="12" t="n"/>
      <c r="R28" s="31" t="n"/>
      <c r="S28" s="31" t="n"/>
      <c r="T28" s="31" t="n"/>
      <c r="U28" s="31" t="n"/>
      <c r="V28" s="31" t="n"/>
      <c r="W28" s="31" t="n">
        <v>6526.88</v>
      </c>
      <c r="X28" s="31" t="n"/>
      <c r="Y28" s="31" t="n">
        <v>4856.67</v>
      </c>
      <c r="Z28" s="31" t="n"/>
      <c r="AA28" s="31" t="n"/>
      <c r="AB28" s="31" t="n"/>
      <c r="AC28" s="31" t="n"/>
      <c r="AD28" s="31" t="n"/>
      <c r="AE28" s="31" t="n"/>
      <c r="AF28" s="31" t="n"/>
      <c r="AG28" s="13">
        <f>SUM(B28:AF28)</f>
        <v/>
      </c>
    </row>
    <row r="29" ht="15.75" customHeight="1">
      <c r="A29" s="8" t="inlineStr">
        <is>
          <t>Buckingham</t>
        </is>
      </c>
      <c r="B29" s="26" t="n"/>
      <c r="C29" s="26" t="n"/>
      <c r="D29" s="26" t="n"/>
      <c r="E29" s="26" t="n"/>
      <c r="F29" s="31" t="n">
        <v>5134.44</v>
      </c>
      <c r="G29" s="26" t="n"/>
      <c r="H29" s="26" t="n"/>
      <c r="I29" s="26" t="n"/>
      <c r="J29" s="26" t="n"/>
      <c r="K29" s="26" t="n"/>
      <c r="L29" s="26" t="n"/>
      <c r="M29" s="9" t="n"/>
      <c r="N29" s="9" t="n"/>
      <c r="O29" s="9" t="n"/>
      <c r="P29" s="9" t="n"/>
      <c r="Q29" s="9" t="n"/>
      <c r="R29" s="31" t="n"/>
      <c r="S29" s="31" t="n"/>
      <c r="T29" s="31" t="n"/>
      <c r="U29" s="31" t="n"/>
      <c r="V29" s="31" t="n"/>
      <c r="W29" s="31" t="n"/>
      <c r="X29" s="31" t="n"/>
      <c r="Y29" s="31" t="n"/>
      <c r="Z29" s="31" t="n"/>
      <c r="AA29" s="31" t="n"/>
      <c r="AB29" s="31" t="n"/>
      <c r="AC29" s="31" t="n"/>
      <c r="AD29" s="31" t="n"/>
      <c r="AE29" s="31" t="n"/>
      <c r="AF29" s="31" t="n"/>
      <c r="AG29" s="13">
        <f>SUM(B29:AF29)</f>
        <v/>
      </c>
    </row>
    <row r="30" ht="15.75" customHeight="1">
      <c r="A30" s="8" t="inlineStr">
        <is>
          <t>Sandwell respite est</t>
        </is>
      </c>
      <c r="B30" s="26" t="n"/>
      <c r="C30" s="26" t="n"/>
      <c r="D30" s="26" t="n"/>
      <c r="E30" s="26" t="n"/>
      <c r="F30" s="26" t="n"/>
      <c r="G30" s="26" t="n"/>
      <c r="H30" s="26" t="n"/>
      <c r="I30" s="26" t="n"/>
      <c r="J30" s="26" t="n"/>
      <c r="K30" s="26" t="n"/>
      <c r="L30" s="26" t="n"/>
      <c r="M30" s="9" t="n"/>
      <c r="N30" s="9" t="n"/>
      <c r="O30" s="9" t="n"/>
      <c r="P30" s="9" t="n"/>
      <c r="Q30" s="9" t="n"/>
      <c r="R30" s="31" t="n"/>
      <c r="S30" s="31" t="n"/>
      <c r="T30" s="31" t="n">
        <v>1904</v>
      </c>
      <c r="U30" s="31" t="n"/>
      <c r="V30" s="31" t="n"/>
      <c r="W30" s="31" t="n"/>
      <c r="X30" s="31" t="n"/>
      <c r="Y30" s="31" t="n"/>
      <c r="Z30" s="31" t="n"/>
      <c r="AA30" s="31" t="n"/>
      <c r="AB30" s="31" t="n"/>
      <c r="AC30" s="31" t="n"/>
      <c r="AD30" s="31" t="n"/>
      <c r="AF30" t="n">
        <v>13155.74</v>
      </c>
      <c r="AG30" s="13">
        <f>SUM(B30:AF30)</f>
        <v/>
      </c>
    </row>
    <row r="31" ht="15.75" customHeight="1">
      <c r="A31" s="8" t="inlineStr">
        <is>
          <t xml:space="preserve">Wolverhampton respite est </t>
        </is>
      </c>
      <c r="B31" s="26" t="n"/>
      <c r="C31" s="26" t="n"/>
      <c r="D31" s="26" t="n"/>
      <c r="E31" s="26" t="n">
        <v>7108.1</v>
      </c>
      <c r="F31" s="26" t="n"/>
      <c r="G31" s="26" t="n"/>
      <c r="H31" s="26" t="n"/>
      <c r="I31" s="26" t="n"/>
      <c r="J31" s="26" t="n"/>
      <c r="K31" s="26" t="n"/>
      <c r="L31" s="16" t="n">
        <v>7108.1</v>
      </c>
      <c r="M31" t="n">
        <v>3040</v>
      </c>
      <c r="N31" s="9" t="n"/>
      <c r="O31" s="9" t="n"/>
      <c r="P31" s="9" t="n"/>
      <c r="Q31" s="9" t="n"/>
      <c r="R31" s="31" t="n"/>
      <c r="S31" s="31" t="n">
        <v>7108.1</v>
      </c>
      <c r="T31" s="31" t="n"/>
      <c r="U31" s="31" t="n"/>
      <c r="V31" s="31" t="n"/>
      <c r="W31" s="31" t="n"/>
      <c r="X31" s="31" t="n"/>
      <c r="Y31" s="31" t="n"/>
      <c r="Z31" s="31" t="n">
        <v>7108.1</v>
      </c>
      <c r="AA31" s="31" t="n">
        <v>16670.45</v>
      </c>
      <c r="AB31" s="31" t="n"/>
      <c r="AC31" s="31" t="n"/>
      <c r="AD31" s="31" t="n"/>
      <c r="AE31" s="75" t="n"/>
      <c r="AG31" s="13">
        <f>SUM(B31:AE31)</f>
        <v/>
      </c>
    </row>
    <row r="32" ht="15.75" customHeight="1">
      <c r="A32" s="8" t="inlineStr">
        <is>
          <t>Walsall Respite</t>
        </is>
      </c>
      <c r="B32" s="26" t="n"/>
      <c r="C32" s="31" t="n">
        <v>12043.2</v>
      </c>
      <c r="D32" s="31" t="n"/>
      <c r="E32" s="31" t="n"/>
      <c r="F32" s="31" t="n">
        <v>2761.46</v>
      </c>
      <c r="G32" s="31" t="n"/>
      <c r="H32" s="26" t="n"/>
      <c r="I32" s="26" t="n"/>
      <c r="J32" s="26" t="n"/>
      <c r="K32" s="26" t="n"/>
      <c r="L32" s="26" t="n"/>
      <c r="M32" s="9" t="n"/>
      <c r="N32" s="9" t="n"/>
      <c r="O32" s="9" t="n"/>
      <c r="P32" s="9" t="n"/>
      <c r="Q32" s="9" t="n"/>
      <c r="R32" s="31" t="n"/>
      <c r="S32" s="31" t="n"/>
      <c r="T32" s="31" t="n"/>
      <c r="U32" s="31" t="n"/>
      <c r="V32" s="31" t="n"/>
      <c r="W32" s="31" t="n"/>
      <c r="X32" s="31" t="n">
        <v>1275</v>
      </c>
      <c r="Y32" s="31" t="n"/>
      <c r="Z32" s="31" t="n"/>
      <c r="AA32" s="31" t="n"/>
      <c r="AB32" s="31" t="n"/>
      <c r="AC32" s="31" t="n"/>
      <c r="AE32" s="31" t="n">
        <v>12883.6</v>
      </c>
      <c r="AG32" s="13">
        <f>SUM(B32:AE32)</f>
        <v/>
      </c>
    </row>
    <row r="33" ht="15.75" customHeight="1">
      <c r="A33" s="8" t="inlineStr">
        <is>
          <t>Ideal for All Ltd</t>
        </is>
      </c>
      <c r="B33" s="26" t="n"/>
      <c r="C33" s="26" t="n"/>
      <c r="D33" s="31" t="n"/>
      <c r="E33" s="31" t="n"/>
      <c r="F33" s="31" t="n"/>
      <c r="G33" s="26" t="n"/>
      <c r="H33" s="31" t="n"/>
      <c r="I33" s="31" t="n"/>
      <c r="J33" s="31" t="n"/>
      <c r="K33" s="31" t="n"/>
      <c r="L33" s="31" t="n"/>
      <c r="N33" s="9" t="n"/>
      <c r="O33" s="9" t="n"/>
      <c r="P33" s="12" t="n"/>
      <c r="R33" s="31" t="n"/>
      <c r="S33" s="31" t="n"/>
      <c r="T33" s="31" t="n">
        <v>3496</v>
      </c>
      <c r="U33" s="31" t="n"/>
      <c r="V33" s="31" t="n"/>
      <c r="W33" s="31" t="n"/>
      <c r="X33" s="31" t="n"/>
      <c r="Y33" s="31" t="n"/>
      <c r="Z33" s="31" t="n"/>
      <c r="AA33" s="31" t="n"/>
      <c r="AB33" s="31" t="n"/>
      <c r="AC33" s="31" t="n"/>
      <c r="AD33" s="31" t="n">
        <v>3661.88</v>
      </c>
      <c r="AE33" s="31" t="n"/>
      <c r="AG33" s="13">
        <f>SUM(B33:AE33)</f>
        <v/>
      </c>
    </row>
    <row r="34" ht="15.75" customHeight="1">
      <c r="A34" s="8" t="inlineStr">
        <is>
          <t>KIRKLEES COUNCIL-204312-63046958</t>
        </is>
      </c>
      <c r="B34" s="26" t="n"/>
      <c r="C34" s="26" t="n"/>
      <c r="D34" s="31" t="n"/>
      <c r="E34" s="26" t="n"/>
      <c r="F34" s="31" t="n"/>
      <c r="G34" s="26" t="n"/>
      <c r="H34" s="26" t="n"/>
      <c r="I34" s="31" t="n"/>
      <c r="J34" s="26" t="n"/>
      <c r="K34" s="31" t="n"/>
      <c r="L34" s="26" t="n"/>
      <c r="M34" s="9" t="n"/>
      <c r="N34" s="9" t="n"/>
      <c r="O34" s="9" t="n"/>
      <c r="P34" s="12" t="n"/>
      <c r="Q34" s="12" t="n"/>
      <c r="R34" s="31" t="n"/>
      <c r="S34" s="31" t="n"/>
      <c r="T34" s="31" t="n"/>
      <c r="U34" s="31" t="n"/>
      <c r="V34" s="31" t="n"/>
      <c r="W34" s="31" t="n"/>
      <c r="X34" s="31" t="n"/>
      <c r="Y34" s="31" t="n"/>
      <c r="Z34" s="31" t="n"/>
      <c r="AA34" s="31" t="n"/>
      <c r="AB34" s="31" t="n"/>
      <c r="AC34" s="31" t="n"/>
      <c r="AD34" s="31" t="n">
        <v>5888.14</v>
      </c>
      <c r="AE34" s="31" t="n"/>
      <c r="AG34" s="13">
        <f>SUM(B34:AE34)</f>
        <v/>
      </c>
    </row>
    <row r="35" ht="15.75" customHeight="1">
      <c r="A35" s="8" t="inlineStr">
        <is>
          <t>LBH PAYMENTS BACS-602210-72430192</t>
        </is>
      </c>
      <c r="B35" s="26" t="n"/>
      <c r="C35" s="26" t="n"/>
      <c r="D35" s="26" t="n"/>
      <c r="E35" s="26" t="n"/>
      <c r="F35" s="31" t="n"/>
      <c r="G35" s="26" t="n"/>
      <c r="H35" s="26" t="n"/>
      <c r="I35" s="26" t="n"/>
      <c r="J35" s="26" t="n"/>
      <c r="K35" s="26" t="n"/>
      <c r="L35" s="31" t="n"/>
      <c r="M35" t="n">
        <v>5613.3</v>
      </c>
      <c r="N35" s="9" t="n"/>
      <c r="O35" s="9" t="n"/>
      <c r="P35" s="9" t="n"/>
      <c r="Q35" s="9" t="n"/>
      <c r="R35" s="31" t="n"/>
      <c r="S35" s="31" t="n"/>
      <c r="T35" s="31" t="n"/>
      <c r="U35" s="31" t="n"/>
      <c r="V35" s="31" t="n"/>
      <c r="W35" s="31" t="n"/>
      <c r="X35" s="31" t="n"/>
      <c r="Y35" s="31" t="n"/>
      <c r="Z35" s="31" t="n"/>
      <c r="AA35" s="31" t="n"/>
      <c r="AB35" s="31" t="n"/>
      <c r="AC35" s="31" t="n"/>
      <c r="AE35" s="31" t="n"/>
      <c r="AG35" s="13">
        <f>SUM(B35:AE35)</f>
        <v/>
      </c>
    </row>
    <row r="36" ht="15.75" customHeight="1">
      <c r="A36" s="8" t="inlineStr">
        <is>
          <t>NHS BIRMINGHAM &amp; S-607080-10017097</t>
        </is>
      </c>
      <c r="B36" s="26" t="n"/>
      <c r="C36" s="26" t="n"/>
      <c r="D36" s="31" t="n"/>
      <c r="E36" s="31" t="n"/>
      <c r="F36" s="31" t="n"/>
      <c r="G36" s="31" t="n"/>
      <c r="H36" s="31" t="n"/>
      <c r="I36" s="31" t="n"/>
      <c r="J36" s="31" t="n"/>
      <c r="K36" s="31" t="n">
        <v>6891.9</v>
      </c>
      <c r="L36" s="26" t="n"/>
      <c r="M36" s="9" t="n"/>
      <c r="N36" s="9" t="n"/>
      <c r="O36" s="9" t="n"/>
      <c r="P36" s="9" t="n"/>
      <c r="Q36" s="9" t="n"/>
      <c r="R36" s="31" t="n"/>
      <c r="S36" s="31" t="n"/>
      <c r="T36" s="31" t="n"/>
      <c r="U36" s="31" t="n"/>
      <c r="V36" s="31" t="n"/>
      <c r="W36" s="31" t="n"/>
      <c r="X36" s="31" t="n"/>
      <c r="Y36" s="31" t="n"/>
      <c r="Z36" s="31" t="n"/>
      <c r="AA36" s="31" t="n"/>
      <c r="AB36" s="31" t="n"/>
      <c r="AC36" s="31" t="n"/>
      <c r="AD36" s="31" t="n"/>
      <c r="AE36" s="31" t="n"/>
      <c r="AG36" s="13">
        <f>SUM(B36:AE36)</f>
        <v/>
      </c>
    </row>
    <row r="37" ht="15.75" customHeight="1">
      <c r="A37" s="8" t="inlineStr">
        <is>
          <t>NHS BLACK COUNTRY-607080-10015272</t>
        </is>
      </c>
      <c r="B37" s="26" t="n"/>
      <c r="C37" s="26" t="n"/>
      <c r="D37" s="26" t="n"/>
      <c r="E37" s="31" t="n">
        <v>4125</v>
      </c>
      <c r="F37" s="31" t="n"/>
      <c r="G37" s="26" t="inlineStr"/>
      <c r="H37" s="26" t="inlineStr"/>
      <c r="I37" s="31" t="inlineStr">
        <is>
          <t>.</t>
        </is>
      </c>
      <c r="J37" s="31" t="n"/>
      <c r="K37" s="26" t="n"/>
      <c r="L37" s="26" t="n"/>
      <c r="M37" s="9" t="n"/>
      <c r="N37" s="9" t="n"/>
      <c r="P37" s="31" t="n">
        <v>13625.17</v>
      </c>
      <c r="Q37" s="9" t="n"/>
      <c r="R37" s="31" t="n"/>
      <c r="S37" s="31" t="n"/>
      <c r="T37" s="31" t="n"/>
      <c r="U37" s="31" t="n"/>
      <c r="V37" s="31" t="n"/>
      <c r="W37" s="31" t="n"/>
      <c r="X37" s="31" t="n"/>
      <c r="Y37" s="31" t="n"/>
      <c r="Z37" s="31" t="n"/>
      <c r="AA37" s="31" t="n"/>
      <c r="AB37" s="31" t="n"/>
      <c r="AC37" s="31" t="n"/>
      <c r="AD37" s="31" t="n"/>
      <c r="AE37" s="31" t="n"/>
      <c r="AG37" s="13">
        <f>SUM(B37:AE37)</f>
        <v/>
      </c>
    </row>
    <row r="38" ht="15.75" customHeight="1">
      <c r="A38" s="14" t="inlineStr">
        <is>
          <t>SANDWELL MBC  BEN-601539-69624151</t>
        </is>
      </c>
      <c r="B38" s="26" t="n"/>
      <c r="C38" s="26" t="n"/>
      <c r="D38" s="26" t="n"/>
      <c r="E38" s="26" t="n"/>
      <c r="F38" s="26" t="n"/>
      <c r="G38" s="26" t="n"/>
      <c r="H38" s="31" t="n"/>
      <c r="I38" s="26" t="n"/>
      <c r="J38" s="26" t="n"/>
      <c r="K38" s="26" t="n"/>
      <c r="L38" s="26" t="n"/>
      <c r="M38" s="9" t="n"/>
      <c r="N38" s="9" t="n"/>
      <c r="O38" s="9" t="n"/>
      <c r="P38" s="26" t="n"/>
      <c r="Q38" s="9" t="n"/>
      <c r="R38" s="31" t="n"/>
      <c r="S38" s="31" t="n"/>
      <c r="T38" s="31" t="n"/>
      <c r="U38" s="31" t="n"/>
      <c r="V38" s="31" t="n"/>
      <c r="W38" s="31" t="n">
        <v>2660</v>
      </c>
      <c r="X38" s="31" t="n"/>
      <c r="Y38" s="31" t="n"/>
      <c r="Z38" s="31" t="n"/>
      <c r="AA38" s="31" t="n"/>
      <c r="AB38" s="31" t="n"/>
      <c r="AC38" s="31" t="n"/>
      <c r="AD38" s="31" t="n"/>
      <c r="AE38" s="31" t="n"/>
      <c r="AG38" s="13">
        <f>SUM(B38:AE38)</f>
        <v/>
      </c>
    </row>
    <row r="39" ht="15.75" customHeight="1">
      <c r="A39" s="14" t="inlineStr">
        <is>
          <t>SANDWELL MBC-601539-69624135</t>
        </is>
      </c>
      <c r="B39" s="26" t="n"/>
      <c r="C39" s="26" t="n"/>
      <c r="D39" s="26" t="n"/>
      <c r="E39" s="26" t="n"/>
      <c r="F39" s="26" t="n"/>
      <c r="G39" s="26" t="n"/>
      <c r="H39" s="26" t="n"/>
      <c r="I39" s="26" t="n">
        <v>121094.4</v>
      </c>
      <c r="J39" s="26" t="n"/>
      <c r="K39" s="26" t="n"/>
      <c r="L39" s="26" t="n"/>
      <c r="M39" s="9" t="n"/>
      <c r="N39" s="9" t="n"/>
      <c r="O39" s="9" t="n"/>
      <c r="P39" s="26" t="n"/>
      <c r="Q39" s="9" t="n"/>
      <c r="R39" s="31" t="n"/>
      <c r="S39" s="31" t="n"/>
      <c r="T39" s="31" t="n"/>
      <c r="U39" s="31" t="n"/>
      <c r="V39" s="31" t="n"/>
      <c r="W39" s="31" t="n">
        <v>121065.84</v>
      </c>
      <c r="X39" s="31" t="n"/>
      <c r="Y39" s="31" t="n"/>
      <c r="Z39" s="31" t="n"/>
      <c r="AA39" s="31" t="n"/>
      <c r="AB39" s="31" t="n"/>
      <c r="AC39" s="31" t="n"/>
      <c r="AD39" s="31" t="n"/>
      <c r="AE39" s="31" t="n"/>
      <c r="AG39" s="13">
        <f>SUM(B39:AE39)</f>
        <v/>
      </c>
    </row>
    <row r="40" ht="15.75" customHeight="1">
      <c r="A40" s="15" t="inlineStr">
        <is>
          <t>SOLIHULL MBC EXP.-200771-00561525</t>
        </is>
      </c>
      <c r="B40" s="26" t="n"/>
      <c r="C40" s="26" t="n"/>
      <c r="D40" s="26" t="n"/>
      <c r="E40" s="26" t="n"/>
      <c r="F40" s="26" t="n"/>
      <c r="G40" s="26" t="n"/>
      <c r="H40" s="26" t="n"/>
      <c r="I40" s="26" t="n"/>
      <c r="J40" s="26" t="n"/>
      <c r="K40" s="26" t="n"/>
      <c r="L40" s="26" t="n"/>
      <c r="M40" s="9" t="n"/>
      <c r="N40" s="9" t="n"/>
      <c r="O40" s="9" t="n"/>
      <c r="P40" s="31" t="n">
        <v>32010.44</v>
      </c>
      <c r="Q40" s="9" t="n"/>
      <c r="R40" s="31" t="n"/>
      <c r="S40" s="31" t="n"/>
      <c r="T40" s="31" t="n"/>
      <c r="U40" s="31" t="n"/>
      <c r="V40" s="31" t="n"/>
      <c r="W40" s="31" t="n"/>
      <c r="X40" s="31" t="n"/>
      <c r="Y40" s="31" t="n"/>
      <c r="Z40" s="31" t="n"/>
      <c r="AA40" s="31" t="n"/>
      <c r="AB40" s="31" t="n"/>
      <c r="AC40" s="31" t="n"/>
      <c r="AD40" s="31" t="n"/>
      <c r="AE40" s="31" t="n"/>
      <c r="AG40" s="13">
        <f>SUM(B40:AE40)</f>
        <v/>
      </c>
    </row>
    <row r="41" ht="15.75" customHeight="1">
      <c r="A41" s="15" t="inlineStr">
        <is>
          <t>WALSALL MBC BARC-209073-10731692</t>
        </is>
      </c>
      <c r="B41" s="26" t="n"/>
      <c r="C41" s="26" t="n">
        <v>202118.63</v>
      </c>
      <c r="D41" s="26" t="n"/>
      <c r="E41" s="26" t="n"/>
      <c r="F41" s="26" t="n"/>
      <c r="G41" s="31" t="n"/>
      <c r="H41" s="26" t="n"/>
      <c r="I41" s="26" t="n"/>
      <c r="J41" s="26" t="n"/>
      <c r="K41" s="26" t="n"/>
      <c r="L41" s="26" t="n"/>
      <c r="M41" s="9" t="n"/>
      <c r="N41" s="9" t="n"/>
      <c r="O41" s="9" t="n"/>
      <c r="P41" s="26" t="n"/>
      <c r="Q41" s="9" t="n"/>
      <c r="R41" s="31" t="n"/>
      <c r="S41" s="31" t="n"/>
      <c r="T41" s="31" t="n"/>
      <c r="U41" s="31" t="n"/>
      <c r="V41" s="31" t="n"/>
      <c r="W41" s="31" t="n"/>
      <c r="X41" s="31" t="n"/>
      <c r="Y41" s="31" t="n"/>
      <c r="Z41" s="31" t="n"/>
      <c r="AA41" s="31" t="n"/>
      <c r="AB41" s="31" t="n"/>
      <c r="AC41" s="31" t="n"/>
      <c r="AD41" s="31" t="n"/>
      <c r="AE41" s="31" t="n">
        <v>190170.72</v>
      </c>
      <c r="AG41" s="13">
        <f>SUM(B41:AE41)</f>
        <v/>
      </c>
    </row>
    <row r="42" ht="15.75" customHeight="1">
      <c r="A42" s="15" t="inlineStr">
        <is>
          <t>WOLVERHAMPTON CC-560069-44470320</t>
        </is>
      </c>
      <c r="B42" s="26" t="n"/>
      <c r="C42" s="26" t="n"/>
      <c r="D42" s="26" t="n"/>
      <c r="E42" s="26">
        <f>109664.72+2710.4</f>
        <v/>
      </c>
      <c r="F42" s="26" t="n"/>
      <c r="G42" s="26" t="n"/>
      <c r="H42" s="26" t="n"/>
      <c r="I42" s="26" t="n"/>
      <c r="J42" s="26" t="n">
        <v>5111.04</v>
      </c>
      <c r="K42" s="26" t="n"/>
      <c r="L42" s="16">
        <f>124397.06-L31</f>
        <v/>
      </c>
      <c r="M42" s="16" t="n">
        <v>8015.04</v>
      </c>
      <c r="N42" s="26" t="n"/>
      <c r="O42" s="26" t="n"/>
      <c r="P42" s="31" t="n"/>
      <c r="Q42" s="9" t="n"/>
      <c r="R42" s="31" t="n"/>
      <c r="S42" s="31" t="n">
        <v>117288.96</v>
      </c>
      <c r="T42" s="31" t="n"/>
      <c r="U42" s="31" t="n"/>
      <c r="V42" s="31" t="n"/>
      <c r="W42" s="31" t="n">
        <v>11822.12</v>
      </c>
      <c r="X42" s="31" t="n"/>
      <c r="Y42" s="31" t="n"/>
      <c r="Z42" s="31">
        <f>124106.66-Z31</f>
        <v/>
      </c>
      <c r="AA42" s="31" t="n"/>
      <c r="AB42" s="31" t="n"/>
      <c r="AC42" s="31" t="n"/>
      <c r="AD42" s="31" t="n"/>
      <c r="AE42" s="31" t="n"/>
      <c r="AF42" s="31" t="n"/>
      <c r="AG42" s="13">
        <f>SUM(B42:AF42)</f>
        <v/>
      </c>
    </row>
    <row r="43" ht="15.75" customHeight="1">
      <c r="A43" s="15" t="inlineStr">
        <is>
          <t>Portsmouth</t>
        </is>
      </c>
      <c r="B43" s="26" t="n"/>
      <c r="C43" s="26" t="n">
        <v>5247.86</v>
      </c>
      <c r="D43" s="31" t="n"/>
      <c r="E43" s="26" t="n"/>
      <c r="F43" s="26" t="n"/>
      <c r="G43" s="26" t="n"/>
      <c r="H43" s="26" t="n"/>
      <c r="I43" s="26" t="n"/>
      <c r="J43" s="26" t="n"/>
      <c r="K43" s="26" t="n"/>
      <c r="L43" s="26" t="n"/>
      <c r="M43" s="26" t="n"/>
      <c r="N43" s="26" t="n"/>
      <c r="O43" s="26" t="n"/>
      <c r="P43" s="26" t="n"/>
      <c r="Q43" s="9" t="n"/>
      <c r="R43" s="31" t="n"/>
      <c r="S43" s="31" t="n"/>
      <c r="T43" s="31" t="n"/>
      <c r="U43" s="31" t="n"/>
      <c r="V43" s="31" t="n"/>
      <c r="W43" s="31" t="n"/>
      <c r="X43" s="31" t="n"/>
      <c r="Y43" s="31" t="n"/>
      <c r="Z43" s="31" t="n"/>
      <c r="AA43" s="31" t="n"/>
      <c r="AB43" s="31" t="n"/>
      <c r="AC43" s="31" t="n"/>
      <c r="AD43" s="31" t="n"/>
      <c r="AE43" s="31" t="n"/>
      <c r="AF43" s="31" t="n"/>
      <c r="AG43" s="13">
        <f>SUM(B43:AF43)</f>
        <v/>
      </c>
    </row>
    <row r="44" ht="15.75" customHeight="1">
      <c r="A44" s="15" t="inlineStr">
        <is>
          <t>HB SC</t>
        </is>
      </c>
      <c r="B44" s="16" t="n">
        <v>7206.429999999993</v>
      </c>
      <c r="C44" s="31" t="n">
        <v>1259.009999999996</v>
      </c>
      <c r="D44" s="16" t="n">
        <v>1134.01</v>
      </c>
      <c r="E44" s="16" t="n">
        <v>3261.869999999995</v>
      </c>
      <c r="F44" s="16" t="n">
        <v>2932.730000000001</v>
      </c>
      <c r="G44" s="16" t="n">
        <v>0</v>
      </c>
      <c r="H44" s="16" t="n">
        <v>200</v>
      </c>
      <c r="I44" s="16" t="n">
        <v>4257.26999999999</v>
      </c>
      <c r="J44" s="16" t="n">
        <v>3869.419999999999</v>
      </c>
      <c r="K44" s="16" t="n">
        <v>1818.539999999999</v>
      </c>
      <c r="L44" s="16" t="n">
        <v>2304.820000000007</v>
      </c>
      <c r="M44" s="16" t="n">
        <v>3044.389999999978</v>
      </c>
      <c r="N44" s="16" t="n">
        <v>200</v>
      </c>
      <c r="O44" s="16" t="n">
        <v>0</v>
      </c>
      <c r="P44" s="16" t="n">
        <v>7342.569999999994</v>
      </c>
      <c r="Q44" s="16" t="n">
        <v>2930.67</v>
      </c>
      <c r="R44" s="75" t="n">
        <v>5613</v>
      </c>
      <c r="S44" s="75" t="n">
        <v>9131.329999999987</v>
      </c>
      <c r="T44" s="75" t="n">
        <v>6153.5</v>
      </c>
      <c r="U44" s="75" t="n">
        <v>0</v>
      </c>
      <c r="V44" s="75" t="n">
        <v>455.12</v>
      </c>
      <c r="W44" s="75" t="n">
        <v>6317.250000000005</v>
      </c>
      <c r="X44" s="75" t="n">
        <v>4931.860000000001</v>
      </c>
      <c r="Y44" s="75" t="n">
        <v>1636.359999999999</v>
      </c>
      <c r="Z44" s="75" t="n">
        <v>4597.210000000006</v>
      </c>
      <c r="AA44" s="75" t="n">
        <v>3911.18</v>
      </c>
      <c r="AB44" s="75" t="n">
        <v>411.67</v>
      </c>
      <c r="AC44" s="75" t="n">
        <v>3799.84</v>
      </c>
      <c r="AD44" s="75" t="n">
        <v>5334.21</v>
      </c>
      <c r="AE44" t="n">
        <v>4532.509999999893</v>
      </c>
      <c r="AF44" s="75" t="n">
        <v>3813.340000000017</v>
      </c>
      <c r="AG44" s="13">
        <f>SUM(B44:AF44)</f>
        <v/>
      </c>
    </row>
    <row r="45" ht="16.5" customHeight="1" thickBot="1">
      <c r="A45" s="15" t="inlineStr">
        <is>
          <t>Total</t>
        </is>
      </c>
      <c r="B45">
        <f>SUM(B28:B44)</f>
        <v/>
      </c>
      <c r="C45">
        <f>SUM(C28:C44)</f>
        <v/>
      </c>
      <c r="D45">
        <f>SUM(D28:D44)</f>
        <v/>
      </c>
      <c r="E45">
        <f>SUM(E28:E44)</f>
        <v/>
      </c>
      <c r="F45">
        <f>SUM(F28:F44)</f>
        <v/>
      </c>
      <c r="G45">
        <f>SUM(G28:G44)</f>
        <v/>
      </c>
      <c r="H45">
        <f>SUM(H28:H44)</f>
        <v/>
      </c>
      <c r="I45">
        <f>SUM(I28:I44)</f>
        <v/>
      </c>
      <c r="J45">
        <f>SUM(J28:J44)</f>
        <v/>
      </c>
      <c r="K45">
        <f>SUM(K28:K44)</f>
        <v/>
      </c>
      <c r="L45">
        <f>SUM(L28:L44)</f>
        <v/>
      </c>
      <c r="M45">
        <f>SUM(M28:M44)</f>
        <v/>
      </c>
      <c r="N45">
        <f>SUM(N28:N44)</f>
        <v/>
      </c>
      <c r="O45">
        <f>SUM(O28:O44)</f>
        <v/>
      </c>
      <c r="P45">
        <f>SUM(P28:P44)</f>
        <v/>
      </c>
      <c r="Q45">
        <f>SUM(Q28:Q44)</f>
        <v/>
      </c>
      <c r="R45">
        <f>SUM(R28:R44)</f>
        <v/>
      </c>
      <c r="S45">
        <f>SUM(S28:S44)</f>
        <v/>
      </c>
      <c r="T45">
        <f>SUM(T28:T44)</f>
        <v/>
      </c>
      <c r="U45">
        <f>SUM(U28:U44)</f>
        <v/>
      </c>
      <c r="V45">
        <f>SUM(V28:V44)</f>
        <v/>
      </c>
      <c r="W45">
        <f>SUM(W28:W44)</f>
        <v/>
      </c>
      <c r="X45">
        <f>SUM(X28:X44)</f>
        <v/>
      </c>
      <c r="Y45">
        <f>SUM(Y28:Y44)</f>
        <v/>
      </c>
      <c r="Z45">
        <f>SUM(Z28:Z44)</f>
        <v/>
      </c>
      <c r="AA45">
        <f>SUM(AA28:AA44)</f>
        <v/>
      </c>
      <c r="AB45">
        <f>SUM(AB28:AB44)</f>
        <v/>
      </c>
      <c r="AC45">
        <f>SUM(AC28:AC44)</f>
        <v/>
      </c>
      <c r="AD45">
        <f>SUM(AD28:AD44)</f>
        <v/>
      </c>
      <c r="AE45">
        <f>SUM(AE28:AE44)</f>
        <v/>
      </c>
      <c r="AF45">
        <f>SUM(AF28:AF44)</f>
        <v/>
      </c>
      <c r="AG45" s="252">
        <f>SUM(AG28:AG44)</f>
        <v/>
      </c>
    </row>
    <row r="46" ht="15.75" customHeight="1" thickTop="1">
      <c r="A46" s="15" t="inlineStr">
        <is>
          <t>Ruunning Total</t>
        </is>
      </c>
      <c r="B46">
        <f>B45</f>
        <v/>
      </c>
      <c r="C46">
        <f>B46+C45</f>
        <v/>
      </c>
      <c r="D46">
        <f>C46+D45</f>
        <v/>
      </c>
      <c r="E46">
        <f>D46+E45</f>
        <v/>
      </c>
      <c r="F46">
        <f>E46+F45</f>
        <v/>
      </c>
      <c r="G46">
        <f>F46+G45</f>
        <v/>
      </c>
      <c r="H46">
        <f>G46+H45</f>
        <v/>
      </c>
      <c r="I46">
        <f>H46+I45</f>
        <v/>
      </c>
      <c r="J46">
        <f>I46+J45</f>
        <v/>
      </c>
      <c r="K46">
        <f>J46+K45</f>
        <v/>
      </c>
      <c r="L46">
        <f>K46+L45</f>
        <v/>
      </c>
      <c r="M46">
        <f>L46+M45</f>
        <v/>
      </c>
      <c r="N46">
        <f>M46+N45</f>
        <v/>
      </c>
      <c r="O46">
        <f>N46+O45</f>
        <v/>
      </c>
      <c r="P46">
        <f>O46+P45</f>
        <v/>
      </c>
      <c r="Q46">
        <f>P46+Q45</f>
        <v/>
      </c>
      <c r="R46">
        <f>Q46+R45</f>
        <v/>
      </c>
      <c r="S46">
        <f>R46+S45</f>
        <v/>
      </c>
      <c r="T46">
        <f>S46+T45</f>
        <v/>
      </c>
      <c r="U46">
        <f>T46+U45</f>
        <v/>
      </c>
      <c r="V46">
        <f>U46+V45</f>
        <v/>
      </c>
      <c r="W46">
        <f>V46+W45</f>
        <v/>
      </c>
      <c r="X46">
        <f>W46+X45</f>
        <v/>
      </c>
      <c r="Y46">
        <f>X46+Y45</f>
        <v/>
      </c>
      <c r="Z46">
        <f>Y46+Z45</f>
        <v/>
      </c>
      <c r="AA46">
        <f>Z46+AA45</f>
        <v/>
      </c>
      <c r="AB46">
        <f>AA46+AB45</f>
        <v/>
      </c>
      <c r="AC46">
        <f>AB46+AC45</f>
        <v/>
      </c>
      <c r="AD46">
        <f>AC46+AD45</f>
        <v/>
      </c>
      <c r="AE46">
        <f>AD46+AE45</f>
        <v/>
      </c>
      <c r="AF46">
        <f>AE46+AF45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2:AG64"/>
  <sheetViews>
    <sheetView zoomScale="70" zoomScaleNormal="70" workbookViewId="0">
      <pane xSplit="1" topLeftCell="K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1.140625" bestFit="1" customWidth="1" min="2" max="2"/>
    <col width="12.5703125" bestFit="1" customWidth="1" min="3" max="3"/>
    <col width="13.140625" bestFit="1" customWidth="1" min="4" max="4"/>
    <col width="12.5703125" bestFit="1" customWidth="1" min="5" max="5"/>
    <col width="9.85546875" bestFit="1" customWidth="1" min="6" max="6"/>
    <col width="10.7109375" bestFit="1" customWidth="1" min="7" max="7"/>
    <col width="13.140625" bestFit="1" customWidth="1" min="8" max="8"/>
    <col width="11.140625" bestFit="1" customWidth="1" min="9" max="10"/>
    <col width="13.140625" bestFit="1" customWidth="1" min="11" max="11"/>
    <col width="12.5703125" bestFit="1" customWidth="1" min="12" max="12"/>
    <col width="11.140625" bestFit="1" customWidth="1" min="13" max="13"/>
    <col width="10.7109375" bestFit="1" customWidth="1" min="14" max="14"/>
    <col width="13.140625" bestFit="1" customWidth="1" min="15" max="15"/>
    <col width="11.140625" bestFit="1" customWidth="1" min="16" max="16"/>
    <col width="10.140625" bestFit="1" customWidth="1" min="17" max="17"/>
    <col width="13.140625" bestFit="1" customWidth="1" min="18" max="18"/>
    <col width="12.5703125" bestFit="1" customWidth="1" min="19" max="20"/>
    <col width="10.7109375" bestFit="1" customWidth="1" min="21" max="21"/>
    <col width="13.140625" bestFit="1" customWidth="1" min="22" max="22"/>
    <col width="12.5703125" bestFit="1" customWidth="1" min="23" max="23"/>
    <col width="10.140625" bestFit="1" customWidth="1" min="24" max="24"/>
    <col width="13.140625" bestFit="1" customWidth="1" min="25" max="25"/>
    <col width="11.140625" bestFit="1" customWidth="1" min="26" max="26"/>
    <col width="9.85546875" bestFit="1" customWidth="1" min="27" max="27"/>
    <col width="10.7109375" bestFit="1" customWidth="1" min="28" max="28"/>
    <col width="13.140625" bestFit="1" customWidth="1" min="29" max="29"/>
    <col width="13.5703125" bestFit="1" customWidth="1" min="30" max="31"/>
    <col width="13.140625" bestFit="1" customWidth="1" min="32" max="32"/>
    <col width="15.42578125" bestFit="1" customWidth="1" min="33" max="33"/>
  </cols>
  <sheetData>
    <row r="2">
      <c r="A2" s="1" t="n"/>
      <c r="B2" s="2" t="inlineStr">
        <is>
          <t>August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1" t="n"/>
      <c r="AF2" s="1" t="n"/>
      <c r="AG2" s="1" t="n"/>
    </row>
    <row r="3">
      <c r="A3" s="1" t="n"/>
      <c r="B3" s="2" t="inlineStr">
        <is>
          <t>Thursday</t>
        </is>
      </c>
      <c r="C3" s="2" t="inlineStr">
        <is>
          <t>Friday</t>
        </is>
      </c>
      <c r="D3" s="2" t="inlineStr">
        <is>
          <t>Saturday</t>
        </is>
      </c>
      <c r="E3" s="2" t="inlineStr">
        <is>
          <t>Sunday</t>
        </is>
      </c>
      <c r="F3" s="2" t="inlineStr">
        <is>
          <t>Monday</t>
        </is>
      </c>
      <c r="G3" s="2" t="inlineStr">
        <is>
          <t>Tuesday</t>
        </is>
      </c>
      <c r="H3" s="2" t="inlineStr">
        <is>
          <t>Wednesday</t>
        </is>
      </c>
      <c r="I3" s="2" t="inlineStr">
        <is>
          <t>Thursday</t>
        </is>
      </c>
      <c r="J3" s="2" t="inlineStr">
        <is>
          <t>Friday</t>
        </is>
      </c>
      <c r="K3" s="2" t="inlineStr">
        <is>
          <t>Saturday</t>
        </is>
      </c>
      <c r="L3" s="2" t="inlineStr">
        <is>
          <t>Sunday</t>
        </is>
      </c>
      <c r="M3" s="2" t="inlineStr">
        <is>
          <t>Monday</t>
        </is>
      </c>
      <c r="N3" s="2" t="inlineStr">
        <is>
          <t>Tuesday</t>
        </is>
      </c>
      <c r="O3" s="2" t="inlineStr">
        <is>
          <t>Wednesday</t>
        </is>
      </c>
      <c r="P3" s="2" t="inlineStr">
        <is>
          <t>Thursday</t>
        </is>
      </c>
      <c r="Q3" s="2" t="inlineStr">
        <is>
          <t>Friday</t>
        </is>
      </c>
      <c r="R3" s="2" t="inlineStr">
        <is>
          <t>Saturday</t>
        </is>
      </c>
      <c r="S3" s="2" t="inlineStr">
        <is>
          <t>Sunday</t>
        </is>
      </c>
      <c r="T3" s="2" t="inlineStr">
        <is>
          <t>Monday</t>
        </is>
      </c>
      <c r="U3" s="2" t="inlineStr">
        <is>
          <t>Tuesday</t>
        </is>
      </c>
      <c r="V3" s="2" t="inlineStr">
        <is>
          <t>Wednesday</t>
        </is>
      </c>
      <c r="W3" s="2" t="inlineStr">
        <is>
          <t>Thursday</t>
        </is>
      </c>
      <c r="X3" s="2" t="inlineStr">
        <is>
          <t>Friday</t>
        </is>
      </c>
      <c r="Y3" s="2" t="inlineStr">
        <is>
          <t>Saturday</t>
        </is>
      </c>
      <c r="Z3" s="2" t="inlineStr">
        <is>
          <t>Sunday</t>
        </is>
      </c>
      <c r="AA3" s="2" t="inlineStr">
        <is>
          <t>Monday</t>
        </is>
      </c>
      <c r="AB3" s="2" t="inlineStr">
        <is>
          <t>Tuesday</t>
        </is>
      </c>
      <c r="AC3" s="2" t="inlineStr">
        <is>
          <t>Wednesday</t>
        </is>
      </c>
      <c r="AD3" s="2" t="inlineStr">
        <is>
          <t>Thursday</t>
        </is>
      </c>
      <c r="AE3" s="2" t="inlineStr">
        <is>
          <t>Friday</t>
        </is>
      </c>
      <c r="AF3" s="2" t="inlineStr">
        <is>
          <t>Saturday</t>
        </is>
      </c>
      <c r="AG3" s="2" t="inlineStr">
        <is>
          <t>Total</t>
        </is>
      </c>
    </row>
    <row r="4">
      <c r="A4" s="1" t="n"/>
      <c r="B4" s="7" t="inlineStr">
        <is>
          <t>1st</t>
        </is>
      </c>
      <c r="C4" s="7" t="inlineStr">
        <is>
          <t>2nd</t>
        </is>
      </c>
      <c r="D4" s="7" t="inlineStr">
        <is>
          <t>3rd</t>
        </is>
      </c>
      <c r="E4" s="7" t="inlineStr">
        <is>
          <t>4th</t>
        </is>
      </c>
      <c r="F4" s="3" t="inlineStr">
        <is>
          <t>5th</t>
        </is>
      </c>
      <c r="G4" s="3" t="inlineStr">
        <is>
          <t>6th</t>
        </is>
      </c>
      <c r="H4" s="3" t="inlineStr">
        <is>
          <t>7th</t>
        </is>
      </c>
      <c r="I4" s="3" t="inlineStr">
        <is>
          <t>8th</t>
        </is>
      </c>
      <c r="J4" s="3" t="inlineStr">
        <is>
          <t>9th</t>
        </is>
      </c>
      <c r="K4" s="3" t="inlineStr">
        <is>
          <t>10th</t>
        </is>
      </c>
      <c r="L4" s="3" t="inlineStr">
        <is>
          <t>11th</t>
        </is>
      </c>
      <c r="M4" s="4" t="inlineStr">
        <is>
          <t>12th</t>
        </is>
      </c>
      <c r="N4" s="4" t="inlineStr">
        <is>
          <t>13th</t>
        </is>
      </c>
      <c r="O4" s="4" t="inlineStr">
        <is>
          <t>14th</t>
        </is>
      </c>
      <c r="P4" s="4" t="inlineStr">
        <is>
          <t>15th</t>
        </is>
      </c>
      <c r="Q4" s="4" t="inlineStr">
        <is>
          <t>16th</t>
        </is>
      </c>
      <c r="R4" s="4" t="inlineStr">
        <is>
          <t>17th</t>
        </is>
      </c>
      <c r="S4" s="4" t="inlineStr">
        <is>
          <t>18th</t>
        </is>
      </c>
      <c r="T4" s="5" t="inlineStr">
        <is>
          <t>19th</t>
        </is>
      </c>
      <c r="U4" s="5" t="inlineStr">
        <is>
          <t>20th</t>
        </is>
      </c>
      <c r="V4" s="5" t="inlineStr">
        <is>
          <t>21st</t>
        </is>
      </c>
      <c r="W4" s="5" t="inlineStr">
        <is>
          <t>22nd</t>
        </is>
      </c>
      <c r="X4" s="5" t="inlineStr">
        <is>
          <t>23rd</t>
        </is>
      </c>
      <c r="Y4" s="5" t="inlineStr">
        <is>
          <t>24th</t>
        </is>
      </c>
      <c r="Z4" s="5" t="inlineStr">
        <is>
          <t>25th</t>
        </is>
      </c>
      <c r="AA4" s="6" t="inlineStr">
        <is>
          <t>26th</t>
        </is>
      </c>
      <c r="AB4" s="6" t="inlineStr">
        <is>
          <t>27th</t>
        </is>
      </c>
      <c r="AC4" s="6" t="inlineStr">
        <is>
          <t>28th</t>
        </is>
      </c>
      <c r="AD4" s="6" t="inlineStr">
        <is>
          <t>29th</t>
        </is>
      </c>
      <c r="AE4" s="6" t="inlineStr">
        <is>
          <t>30th</t>
        </is>
      </c>
      <c r="AF4" s="6" t="inlineStr">
        <is>
          <t>31st</t>
        </is>
      </c>
      <c r="AG4" s="1" t="n"/>
    </row>
    <row r="5" ht="18.75" customHeight="1">
      <c r="A5" s="8" t="inlineStr">
        <is>
          <t>B-HAM CITY COUNCIL-200790-70489166</t>
        </is>
      </c>
      <c r="B5" s="9" t="n"/>
      <c r="C5" s="12" t="n"/>
      <c r="D5" s="9" t="n"/>
      <c r="E5" s="12" t="n"/>
      <c r="F5" s="12" t="n"/>
      <c r="G5" s="12" t="n"/>
      <c r="H5" s="12" t="n"/>
      <c r="I5" s="12" t="n"/>
      <c r="J5" s="12" t="n">
        <v>62841.32</v>
      </c>
      <c r="K5" s="9" t="n"/>
      <c r="L5" s="12" t="n"/>
      <c r="M5" s="12" t="n"/>
      <c r="N5" s="12" t="n"/>
      <c r="O5" s="12" t="n"/>
      <c r="P5" s="12" t="n"/>
      <c r="Q5" s="12" t="n"/>
      <c r="R5" s="12" t="n"/>
      <c r="S5" s="12" t="n"/>
      <c r="T5" s="12" t="n">
        <v>6526.88</v>
      </c>
      <c r="U5" s="12" t="n"/>
      <c r="V5" s="12" t="n">
        <v>4856.67</v>
      </c>
      <c r="W5" s="12" t="n"/>
      <c r="X5" s="10" t="n"/>
      <c r="Y5" s="11" t="n"/>
      <c r="Z5" s="9" t="n"/>
      <c r="AA5" s="79" t="n"/>
      <c r="AB5" s="9" t="n"/>
      <c r="AC5" s="12" t="n"/>
      <c r="AD5" s="9" t="n"/>
      <c r="AE5" s="9" t="n"/>
      <c r="AF5" s="9" t="n"/>
      <c r="AG5" s="13">
        <f>SUM(B5:AE5)</f>
        <v/>
      </c>
    </row>
    <row r="6" ht="15.75" customHeight="1">
      <c r="A6" s="8" t="inlineStr">
        <is>
          <t>Buckingham</t>
        </is>
      </c>
      <c r="B6" s="9" t="n"/>
      <c r="C6" s="12" t="n">
        <v>5134.44</v>
      </c>
      <c r="D6" s="9" t="n"/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12" t="n"/>
      <c r="P6" s="12" t="n"/>
      <c r="Q6" s="12" t="n"/>
      <c r="R6" s="12" t="n"/>
      <c r="S6" s="12" t="n"/>
      <c r="T6" s="12" t="n"/>
      <c r="U6" s="12" t="n"/>
      <c r="V6" s="12" t="n"/>
      <c r="W6" s="9" t="n"/>
      <c r="X6" s="9" t="n"/>
      <c r="Y6" s="9" t="n"/>
      <c r="Z6" s="9" t="n"/>
      <c r="AA6" s="80" t="n"/>
      <c r="AB6" s="9" t="n"/>
      <c r="AC6" s="9" t="n"/>
      <c r="AD6" s="9" t="n"/>
      <c r="AE6" s="12" t="n"/>
      <c r="AF6" s="9" t="n"/>
      <c r="AG6" s="13">
        <f>SUM(B6:AE6)</f>
        <v/>
      </c>
    </row>
    <row r="7" ht="15.75" customHeight="1">
      <c r="A7" s="8" t="inlineStr">
        <is>
          <t>Sandwell respite est</t>
        </is>
      </c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80" t="n"/>
      <c r="AB7" s="9" t="n"/>
      <c r="AC7" s="9" t="n"/>
      <c r="AD7" s="9" t="n"/>
      <c r="AE7" s="12" t="n"/>
      <c r="AF7" s="9" t="n">
        <v>5000</v>
      </c>
      <c r="AG7" s="13">
        <f>SUM(B7:AF7)</f>
        <v/>
      </c>
    </row>
    <row r="8" ht="15.75" customHeight="1">
      <c r="A8" s="8" t="inlineStr">
        <is>
          <t xml:space="preserve">Wolverhampton respite est </t>
        </is>
      </c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2" t="n"/>
      <c r="S8" s="9" t="n"/>
      <c r="T8" s="9" t="n"/>
      <c r="U8" s="9" t="n"/>
      <c r="V8" s="9" t="n"/>
      <c r="W8" s="9" t="n"/>
      <c r="X8" s="9" t="n"/>
      <c r="Y8" s="9" t="n"/>
      <c r="Z8" s="9" t="n"/>
      <c r="AA8" s="80" t="n"/>
      <c r="AB8" s="9" t="n"/>
      <c r="AC8" s="9" t="n"/>
      <c r="AD8" s="9" t="n"/>
      <c r="AE8" s="12" t="n"/>
      <c r="AF8" s="9" t="n">
        <v>35000</v>
      </c>
      <c r="AG8" s="13">
        <f>SUM(B8:AF8)</f>
        <v/>
      </c>
    </row>
    <row r="9" ht="15.75" customHeight="1">
      <c r="A9" s="8" t="inlineStr">
        <is>
          <t>Walsall Respite</t>
        </is>
      </c>
      <c r="B9" s="9" t="n"/>
      <c r="C9" s="9" t="n"/>
      <c r="D9" s="9" t="n"/>
      <c r="E9" s="9" t="n"/>
      <c r="F9" s="9" t="n"/>
      <c r="G9" s="12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2" t="n"/>
      <c r="S9" s="9" t="n"/>
      <c r="T9" s="9" t="n"/>
      <c r="U9" s="9" t="n"/>
      <c r="V9" s="9" t="n"/>
      <c r="W9" s="9" t="n"/>
      <c r="X9" s="9" t="n"/>
      <c r="Y9" s="9" t="n"/>
      <c r="Z9" s="9" t="n"/>
      <c r="AA9" s="80" t="n"/>
      <c r="AB9" s="9" t="n"/>
      <c r="AC9" s="9" t="n"/>
      <c r="AD9" s="9" t="n"/>
      <c r="AE9" s="12" t="n"/>
      <c r="AF9" s="9" t="n">
        <v>15000</v>
      </c>
      <c r="AG9" s="13">
        <f>SUM(B9:AF9)</f>
        <v/>
      </c>
    </row>
    <row r="10" ht="18.75" customHeight="1">
      <c r="A10" s="8" t="inlineStr">
        <is>
          <t>Ideal for All Ltd</t>
        </is>
      </c>
      <c r="B10" s="12" t="n"/>
      <c r="C10" s="12" t="n"/>
      <c r="D10" s="9" t="n"/>
      <c r="E10" s="12" t="n"/>
      <c r="F10" s="12" t="n"/>
      <c r="G10" s="12" t="n"/>
      <c r="H10" s="12" t="n"/>
      <c r="I10" s="12" t="n"/>
      <c r="J10" s="12" t="n"/>
      <c r="K10" s="9" t="n"/>
      <c r="L10" s="9" t="n"/>
      <c r="M10" s="12" t="n"/>
      <c r="N10" s="12" t="n"/>
      <c r="O10" s="12" t="n"/>
      <c r="P10" s="12" t="n"/>
      <c r="Q10" s="12" t="n">
        <v>3496</v>
      </c>
      <c r="R10" s="9" t="n"/>
      <c r="S10" s="9" t="n"/>
      <c r="T10" s="11" t="n"/>
      <c r="U10" s="9" t="n"/>
      <c r="V10" s="9" t="n"/>
      <c r="W10" s="9" t="n"/>
      <c r="X10" s="12" t="n"/>
      <c r="Y10" s="9" t="n"/>
      <c r="Z10" s="9" t="n"/>
      <c r="AA10" s="80" t="n"/>
      <c r="AB10" s="9" t="n"/>
      <c r="AC10" s="9" t="n"/>
      <c r="AD10" s="9" t="n"/>
      <c r="AE10" s="9" t="n"/>
      <c r="AF10" s="9" t="n"/>
      <c r="AG10" s="13">
        <f>SUM(B10:AE10)</f>
        <v/>
      </c>
    </row>
    <row r="11" ht="15.75" customHeight="1">
      <c r="A11" s="8" t="inlineStr">
        <is>
          <t>KIRKLEES COUNCIL-204312-63046958</t>
        </is>
      </c>
      <c r="B11" s="9" t="n"/>
      <c r="C11" s="12" t="n"/>
      <c r="D11" s="9" t="n"/>
      <c r="E11" s="9" t="n"/>
      <c r="F11" s="12" t="n"/>
      <c r="G11" s="9" t="n"/>
      <c r="H11" s="12" t="n"/>
      <c r="I11" s="9" t="n"/>
      <c r="J11" s="9" t="n"/>
      <c r="K11" s="9" t="n"/>
      <c r="L11" s="9" t="n"/>
      <c r="M11" s="12" t="n"/>
      <c r="N11" s="12" t="n"/>
      <c r="O11" s="12" t="n"/>
      <c r="P11" s="12" t="n"/>
      <c r="Q11" s="12" t="n"/>
      <c r="R11" s="9" t="n"/>
      <c r="S11" s="9" t="n"/>
      <c r="T11" s="9" t="n"/>
      <c r="U11" s="9" t="n"/>
      <c r="V11" s="12" t="n"/>
      <c r="W11" s="9" t="n"/>
      <c r="X11" s="9" t="n"/>
      <c r="Y11" s="9" t="n"/>
      <c r="Z11" s="9" t="n"/>
      <c r="AA11" s="80" t="n"/>
      <c r="AB11" s="12" t="n"/>
      <c r="AC11" s="9" t="n"/>
      <c r="AD11" s="9" t="n"/>
      <c r="AE11" s="12" t="n"/>
      <c r="AF11" s="12" t="n"/>
      <c r="AG11" s="13">
        <f>SUM(B11:AE11)</f>
        <v/>
      </c>
    </row>
    <row r="12" ht="15.75" customHeight="1">
      <c r="A12" s="8" t="inlineStr">
        <is>
          <t>LBH PAYMENTS BACS-602210-72430192</t>
        </is>
      </c>
      <c r="B12" s="9" t="n"/>
      <c r="C12" s="12" t="n"/>
      <c r="D12" s="9" t="n"/>
      <c r="E12" s="9" t="n"/>
      <c r="F12" s="9" t="n"/>
      <c r="G12" s="9" t="n"/>
      <c r="H12" s="9" t="n"/>
      <c r="I12" s="12" t="n"/>
      <c r="J12" s="12" t="n">
        <v>5613.3</v>
      </c>
      <c r="K12" s="9" t="n"/>
      <c r="L12" s="9" t="n"/>
      <c r="M12" s="9" t="n"/>
      <c r="N12" s="9" t="n"/>
      <c r="O12" s="12" t="n"/>
      <c r="P12" s="12" t="n"/>
      <c r="Q12" s="12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80" t="n"/>
      <c r="AB12" s="9" t="n"/>
      <c r="AC12" s="9" t="n"/>
      <c r="AD12" s="9" t="n"/>
      <c r="AE12" s="9" t="n"/>
      <c r="AF12" s="9" t="n"/>
      <c r="AG12" s="13">
        <f>SUM(B12:AE12)</f>
        <v/>
      </c>
    </row>
    <row r="13" ht="15.75" customHeight="1">
      <c r="A13" s="8" t="inlineStr">
        <is>
          <t>NHS BIRMINGHAM &amp; S-607080-10017097</t>
        </is>
      </c>
      <c r="B13" s="12" t="n"/>
      <c r="C13" s="12" t="n"/>
      <c r="D13" s="12" t="n"/>
      <c r="E13" s="12" t="n"/>
      <c r="F13" s="12" t="n"/>
      <c r="G13" s="12" t="n"/>
      <c r="H13" s="12" t="n">
        <v>6891.9</v>
      </c>
      <c r="I13" s="9" t="n"/>
      <c r="J13" s="9" t="n"/>
      <c r="K13" s="9" t="n"/>
      <c r="L13" s="9" t="n"/>
      <c r="M13" s="9" t="n"/>
      <c r="N13" s="9" t="n"/>
      <c r="O13" s="12" t="n"/>
      <c r="P13" s="12" t="n"/>
      <c r="Q13" s="12" t="n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80" t="n"/>
      <c r="AB13" s="9" t="n"/>
      <c r="AC13" s="9" t="n"/>
      <c r="AD13" s="9" t="n"/>
      <c r="AE13" s="9" t="n"/>
      <c r="AF13" s="9" t="n"/>
      <c r="AG13" s="13">
        <f>SUM(B13:AE13)</f>
        <v/>
      </c>
    </row>
    <row r="14" ht="15.75" customHeight="1">
      <c r="A14" s="8" t="inlineStr">
        <is>
          <t>NHS BLACK COUNTRY-607080-10015272</t>
        </is>
      </c>
      <c r="B14" s="12" t="n">
        <v>4125</v>
      </c>
      <c r="C14" s="12" t="n"/>
      <c r="D14" s="9" t="inlineStr"/>
      <c r="E14" s="9" t="inlineStr"/>
      <c r="F14" s="12" t="inlineStr">
        <is>
          <t>.</t>
        </is>
      </c>
      <c r="G14" s="12" t="n"/>
      <c r="H14" s="9" t="n"/>
      <c r="I14" s="9" t="n"/>
      <c r="J14" s="9" t="n"/>
      <c r="K14" s="9" t="n"/>
      <c r="L14" s="12" t="n"/>
      <c r="M14" s="12" t="n">
        <v>13625.17</v>
      </c>
      <c r="N14" s="9" t="n"/>
      <c r="O14" s="12" t="n"/>
      <c r="P14" s="12" t="n"/>
      <c r="Q14" s="12" t="n"/>
      <c r="R14" s="12" t="n"/>
      <c r="S14" s="9" t="n"/>
      <c r="T14" s="12" t="n"/>
      <c r="U14" s="12" t="n"/>
      <c r="V14" s="12" t="n"/>
      <c r="W14" s="9" t="n"/>
      <c r="X14" s="9" t="n"/>
      <c r="Y14" s="9" t="n"/>
      <c r="Z14" s="12" t="n"/>
      <c r="AA14" s="80" t="n"/>
      <c r="AB14" s="12" t="n"/>
      <c r="AC14" s="12" t="n"/>
      <c r="AD14" s="9" t="n"/>
      <c r="AE14" s="9" t="n"/>
      <c r="AF14" s="9" t="n"/>
      <c r="AG14" s="13">
        <f>SUM(B14:AE14)</f>
        <v/>
      </c>
    </row>
    <row r="15" ht="15.75" customHeight="1">
      <c r="A15" s="14" t="inlineStr">
        <is>
          <t>SANDWELL MBC  BEN-601539-69624151</t>
        </is>
      </c>
      <c r="B15" s="9" t="n"/>
      <c r="C15" s="9" t="n"/>
      <c r="D15" s="9" t="n"/>
      <c r="E15" s="9" t="n"/>
      <c r="F15" s="9" t="n"/>
      <c r="G15" s="9" t="n"/>
      <c r="H15" s="12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12" t="n"/>
      <c r="U15" s="9" t="n"/>
      <c r="V15" s="12" t="n">
        <v>2660</v>
      </c>
      <c r="W15" s="9" t="n"/>
      <c r="X15" s="9" t="n"/>
      <c r="Y15" s="12" t="n"/>
      <c r="Z15" s="9" t="n"/>
      <c r="AA15" s="80" t="n"/>
      <c r="AB15" s="9" t="n"/>
      <c r="AC15" s="9" t="n"/>
      <c r="AD15" s="9" t="n"/>
      <c r="AE15" s="9" t="n"/>
      <c r="AF15" s="9" t="n"/>
      <c r="AG15" s="13">
        <f>SUM(B15:AE15)</f>
        <v/>
      </c>
    </row>
    <row r="16" ht="15.75" customHeight="1">
      <c r="A16" s="14" t="inlineStr">
        <is>
          <t>SANDWELL MBC-601539-69624135</t>
        </is>
      </c>
      <c r="B16" s="9" t="n"/>
      <c r="C16" s="9" t="n">
        <v>121094.4</v>
      </c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>
        <v>121094.4</v>
      </c>
      <c r="Q16" s="9" t="n"/>
      <c r="R16" s="9" t="n"/>
      <c r="S16" s="9" t="n"/>
      <c r="T16" s="9" t="n"/>
      <c r="U16" s="9" t="n"/>
      <c r="V16" s="9" t="n"/>
      <c r="W16" s="9" t="n"/>
      <c r="X16" s="9" t="n"/>
      <c r="Y16" s="9" t="n"/>
      <c r="Z16" s="9" t="n"/>
      <c r="AA16" s="80" t="n"/>
      <c r="AB16" s="9" t="n"/>
      <c r="AC16" s="9" t="n"/>
      <c r="AD16" s="9" t="n"/>
      <c r="AE16" s="9" t="n">
        <v>121094.4</v>
      </c>
      <c r="AF16" s="9" t="n"/>
      <c r="AG16" s="13">
        <f>SUM(B16:AE16)</f>
        <v/>
      </c>
    </row>
    <row r="17" ht="15.75" customHeight="1">
      <c r="A17" s="15" t="inlineStr">
        <is>
          <t>SOLIHULL MBC EXP.-200771-00561525</t>
        </is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12" t="n">
        <v>32000</v>
      </c>
      <c r="N17" s="9" t="n"/>
      <c r="O17" s="9" t="n"/>
      <c r="P17" s="9" t="n"/>
      <c r="Q17" s="9" t="n"/>
      <c r="R17" s="12" t="n"/>
      <c r="S17" s="9" t="n"/>
      <c r="T17" s="12" t="n"/>
      <c r="U17" s="9" t="n"/>
      <c r="V17" s="9" t="n"/>
      <c r="W17" s="9" t="n"/>
      <c r="X17" s="9" t="n"/>
      <c r="Y17" s="9" t="n"/>
      <c r="Z17" s="9" t="n"/>
      <c r="AA17" s="80" t="n"/>
      <c r="AB17" s="9" t="n"/>
      <c r="AC17" s="9" t="n"/>
      <c r="AD17" s="9" t="n"/>
      <c r="AE17" s="9" t="n"/>
      <c r="AF17" s="9" t="n"/>
      <c r="AG17" s="13">
        <f>SUM(B17:AE17)</f>
        <v/>
      </c>
    </row>
    <row r="18" ht="15.75" customHeight="1">
      <c r="A18" s="15" t="inlineStr">
        <is>
          <t>WALSALL MBC BARC-209073-10731692</t>
        </is>
      </c>
      <c r="B18" s="9" t="n"/>
      <c r="C18" s="9" t="n"/>
      <c r="D18" s="9" t="n"/>
      <c r="E18" s="9" t="n"/>
      <c r="F18" s="9" t="n"/>
      <c r="G18" s="12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80" t="n"/>
      <c r="AB18" s="12" t="n"/>
      <c r="AC18" s="9" t="n"/>
      <c r="AD18" s="12" t="n"/>
      <c r="AE18" s="9" t="n">
        <v>187000</v>
      </c>
      <c r="AF18" s="9" t="n"/>
      <c r="AG18" s="13">
        <f>SUM(B18:AE18)</f>
        <v/>
      </c>
    </row>
    <row r="19" ht="15.75" customHeight="1">
      <c r="A19" s="15" t="inlineStr">
        <is>
          <t>WOLVERHAMPTON CC-560069-44470320</t>
        </is>
      </c>
      <c r="B19" s="9">
        <f>117000+24468</f>
        <v/>
      </c>
      <c r="C19" s="9" t="n"/>
      <c r="D19" s="9" t="n"/>
      <c r="E19" s="9" t="n"/>
      <c r="F19" s="9" t="n"/>
      <c r="G19" s="9" t="n"/>
      <c r="H19" s="9" t="n"/>
      <c r="I19" s="9" t="n">
        <v>117000</v>
      </c>
      <c r="J19" s="9" t="n"/>
      <c r="K19" s="9" t="n"/>
      <c r="L19" s="9" t="n"/>
      <c r="M19" s="9" t="n"/>
      <c r="N19" s="9" t="n"/>
      <c r="O19" s="9" t="n"/>
      <c r="P19" s="9" t="n">
        <v>117000</v>
      </c>
      <c r="Q19" s="9" t="n"/>
      <c r="R19" s="9" t="n"/>
      <c r="S19" s="9" t="n"/>
      <c r="T19" s="9" t="n"/>
      <c r="U19" s="9" t="n"/>
      <c r="V19" s="9" t="n"/>
      <c r="W19" s="9" t="n">
        <v>117000</v>
      </c>
      <c r="X19" s="9" t="n"/>
      <c r="Y19" s="9" t="n"/>
      <c r="Z19" s="9" t="n"/>
      <c r="AA19" s="80" t="n"/>
      <c r="AB19" s="12" t="n"/>
      <c r="AC19" s="9" t="n"/>
      <c r="AD19" s="12" t="n"/>
      <c r="AE19" s="9" t="n">
        <v>117000</v>
      </c>
      <c r="AF19" s="9" t="n"/>
      <c r="AG19" s="13">
        <f>SUM(B19:AE19)</f>
        <v/>
      </c>
    </row>
    <row r="20" ht="15.75" customHeight="1">
      <c r="A20" s="15" t="inlineStr">
        <is>
          <t>Portsmouth</t>
        </is>
      </c>
      <c r="B20" s="9" t="n"/>
      <c r="C20" s="9" t="n">
        <v>5247.86</v>
      </c>
      <c r="D20" s="12" t="n"/>
      <c r="E20" s="9" t="n"/>
      <c r="F20" s="9" t="n"/>
      <c r="G20" s="9" t="n"/>
      <c r="H20" s="9" t="n"/>
      <c r="I20" s="9" t="n"/>
      <c r="J20" s="9" t="n"/>
      <c r="K20" s="9" t="n"/>
      <c r="L20" s="9" t="n"/>
      <c r="M20" s="9" t="n"/>
      <c r="N20" s="9" t="n"/>
      <c r="O20" s="9" t="n"/>
      <c r="P20" s="9" t="n"/>
      <c r="Q20" s="9" t="n"/>
      <c r="R20" s="9" t="n"/>
      <c r="S20" s="9" t="n"/>
      <c r="T20" s="9" t="n"/>
      <c r="U20" s="9" t="n"/>
      <c r="V20" s="9" t="n"/>
      <c r="W20" s="9" t="n"/>
      <c r="X20" s="9" t="n"/>
      <c r="Y20" s="9" t="n"/>
      <c r="Z20" s="9" t="n"/>
      <c r="AA20" s="80" t="n"/>
      <c r="AB20" s="9" t="n"/>
      <c r="AC20" s="9" t="n"/>
      <c r="AD20" s="9" t="n"/>
      <c r="AE20" s="12" t="n"/>
      <c r="AF20" s="9" t="n"/>
      <c r="AG20" s="13">
        <f>SUM(B20:AE20)</f>
        <v/>
      </c>
    </row>
    <row r="21" ht="15.75" customHeight="1">
      <c r="A21" s="15" t="inlineStr">
        <is>
          <t>HB SC</t>
        </is>
      </c>
      <c r="B21" s="10" t="n">
        <v>3200</v>
      </c>
      <c r="C21" s="10" t="n">
        <v>3200</v>
      </c>
      <c r="D21" s="10" t="n">
        <v>3200</v>
      </c>
      <c r="E21" s="10" t="n">
        <v>3200</v>
      </c>
      <c r="F21" s="10" t="n">
        <v>3200</v>
      </c>
      <c r="G21" s="10" t="n">
        <v>3200</v>
      </c>
      <c r="H21" s="10" t="n">
        <v>3200</v>
      </c>
      <c r="I21" s="10" t="n">
        <v>3200</v>
      </c>
      <c r="J21" s="10" t="n">
        <v>3200</v>
      </c>
      <c r="K21" s="10" t="n">
        <v>3200</v>
      </c>
      <c r="L21" s="10" t="n">
        <v>3200</v>
      </c>
      <c r="M21" s="10" t="n">
        <v>3200</v>
      </c>
      <c r="N21" s="10" t="n">
        <v>3200</v>
      </c>
      <c r="O21" s="10" t="n">
        <v>3200</v>
      </c>
      <c r="P21" s="10" t="n">
        <v>3200</v>
      </c>
      <c r="Q21" s="10" t="n">
        <v>3200</v>
      </c>
      <c r="R21" s="10" t="n">
        <v>3200</v>
      </c>
      <c r="S21" s="10" t="n">
        <v>3200</v>
      </c>
      <c r="T21" s="10" t="n">
        <v>3200</v>
      </c>
      <c r="U21" s="10" t="n">
        <v>3200</v>
      </c>
      <c r="V21" s="10" t="n">
        <v>3200</v>
      </c>
      <c r="W21" s="10" t="n">
        <v>3200</v>
      </c>
      <c r="X21" s="10" t="n">
        <v>3200</v>
      </c>
      <c r="Y21" s="10" t="n">
        <v>3200</v>
      </c>
      <c r="Z21" s="10" t="n">
        <v>3200</v>
      </c>
      <c r="AA21" s="10" t="n">
        <v>3200</v>
      </c>
      <c r="AB21" s="10" t="n">
        <v>3200</v>
      </c>
      <c r="AC21" s="10" t="n">
        <v>3200</v>
      </c>
      <c r="AD21" s="10" t="n">
        <v>3200</v>
      </c>
      <c r="AE21" s="10" t="n">
        <v>3200</v>
      </c>
      <c r="AF21" s="10" t="n">
        <v>3200</v>
      </c>
      <c r="AG21" s="13">
        <f>SUM(B21:AE21)</f>
        <v/>
      </c>
    </row>
    <row r="22" ht="15.75" customHeight="1">
      <c r="AG22" s="13">
        <f>SUM(AG5:AG21)</f>
        <v/>
      </c>
    </row>
    <row r="26" ht="14.25" customHeight="1"/>
    <row r="27">
      <c r="A27" s="1" t="n"/>
      <c r="B27" s="2" t="inlineStr">
        <is>
          <t>August</t>
        </is>
      </c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1" t="n"/>
      <c r="AF27" s="1" t="n"/>
      <c r="AG27" s="1" t="n"/>
    </row>
    <row r="28">
      <c r="A28" s="1" t="n"/>
      <c r="B28" s="2" t="inlineStr">
        <is>
          <t>Thursday</t>
        </is>
      </c>
      <c r="C28" s="2" t="inlineStr">
        <is>
          <t>Friday</t>
        </is>
      </c>
      <c r="D28" s="2" t="inlineStr">
        <is>
          <t>Saturday</t>
        </is>
      </c>
      <c r="E28" s="2" t="inlineStr">
        <is>
          <t>Sunday</t>
        </is>
      </c>
      <c r="F28" s="2" t="inlineStr">
        <is>
          <t>Monday</t>
        </is>
      </c>
      <c r="G28" s="2" t="inlineStr">
        <is>
          <t>Tuesday</t>
        </is>
      </c>
      <c r="H28" s="2" t="inlineStr">
        <is>
          <t>Wednesday</t>
        </is>
      </c>
      <c r="I28" s="2" t="inlineStr">
        <is>
          <t>Thursday</t>
        </is>
      </c>
      <c r="J28" s="2" t="inlineStr">
        <is>
          <t>Friday</t>
        </is>
      </c>
      <c r="K28" s="2" t="inlineStr">
        <is>
          <t>Saturday</t>
        </is>
      </c>
      <c r="L28" s="2" t="inlineStr">
        <is>
          <t>Sunday</t>
        </is>
      </c>
      <c r="M28" s="2" t="inlineStr">
        <is>
          <t>Monday</t>
        </is>
      </c>
      <c r="N28" s="2" t="inlineStr">
        <is>
          <t>Tuesday</t>
        </is>
      </c>
      <c r="O28" s="2" t="inlineStr">
        <is>
          <t>Wednesday</t>
        </is>
      </c>
      <c r="P28" s="2" t="inlineStr">
        <is>
          <t>Thursday</t>
        </is>
      </c>
      <c r="Q28" s="2" t="inlineStr">
        <is>
          <t>Friday</t>
        </is>
      </c>
      <c r="R28" s="2" t="inlineStr">
        <is>
          <t>Saturday</t>
        </is>
      </c>
      <c r="S28" s="2" t="inlineStr">
        <is>
          <t>Sunday</t>
        </is>
      </c>
      <c r="T28" s="2" t="inlineStr">
        <is>
          <t>Monday</t>
        </is>
      </c>
      <c r="U28" s="2" t="inlineStr">
        <is>
          <t>Tuesday</t>
        </is>
      </c>
      <c r="V28" s="2" t="inlineStr">
        <is>
          <t>Wednesday</t>
        </is>
      </c>
      <c r="W28" s="2" t="inlineStr">
        <is>
          <t>Thursday</t>
        </is>
      </c>
      <c r="X28" s="2" t="inlineStr">
        <is>
          <t>Friday</t>
        </is>
      </c>
      <c r="Y28" s="2" t="inlineStr">
        <is>
          <t>Saturday</t>
        </is>
      </c>
      <c r="Z28" s="2" t="inlineStr">
        <is>
          <t>Sunday</t>
        </is>
      </c>
      <c r="AA28" s="2" t="inlineStr">
        <is>
          <t>Monday</t>
        </is>
      </c>
      <c r="AB28" s="2" t="inlineStr">
        <is>
          <t>Tuesday</t>
        </is>
      </c>
      <c r="AC28" s="2" t="inlineStr">
        <is>
          <t>Wednesday</t>
        </is>
      </c>
      <c r="AD28" s="2" t="inlineStr">
        <is>
          <t>Thursday</t>
        </is>
      </c>
      <c r="AE28" s="2" t="inlineStr">
        <is>
          <t>Friday</t>
        </is>
      </c>
      <c r="AF28" s="2" t="inlineStr">
        <is>
          <t>Saturday</t>
        </is>
      </c>
      <c r="AG28" s="2" t="inlineStr">
        <is>
          <t>Total</t>
        </is>
      </c>
    </row>
    <row r="29">
      <c r="A29" s="1" t="n"/>
      <c r="B29" s="7" t="inlineStr">
        <is>
          <t>1st</t>
        </is>
      </c>
      <c r="C29" s="7" t="inlineStr">
        <is>
          <t>2nd</t>
        </is>
      </c>
      <c r="D29" s="7" t="inlineStr">
        <is>
          <t>3rd</t>
        </is>
      </c>
      <c r="E29" s="7" t="inlineStr">
        <is>
          <t>4th</t>
        </is>
      </c>
      <c r="F29" s="3" t="inlineStr">
        <is>
          <t>5th</t>
        </is>
      </c>
      <c r="G29" s="3" t="inlineStr">
        <is>
          <t>6th</t>
        </is>
      </c>
      <c r="H29" s="3" t="inlineStr">
        <is>
          <t>7th</t>
        </is>
      </c>
      <c r="I29" s="3" t="inlineStr">
        <is>
          <t>8th</t>
        </is>
      </c>
      <c r="J29" s="3" t="inlineStr">
        <is>
          <t>9th</t>
        </is>
      </c>
      <c r="K29" s="3" t="inlineStr">
        <is>
          <t>10th</t>
        </is>
      </c>
      <c r="L29" s="3" t="inlineStr">
        <is>
          <t>11th</t>
        </is>
      </c>
      <c r="M29" s="4" t="inlineStr">
        <is>
          <t>12th</t>
        </is>
      </c>
      <c r="N29" s="4" t="inlineStr">
        <is>
          <t>13th</t>
        </is>
      </c>
      <c r="O29" s="4" t="inlineStr">
        <is>
          <t>14th</t>
        </is>
      </c>
      <c r="P29" s="4" t="inlineStr">
        <is>
          <t>15th</t>
        </is>
      </c>
      <c r="Q29" s="4" t="inlineStr">
        <is>
          <t>16th</t>
        </is>
      </c>
      <c r="R29" s="4" t="inlineStr">
        <is>
          <t>17th</t>
        </is>
      </c>
      <c r="S29" s="4" t="inlineStr">
        <is>
          <t>18th</t>
        </is>
      </c>
      <c r="T29" s="5" t="inlineStr">
        <is>
          <t>19th</t>
        </is>
      </c>
      <c r="U29" s="5" t="inlineStr">
        <is>
          <t>20th</t>
        </is>
      </c>
      <c r="V29" s="5" t="inlineStr">
        <is>
          <t>21st</t>
        </is>
      </c>
      <c r="W29" s="5" t="inlineStr">
        <is>
          <t>22nd</t>
        </is>
      </c>
      <c r="X29" s="5" t="inlineStr">
        <is>
          <t>23rd</t>
        </is>
      </c>
      <c r="Y29" s="5" t="inlineStr">
        <is>
          <t>24th</t>
        </is>
      </c>
      <c r="Z29" s="5" t="inlineStr">
        <is>
          <t>25th</t>
        </is>
      </c>
      <c r="AA29" s="6" t="inlineStr">
        <is>
          <t>26th</t>
        </is>
      </c>
      <c r="AB29" s="6" t="inlineStr">
        <is>
          <t>27th</t>
        </is>
      </c>
      <c r="AC29" s="6" t="inlineStr">
        <is>
          <t>28th</t>
        </is>
      </c>
      <c r="AD29" s="6" t="inlineStr">
        <is>
          <t>29th</t>
        </is>
      </c>
      <c r="AE29" s="6" t="inlineStr">
        <is>
          <t>30th</t>
        </is>
      </c>
      <c r="AF29" s="6" t="inlineStr">
        <is>
          <t>31st</t>
        </is>
      </c>
      <c r="AG29" s="1" t="n"/>
    </row>
    <row r="30" ht="18.75" customHeight="1">
      <c r="A30" s="8" t="inlineStr">
        <is>
          <t>B-HAM CITY COUNCIL-200790-70489166</t>
        </is>
      </c>
      <c r="B30" s="26" t="n"/>
      <c r="C30" s="31" t="n"/>
      <c r="D30" s="9" t="n"/>
      <c r="E30" s="12" t="n"/>
      <c r="F30" s="12" t="n"/>
      <c r="G30" s="12" t="n"/>
      <c r="H30" s="31" t="n">
        <v>5018.56</v>
      </c>
      <c r="I30" s="12" t="n"/>
      <c r="K30" s="9" t="n"/>
      <c r="L30" s="12" t="n"/>
      <c r="M30" s="12" t="n"/>
      <c r="N30" s="12" t="n"/>
      <c r="P30" s="31" t="n">
        <v>62841.32</v>
      </c>
      <c r="Q30" s="12" t="n"/>
      <c r="R30" s="12" t="n"/>
      <c r="S30" s="12" t="n"/>
      <c r="U30" s="12" t="n"/>
      <c r="W30" s="12" t="n"/>
      <c r="X30" s="10" t="n"/>
      <c r="Y30" s="11" t="n"/>
      <c r="Z30" s="9" t="n"/>
      <c r="AA30" s="79" t="n"/>
      <c r="AB30" s="9" t="n"/>
      <c r="AD30" s="9" t="n"/>
      <c r="AE30" s="31" t="n"/>
      <c r="AF30" s="9" t="n"/>
      <c r="AG30" s="13">
        <f>SUM(B30:AF30)</f>
        <v/>
      </c>
    </row>
    <row r="31" ht="15.75" customHeight="1">
      <c r="A31" s="8" t="inlineStr">
        <is>
          <t>Buckingham</t>
        </is>
      </c>
      <c r="B31" s="26" t="n"/>
      <c r="C31" s="31" t="n">
        <v>5134.44</v>
      </c>
      <c r="D31" s="9" t="n"/>
      <c r="E31" s="9" t="n"/>
      <c r="F31" s="9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" t="n"/>
      <c r="P31" s="31" t="n"/>
      <c r="Q31" s="12" t="n"/>
      <c r="R31" s="12" t="n"/>
      <c r="S31" s="12" t="n"/>
      <c r="T31" s="12" t="n"/>
      <c r="U31" s="12" t="n"/>
      <c r="V31" s="12" t="n"/>
      <c r="W31" s="9" t="n"/>
      <c r="X31" s="9" t="n"/>
      <c r="Y31" s="9" t="n"/>
      <c r="Z31" s="9" t="n"/>
      <c r="AA31" s="80" t="n"/>
      <c r="AB31" s="9" t="n"/>
      <c r="AC31" s="9" t="n"/>
      <c r="AD31" s="9" t="n"/>
      <c r="AE31" s="31" t="n">
        <v>5134.44</v>
      </c>
      <c r="AF31" s="9" t="n"/>
      <c r="AG31" s="13">
        <f>SUM(B31:AF31)</f>
        <v/>
      </c>
    </row>
    <row r="32" ht="15.75" customHeight="1">
      <c r="A32" s="8" t="inlineStr">
        <is>
          <t>Sandwell respite est</t>
        </is>
      </c>
      <c r="B32" s="26" t="n"/>
      <c r="C32" s="26" t="n"/>
      <c r="D32" s="9" t="n"/>
      <c r="E32" s="9" t="n"/>
      <c r="F32" s="9" t="n"/>
      <c r="G32" s="9" t="n"/>
      <c r="H32" s="9" t="n"/>
      <c r="I32" s="9" t="n"/>
      <c r="J32" s="9" t="n"/>
      <c r="K32" s="9" t="n"/>
      <c r="L32" s="9" t="n"/>
      <c r="M32" s="9" t="n"/>
      <c r="N32" s="9" t="n"/>
      <c r="O32" s="9" t="n"/>
      <c r="P32" s="26" t="n"/>
      <c r="Q32" s="93" t="n">
        <v>11513.6</v>
      </c>
      <c r="R32" s="9" t="n"/>
      <c r="S32" s="9" t="n"/>
      <c r="T32" s="9" t="n"/>
      <c r="U32" s="9" t="n"/>
      <c r="V32" s="9" t="n"/>
      <c r="W32" s="9" t="n"/>
      <c r="X32" s="9" t="n"/>
      <c r="Y32" s="9" t="n"/>
      <c r="Z32" s="9" t="n"/>
      <c r="AA32" s="80" t="n"/>
      <c r="AB32" s="9" t="n"/>
      <c r="AC32" s="93" t="n">
        <v>10645.32</v>
      </c>
      <c r="AD32" s="9" t="n"/>
      <c r="AE32" s="31" t="n"/>
      <c r="AF32" s="9" t="n"/>
      <c r="AG32" s="13">
        <f>SUM(B32:AF32)</f>
        <v/>
      </c>
    </row>
    <row r="33" ht="15.75" customHeight="1">
      <c r="A33" s="8" t="inlineStr">
        <is>
          <t xml:space="preserve">Wolverhampton respite est </t>
        </is>
      </c>
      <c r="B33" s="26" t="n">
        <v>7108.1</v>
      </c>
      <c r="C33" s="26" t="n"/>
      <c r="D33" s="9" t="n"/>
      <c r="E33" s="9" t="n"/>
      <c r="F33" s="9" t="n"/>
      <c r="G33" s="9" t="n"/>
      <c r="H33" s="9" t="n"/>
      <c r="I33" s="26" t="n">
        <v>7108.1</v>
      </c>
      <c r="J33" s="9" t="n"/>
      <c r="K33" s="9" t="n"/>
      <c r="L33" s="9" t="n"/>
      <c r="M33" s="9" t="n"/>
      <c r="N33" s="9" t="n"/>
      <c r="P33" s="16" t="n">
        <v>7108.1</v>
      </c>
      <c r="R33" s="12" t="n"/>
      <c r="S33" s="9" t="n"/>
      <c r="T33" t="n">
        <v>11822.12</v>
      </c>
      <c r="U33" s="9" t="n"/>
      <c r="V33" s="9" t="n"/>
      <c r="W33" s="16" t="n">
        <v>7108.1</v>
      </c>
      <c r="X33" s="94" t="n">
        <v>3158.4</v>
      </c>
      <c r="Y33" s="9" t="n"/>
      <c r="Z33" s="9" t="n"/>
      <c r="AA33" s="80" t="n"/>
      <c r="AB33" s="94" t="n">
        <v>9897.92</v>
      </c>
      <c r="AD33" s="9" t="n"/>
      <c r="AE33" s="16" t="n">
        <v>7108.1</v>
      </c>
      <c r="AF33" s="10" t="n"/>
      <c r="AG33" s="13">
        <f>SUM(B33:AF33)</f>
        <v/>
      </c>
    </row>
    <row r="34" ht="15.75" customHeight="1">
      <c r="A34" s="8" t="inlineStr">
        <is>
          <t>Walsall Respite</t>
        </is>
      </c>
      <c r="B34" s="26" t="n"/>
      <c r="C34" s="26" t="n"/>
      <c r="D34" s="9" t="n"/>
      <c r="E34" s="9" t="n"/>
      <c r="F34" s="9" t="n"/>
      <c r="G34" s="12" t="n"/>
      <c r="H34" s="9" t="n"/>
      <c r="I34" s="9" t="n"/>
      <c r="J34" t="n">
        <v>3040</v>
      </c>
      <c r="K34" s="9" t="n"/>
      <c r="L34" s="9" t="n"/>
      <c r="M34" s="9" t="n"/>
      <c r="N34" s="9" t="n"/>
      <c r="O34" s="9" t="n"/>
      <c r="P34" s="26" t="n"/>
      <c r="Q34" s="9" t="n"/>
      <c r="R34" s="12" t="n"/>
      <c r="S34" s="9" t="n"/>
      <c r="T34" s="9" t="n"/>
      <c r="U34" s="9" t="n"/>
      <c r="V34" s="9" t="n"/>
      <c r="W34" s="9" t="n"/>
      <c r="X34" s="9" t="n"/>
      <c r="Y34" s="9" t="n"/>
      <c r="Z34" s="9" t="n"/>
      <c r="AA34" s="80" t="n"/>
      <c r="AB34" s="26" t="n">
        <v>14854.4</v>
      </c>
      <c r="AD34" s="9" t="n"/>
      <c r="AE34" s="31" t="n"/>
      <c r="AG34" s="13">
        <f>SUM(B34:AF34)</f>
        <v/>
      </c>
    </row>
    <row r="35" ht="18.75" customHeight="1">
      <c r="A35" s="8" t="inlineStr">
        <is>
          <t>Ideal for All Ltd</t>
        </is>
      </c>
      <c r="B35" s="31" t="n"/>
      <c r="C35" s="31" t="n"/>
      <c r="D35" s="9" t="n"/>
      <c r="E35" s="12" t="n"/>
      <c r="F35" s="12" t="n"/>
      <c r="G35" s="12" t="n"/>
      <c r="H35" s="12" t="n"/>
      <c r="I35" t="n">
        <v>3661.88</v>
      </c>
      <c r="J35" s="12" t="n"/>
      <c r="K35" s="9" t="n"/>
      <c r="L35" s="9" t="n"/>
      <c r="M35" s="12" t="n"/>
      <c r="N35" s="12" t="n"/>
      <c r="O35" s="12" t="n"/>
      <c r="P35" s="31" t="n"/>
      <c r="R35" s="9" t="n"/>
      <c r="S35" s="9" t="n"/>
      <c r="T35" s="11" t="n"/>
      <c r="V35" s="9" t="n"/>
      <c r="W35" s="9" t="n"/>
      <c r="X35" s="12" t="n"/>
      <c r="Y35" s="9" t="n"/>
      <c r="Z35" s="9" t="n"/>
      <c r="AA35" s="80" t="n"/>
      <c r="AB35" s="26" t="n"/>
      <c r="AC35" s="9" t="n"/>
      <c r="AE35" s="31" t="n"/>
      <c r="AF35" s="9" t="n"/>
      <c r="AG35" s="13">
        <f>SUM(B35:AF35)</f>
        <v/>
      </c>
    </row>
    <row r="36" ht="15.75" customHeight="1">
      <c r="A36" s="8" t="inlineStr">
        <is>
          <t>KIRKLEES COUNCIL-204312-63046958</t>
        </is>
      </c>
      <c r="B36" s="26" t="n"/>
      <c r="C36" s="31" t="n"/>
      <c r="D36" s="9" t="n"/>
      <c r="E36" s="9" t="n"/>
      <c r="F36" s="12" t="n"/>
      <c r="G36" s="9" t="n"/>
      <c r="H36" s="12" t="n"/>
      <c r="I36" s="9" t="n"/>
      <c r="J36" s="9" t="n"/>
      <c r="K36" s="9" t="n"/>
      <c r="L36" s="9" t="n"/>
      <c r="M36" s="12" t="n"/>
      <c r="N36" s="12" t="n"/>
      <c r="O36" s="12" t="n"/>
      <c r="P36" s="31" t="n"/>
      <c r="Q36" s="12" t="n"/>
      <c r="R36" s="9" t="n"/>
      <c r="S36" s="9" t="n"/>
      <c r="T36" s="9" t="n"/>
      <c r="U36" s="9" t="n"/>
      <c r="V36" s="12" t="n"/>
      <c r="W36" s="9" t="n"/>
      <c r="X36" s="9" t="n"/>
      <c r="Y36" s="9" t="n"/>
      <c r="Z36" s="9" t="n"/>
      <c r="AA36" s="80" t="n"/>
      <c r="AB36" s="31" t="n"/>
      <c r="AC36" s="9" t="n"/>
      <c r="AD36" s="9" t="n"/>
      <c r="AE36" s="31" t="n"/>
      <c r="AF36" s="12" t="n"/>
      <c r="AG36" s="13">
        <f>SUM(B36:AF36)</f>
        <v/>
      </c>
    </row>
    <row r="37" ht="15.75" customHeight="1">
      <c r="A37" s="8" t="inlineStr">
        <is>
          <t>LBH PAYMENTS BACS-602210-72430192</t>
        </is>
      </c>
      <c r="B37" s="26" t="n"/>
      <c r="C37" s="31" t="n"/>
      <c r="D37" s="9" t="n"/>
      <c r="E37" s="9" t="n"/>
      <c r="F37" s="9" t="n"/>
      <c r="G37" s="9" t="n"/>
      <c r="H37" s="9" t="n"/>
      <c r="I37" s="12" t="n"/>
      <c r="K37" s="9" t="n"/>
      <c r="L37" s="9" t="n"/>
      <c r="M37" s="9" t="n"/>
      <c r="N37" s="9" t="n"/>
      <c r="O37" t="n">
        <v>5203.8</v>
      </c>
      <c r="P37" s="31" t="n"/>
      <c r="Q37" s="12" t="n"/>
      <c r="R37" s="9" t="n"/>
      <c r="S37" s="9" t="n"/>
      <c r="T37" s="9" t="n"/>
      <c r="U37" s="9" t="n"/>
      <c r="V37" s="9" t="n"/>
      <c r="W37" s="9" t="n"/>
      <c r="X37" s="9" t="n"/>
      <c r="Y37" s="9" t="n"/>
      <c r="Z37" s="9" t="n"/>
      <c r="AA37" s="80" t="n"/>
      <c r="AB37" s="26" t="n"/>
      <c r="AC37" s="9" t="n"/>
      <c r="AD37" s="9" t="n"/>
      <c r="AE37" s="26" t="n"/>
      <c r="AF37" s="9" t="n"/>
      <c r="AG37" s="13">
        <f>SUM(B37:AF37)</f>
        <v/>
      </c>
    </row>
    <row r="38" ht="15.75" customHeight="1">
      <c r="A38" s="8" t="inlineStr">
        <is>
          <t>NHS BIRMINGHAM &amp; S-607080-10017097</t>
        </is>
      </c>
      <c r="B38" s="31" t="n"/>
      <c r="C38" s="31" t="n"/>
      <c r="D38" s="12" t="n"/>
      <c r="E38" s="12" t="n"/>
      <c r="F38" s="12" t="n"/>
      <c r="G38" s="12" t="n"/>
      <c r="J38" s="9" t="n"/>
      <c r="K38" s="9" t="n"/>
      <c r="L38" s="9" t="n"/>
      <c r="M38" s="9" t="n"/>
      <c r="N38" s="9" t="n"/>
      <c r="P38" s="31" t="n">
        <v>7121.63</v>
      </c>
      <c r="Q38" s="12" t="n"/>
      <c r="R38" s="9" t="n"/>
      <c r="S38" s="9" t="n"/>
      <c r="T38" s="9" t="n"/>
      <c r="U38" s="9" t="n"/>
      <c r="V38" s="9" t="n"/>
      <c r="W38" s="9" t="n"/>
      <c r="X38" s="9" t="n"/>
      <c r="Y38" s="9" t="n"/>
      <c r="Z38" s="9" t="n"/>
      <c r="AA38" s="80" t="n"/>
      <c r="AB38" s="26" t="n"/>
      <c r="AC38" s="9" t="n"/>
      <c r="AD38" s="9" t="n"/>
      <c r="AE38" s="26" t="n"/>
      <c r="AF38" s="9" t="n"/>
      <c r="AG38" s="13">
        <f>SUM(B38:AF38)</f>
        <v/>
      </c>
    </row>
    <row r="39" ht="15.75" customHeight="1">
      <c r="A39" s="8" t="inlineStr">
        <is>
          <t>NHS BLACK COUNTRY-607080-10015272</t>
        </is>
      </c>
      <c r="B39" s="31" t="n"/>
      <c r="C39" s="31" t="n"/>
      <c r="D39" s="9" t="inlineStr"/>
      <c r="E39" s="9" t="inlineStr"/>
      <c r="G39" s="12" t="n"/>
      <c r="I39" t="n">
        <v>3300</v>
      </c>
      <c r="J39" s="12" t="n"/>
      <c r="K39" s="9" t="n"/>
      <c r="L39" s="12" t="n"/>
      <c r="N39" s="9" t="n"/>
      <c r="O39" s="12" t="n"/>
      <c r="P39" s="31" t="n">
        <v>13625.17</v>
      </c>
      <c r="R39" s="12" t="n"/>
      <c r="S39" s="9" t="n"/>
      <c r="T39" s="12" t="n"/>
      <c r="U39" s="12" t="n"/>
      <c r="V39" s="12" t="n"/>
      <c r="W39" s="12" t="n"/>
      <c r="X39" s="9" t="n"/>
      <c r="Y39" s="9" t="n"/>
      <c r="Z39" s="12" t="n"/>
      <c r="AA39" s="80" t="n"/>
      <c r="AB39" s="31" t="n"/>
      <c r="AC39" s="12" t="n"/>
      <c r="AD39" s="9" t="n"/>
      <c r="AE39" s="26" t="n"/>
      <c r="AF39" s="9" t="n"/>
      <c r="AG39" s="13">
        <f>SUM(B39:AF39)</f>
        <v/>
      </c>
    </row>
    <row r="40" ht="15.75" customHeight="1">
      <c r="A40" s="14" t="inlineStr">
        <is>
          <t>SANDWELL MBC  BEN-601539-69624151</t>
        </is>
      </c>
      <c r="B40" s="26" t="n"/>
      <c r="C40" s="26" t="n"/>
      <c r="D40" s="9" t="n"/>
      <c r="E40" s="9" t="n"/>
      <c r="F40" s="9" t="n"/>
      <c r="G40" s="9" t="n"/>
      <c r="H40" s="12" t="n"/>
      <c r="I40" s="9" t="n"/>
      <c r="J40" s="9" t="n"/>
      <c r="K40" s="9" t="n"/>
      <c r="L40" s="9" t="n"/>
      <c r="M40" s="9" t="n"/>
      <c r="N40" s="9" t="n"/>
      <c r="O40" s="9" t="n"/>
      <c r="P40" s="26" t="n"/>
      <c r="Q40" s="9" t="n"/>
      <c r="R40" s="9" t="n"/>
      <c r="T40" t="n">
        <v>2660</v>
      </c>
      <c r="U40" s="9" t="n"/>
      <c r="V40" s="12" t="n"/>
      <c r="W40" s="9" t="n"/>
      <c r="X40" s="9" t="n"/>
      <c r="Y40" s="12" t="n"/>
      <c r="Z40" s="9" t="n"/>
      <c r="AA40" s="80" t="n"/>
      <c r="AB40" s="26" t="n"/>
      <c r="AC40" s="9" t="n"/>
      <c r="AD40" s="9" t="n"/>
      <c r="AE40" s="26" t="n"/>
      <c r="AF40" s="9" t="n"/>
      <c r="AG40" s="13">
        <f>SUM(B40:AF40)</f>
        <v/>
      </c>
    </row>
    <row r="41" ht="15.75" customHeight="1">
      <c r="A41" s="14" t="inlineStr">
        <is>
          <t>SANDWELL MBC-601539-69624135</t>
        </is>
      </c>
      <c r="B41" s="26" t="n"/>
      <c r="C41" s="31" t="n">
        <v>121094.4</v>
      </c>
      <c r="D41" s="9" t="n"/>
      <c r="E41" s="9" t="n"/>
      <c r="F41" s="9" t="n"/>
      <c r="G41" s="9" t="n"/>
      <c r="H41" s="9" t="n"/>
      <c r="I41" s="9" t="n"/>
      <c r="J41" s="9" t="n"/>
      <c r="K41" s="9" t="n"/>
      <c r="L41" s="9" t="n"/>
      <c r="M41" s="9" t="n"/>
      <c r="N41" s="9" t="n"/>
      <c r="O41" s="9" t="n"/>
      <c r="P41" s="31" t="n"/>
      <c r="Q41" s="9" t="n"/>
      <c r="R41" s="9" t="n"/>
      <c r="S41" s="9" t="n"/>
      <c r="T41" s="9" t="n"/>
      <c r="U41" s="26" t="n">
        <v>129273.44</v>
      </c>
      <c r="V41" s="9" t="n"/>
      <c r="W41" s="9" t="n"/>
      <c r="X41" s="9" t="n"/>
      <c r="Y41" s="9" t="n"/>
      <c r="Z41" s="9" t="n"/>
      <c r="AA41" s="80" t="n"/>
      <c r="AB41" s="26" t="n"/>
      <c r="AC41" s="9" t="n"/>
      <c r="AD41" s="9" t="n"/>
      <c r="AE41" s="26" t="n"/>
      <c r="AF41" s="9" t="n"/>
      <c r="AG41" s="13">
        <f>SUM(B41:AF41)</f>
        <v/>
      </c>
    </row>
    <row r="42" ht="15.75" customHeight="1">
      <c r="A42" s="15" t="inlineStr">
        <is>
          <t>SOLIHULL MBC EXP.-200771-00561525</t>
        </is>
      </c>
      <c r="B42" s="26" t="n"/>
      <c r="C42" s="26" t="n"/>
      <c r="D42" s="9" t="n"/>
      <c r="E42" s="9" t="n"/>
      <c r="F42" s="9" t="n"/>
      <c r="G42" s="9" t="n"/>
      <c r="H42" s="9" t="n"/>
      <c r="I42" s="9" t="n"/>
      <c r="J42" s="9" t="n"/>
      <c r="K42" s="9" t="n"/>
      <c r="L42" s="9" t="n"/>
      <c r="M42" t="n">
        <v>32010.44</v>
      </c>
      <c r="N42" s="9" t="n"/>
      <c r="O42" s="9" t="n"/>
      <c r="P42" s="26" t="n"/>
      <c r="Q42" s="9" t="n"/>
      <c r="R42" s="12" t="n"/>
      <c r="S42" s="9" t="n"/>
      <c r="T42" s="12" t="n"/>
      <c r="U42" s="9" t="n"/>
      <c r="V42" s="9" t="n"/>
      <c r="W42" s="9" t="n"/>
      <c r="X42" s="9" t="n"/>
      <c r="Y42" s="9" t="n"/>
      <c r="Z42" s="9" t="n"/>
      <c r="AA42" s="80" t="n"/>
      <c r="AB42" s="26" t="n"/>
      <c r="AC42" s="9" t="n"/>
      <c r="AD42" s="9" t="n"/>
      <c r="AE42" s="26" t="n"/>
      <c r="AF42" s="9" t="n"/>
      <c r="AG42" s="13">
        <f>SUM(B42:AF42)</f>
        <v/>
      </c>
    </row>
    <row r="43" ht="15.75" customHeight="1">
      <c r="A43" s="15" t="inlineStr">
        <is>
          <t>WALSALL MBC BARC-209073-10731692</t>
        </is>
      </c>
      <c r="B43" s="26" t="n"/>
      <c r="C43" s="26" t="n"/>
      <c r="D43" s="9" t="n"/>
      <c r="E43" s="9" t="n"/>
      <c r="F43" s="9" t="n"/>
      <c r="G43" s="12" t="n"/>
      <c r="H43" s="9" t="n"/>
      <c r="I43" s="9" t="n"/>
      <c r="J43" s="9" t="n"/>
      <c r="K43" s="9" t="n"/>
      <c r="L43" s="9" t="n"/>
      <c r="M43" s="9" t="n"/>
      <c r="N43" s="9" t="n"/>
      <c r="O43" s="9" t="n"/>
      <c r="P43" s="26" t="n"/>
      <c r="Q43" s="9" t="n"/>
      <c r="R43" s="9" t="n"/>
      <c r="S43" s="9" t="n"/>
      <c r="T43" s="9" t="n"/>
      <c r="U43" s="9" t="n"/>
      <c r="V43" s="9" t="n"/>
      <c r="W43" s="9" t="n"/>
      <c r="X43" s="9" t="n"/>
      <c r="Y43" s="9" t="n"/>
      <c r="Z43" s="9" t="n"/>
      <c r="AA43" s="80" t="n"/>
      <c r="AB43" s="31">
        <f>204753.04-AB34</f>
        <v/>
      </c>
      <c r="AC43" s="9" t="n"/>
      <c r="AE43" s="31" t="n"/>
      <c r="AF43" s="9" t="n"/>
      <c r="AG43" s="13">
        <f>SUM(B43:AF43)</f>
        <v/>
      </c>
    </row>
    <row r="44" ht="15.75" customHeight="1">
      <c r="A44" s="15" t="inlineStr">
        <is>
          <t>WOLVERHAMPTON CC-560069-44470320</t>
        </is>
      </c>
      <c r="B44" s="26">
        <f>148303.62-B33</f>
        <v/>
      </c>
      <c r="C44" s="26" t="n"/>
      <c r="D44" s="9" t="n"/>
      <c r="E44" s="9" t="n"/>
      <c r="F44" s="9" t="n"/>
      <c r="G44" s="9" t="n"/>
      <c r="H44" s="9" t="n"/>
      <c r="I44" s="26" t="n">
        <v>114830</v>
      </c>
      <c r="J44" s="26" t="n"/>
      <c r="K44" s="26" t="n"/>
      <c r="L44" s="26" t="n"/>
      <c r="M44" s="26" t="n"/>
      <c r="N44" s="9" t="n"/>
      <c r="O44" s="9" t="n"/>
      <c r="P44" s="26" t="n">
        <v>114253.04</v>
      </c>
      <c r="Q44" s="9" t="n"/>
      <c r="R44" s="9" t="n"/>
      <c r="S44" s="9" t="n"/>
      <c r="T44" s="9" t="n"/>
      <c r="U44" s="9" t="n"/>
      <c r="V44" s="9" t="n"/>
      <c r="W44" s="16">
        <f>118650.74-W33</f>
        <v/>
      </c>
      <c r="X44" s="9" t="n"/>
      <c r="Y44" s="9" t="n"/>
      <c r="Z44" s="9" t="n"/>
      <c r="AA44" s="80" t="n"/>
      <c r="AB44" s="12" t="n"/>
      <c r="AC44" s="9" t="n"/>
      <c r="AD44" s="12" t="n"/>
      <c r="AE44" s="26" t="n">
        <v>114253</v>
      </c>
      <c r="AF44" s="9" t="n"/>
      <c r="AG44" s="13">
        <f>SUM(B44:AF44)</f>
        <v/>
      </c>
    </row>
    <row r="45" ht="15.75" customHeight="1">
      <c r="A45" s="15" t="inlineStr">
        <is>
          <t>Portsmouth</t>
        </is>
      </c>
      <c r="B45" s="26" t="n"/>
      <c r="C45" s="31" t="n"/>
      <c r="D45" s="31" t="n"/>
      <c r="E45" s="26" t="n"/>
      <c r="F45" s="26" t="n">
        <v>5078.57</v>
      </c>
      <c r="G45" s="9" t="n"/>
      <c r="H45" s="9" t="n"/>
      <c r="I45" s="26" t="n"/>
      <c r="J45" s="26" t="n"/>
      <c r="K45" s="26" t="n"/>
      <c r="L45" s="26" t="n"/>
      <c r="M45" s="26" t="n"/>
      <c r="N45" s="9" t="n"/>
      <c r="O45" s="9" t="n"/>
      <c r="P45" s="26" t="n"/>
      <c r="Q45" s="9" t="n"/>
      <c r="R45" s="9" t="n"/>
      <c r="S45" s="9" t="n"/>
      <c r="T45" s="9" t="n"/>
      <c r="U45" s="9" t="n"/>
      <c r="V45" s="9" t="n"/>
      <c r="W45" s="9" t="n"/>
      <c r="X45" s="9" t="n"/>
      <c r="Y45" s="9" t="n"/>
      <c r="Z45" s="9" t="n"/>
      <c r="AA45" s="80" t="n"/>
      <c r="AB45" s="9" t="n"/>
      <c r="AC45" s="9" t="n"/>
      <c r="AD45" s="9" t="n"/>
      <c r="AE45" s="31" t="n"/>
      <c r="AF45" s="9" t="n"/>
      <c r="AG45" s="13">
        <f>SUM(B45:AF45)</f>
        <v/>
      </c>
    </row>
    <row r="46" ht="15.75" customHeight="1">
      <c r="A46" s="15" t="inlineStr">
        <is>
          <t>HB SC</t>
        </is>
      </c>
      <c r="B46" s="16" t="n">
        <v>4552.359999999986</v>
      </c>
      <c r="C46" s="16" t="n">
        <v>3547.410000000006</v>
      </c>
      <c r="D46" s="16" t="n">
        <v>0</v>
      </c>
      <c r="E46" s="16" t="n">
        <v>0</v>
      </c>
      <c r="F46" s="16" t="n">
        <v>4339.76</v>
      </c>
      <c r="G46" s="16" t="n">
        <v>1173.76</v>
      </c>
      <c r="H46" s="16" t="n">
        <v>1690.570000000001</v>
      </c>
      <c r="I46" s="16" t="n">
        <v>2029.849999999996</v>
      </c>
      <c r="J46" s="16" t="n">
        <v>4404.030000000001</v>
      </c>
      <c r="K46" s="16" t="n">
        <v>480.56</v>
      </c>
      <c r="L46" s="16" t="n">
        <v>0</v>
      </c>
      <c r="M46" s="16" t="n">
        <v>6309.920000000002</v>
      </c>
      <c r="N46" s="16" t="n">
        <v>2279.56</v>
      </c>
      <c r="O46" s="16" t="n">
        <v>1450.08</v>
      </c>
      <c r="P46" s="16" t="n">
        <v>2514.180000000008</v>
      </c>
      <c r="Q46" s="16" t="n">
        <v>9600.109999999999</v>
      </c>
      <c r="R46" s="16" t="n">
        <v>1350.04</v>
      </c>
      <c r="S46" s="16" t="n">
        <v>0</v>
      </c>
      <c r="T46" s="16" t="n">
        <v>13226.39</v>
      </c>
      <c r="U46" s="16" t="n">
        <v>9287.929999999993</v>
      </c>
      <c r="V46" s="16" t="n">
        <v>3597.52</v>
      </c>
      <c r="W46" s="16" t="n">
        <v>1750.869999999995</v>
      </c>
      <c r="X46" s="16" t="n">
        <v>8036.870000000001</v>
      </c>
      <c r="Y46" s="16" t="n">
        <v>619.6700000000001</v>
      </c>
      <c r="Z46" s="16" t="n">
        <v>545</v>
      </c>
      <c r="AA46" s="16" t="n">
        <v>392.5</v>
      </c>
      <c r="AB46" s="16" t="n">
        <v>5782.959999999992</v>
      </c>
      <c r="AC46" s="16" t="n">
        <v>2571.59</v>
      </c>
      <c r="AD46" s="16" t="n">
        <v>2758.100000000028</v>
      </c>
      <c r="AE46" s="16" t="n">
        <v>12627.90999999999</v>
      </c>
      <c r="AF46" s="16" t="n">
        <v>380</v>
      </c>
      <c r="AG46" s="13">
        <f>SUM(B46:AF46)</f>
        <v/>
      </c>
    </row>
    <row r="47" ht="16.5" customFormat="1" customHeight="1" s="67" thickBot="1">
      <c r="A47" s="66" t="inlineStr">
        <is>
          <t>Total</t>
        </is>
      </c>
      <c r="B47" s="67">
        <f>SUM(B30:B46)</f>
        <v/>
      </c>
      <c r="C47" s="67">
        <f>SUM(C30:C46)</f>
        <v/>
      </c>
      <c r="D47" s="67">
        <f>SUM(D30:D46)</f>
        <v/>
      </c>
      <c r="E47" s="67">
        <f>SUM(E30:E46)</f>
        <v/>
      </c>
      <c r="F47" s="67">
        <f>SUM(F30:F46)</f>
        <v/>
      </c>
      <c r="G47" s="67">
        <f>SUM(G30:G46)</f>
        <v/>
      </c>
      <c r="H47" s="67">
        <f>SUM(H30:H46)</f>
        <v/>
      </c>
      <c r="I47" s="67">
        <f>SUM(I30:I46)</f>
        <v/>
      </c>
      <c r="J47" s="67">
        <f>SUM(J30:J46)</f>
        <v/>
      </c>
      <c r="K47" s="67">
        <f>SUM(K30:K46)</f>
        <v/>
      </c>
      <c r="L47" s="67">
        <f>SUM(L30:L46)</f>
        <v/>
      </c>
      <c r="M47" s="67">
        <f>SUM(M30:M46)</f>
        <v/>
      </c>
      <c r="N47" s="67">
        <f>SUM(N30:N46)</f>
        <v/>
      </c>
      <c r="O47" s="67">
        <f>SUM(O30:O46)</f>
        <v/>
      </c>
      <c r="P47" s="67">
        <f>SUM(P30:P46)</f>
        <v/>
      </c>
      <c r="Q47" s="67">
        <f>SUM(Q30:Q46)</f>
        <v/>
      </c>
      <c r="R47" s="67">
        <f>SUM(R30:R46)</f>
        <v/>
      </c>
      <c r="S47" s="67">
        <f>SUM(S30:S46)</f>
        <v/>
      </c>
      <c r="T47" s="67">
        <f>SUM(T30:T46)</f>
        <v/>
      </c>
      <c r="U47" s="67">
        <f>SUM(U30:U46)</f>
        <v/>
      </c>
      <c r="V47" s="67">
        <f>SUM(V30:V46)</f>
        <v/>
      </c>
      <c r="W47" s="67">
        <f>SUM(W30:W46)</f>
        <v/>
      </c>
      <c r="X47" s="67">
        <f>SUM(X30:X46)</f>
        <v/>
      </c>
      <c r="Y47" s="67">
        <f>SUM(Y30:Y46)</f>
        <v/>
      </c>
      <c r="Z47" s="67">
        <f>SUM(Z30:Z46)</f>
        <v/>
      </c>
      <c r="AA47" s="67">
        <f>SUM(AA30:AA46)</f>
        <v/>
      </c>
      <c r="AB47" s="67">
        <f>SUM(AB30:AB46)</f>
        <v/>
      </c>
      <c r="AC47" s="67">
        <f>SUM(AC30:AC46)</f>
        <v/>
      </c>
      <c r="AD47" s="67">
        <f>SUM(AD30:AD46)</f>
        <v/>
      </c>
      <c r="AE47" s="67">
        <f>SUM(AE30:AE46)</f>
        <v/>
      </c>
      <c r="AF47" s="67">
        <f>SUM(AF30:AF46)</f>
        <v/>
      </c>
      <c r="AG47" s="252">
        <f>SUM(AG30:AG46)</f>
        <v/>
      </c>
    </row>
    <row r="48" ht="15.75" customHeight="1" thickTop="1">
      <c r="A48" s="15" t="inlineStr">
        <is>
          <t>Ruunning Total</t>
        </is>
      </c>
      <c r="B48">
        <f>B47</f>
        <v/>
      </c>
      <c r="C48">
        <f>B48+C47</f>
        <v/>
      </c>
      <c r="D48">
        <f>C48+D47</f>
        <v/>
      </c>
      <c r="E48">
        <f>D48+E47</f>
        <v/>
      </c>
      <c r="F48">
        <f>E48+F47</f>
        <v/>
      </c>
      <c r="G48">
        <f>F48+G47</f>
        <v/>
      </c>
      <c r="H48">
        <f>G48+H47</f>
        <v/>
      </c>
      <c r="I48">
        <f>H48+I47</f>
        <v/>
      </c>
      <c r="J48">
        <f>I48+J47</f>
        <v/>
      </c>
      <c r="K48">
        <f>J48+K47</f>
        <v/>
      </c>
      <c r="L48">
        <f>K48+L47</f>
        <v/>
      </c>
      <c r="M48">
        <f>L48+M47</f>
        <v/>
      </c>
      <c r="N48">
        <f>M48+N47</f>
        <v/>
      </c>
      <c r="O48">
        <f>N48+O47</f>
        <v/>
      </c>
      <c r="P48">
        <f>O48+P47</f>
        <v/>
      </c>
      <c r="Q48">
        <f>P48+Q47</f>
        <v/>
      </c>
      <c r="R48">
        <f>Q48+R47</f>
        <v/>
      </c>
      <c r="S48">
        <f>R48+S47</f>
        <v/>
      </c>
      <c r="T48">
        <f>S48+T47</f>
        <v/>
      </c>
      <c r="U48">
        <f>T48+U47</f>
        <v/>
      </c>
      <c r="V48">
        <f>U48+V47</f>
        <v/>
      </c>
      <c r="W48">
        <f>V48+W47</f>
        <v/>
      </c>
      <c r="X48">
        <f>W48+X47</f>
        <v/>
      </c>
      <c r="Y48">
        <f>X48+Y47</f>
        <v/>
      </c>
      <c r="Z48">
        <f>Y48+Z47</f>
        <v/>
      </c>
      <c r="AA48">
        <f>Z48+AA47</f>
        <v/>
      </c>
      <c r="AB48">
        <f>AA48+AB47</f>
        <v/>
      </c>
      <c r="AC48">
        <f>AB48+AC47</f>
        <v/>
      </c>
      <c r="AD48">
        <f>AC48+AD47</f>
        <v/>
      </c>
      <c r="AE48">
        <f>AD48+AE47</f>
        <v/>
      </c>
      <c r="AF48">
        <f>AE48+AF47</f>
        <v/>
      </c>
    </row>
    <row r="52" ht="15.75" customHeight="1">
      <c r="AG52" s="13" t="n"/>
    </row>
    <row r="64">
      <c r="Q64" t="inlineStr">
        <is>
          <t>                              </t>
        </is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8">
    <outlinePr summaryBelow="1" summaryRight="1"/>
    <pageSetUpPr/>
  </sheetPr>
  <dimension ref="A1:AG53"/>
  <sheetViews>
    <sheetView topLeftCell="A11" zoomScaleNormal="100" workbookViewId="0">
      <pane xSplit="1" topLeftCell="S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4" bestFit="1" customWidth="1" min="2" max="2"/>
    <col width="12.5703125" bestFit="1" customWidth="1" min="3" max="3"/>
    <col width="11.140625" bestFit="1" customWidth="1" min="4" max="4"/>
    <col width="13.140625" bestFit="1" customWidth="1" min="5" max="5"/>
    <col width="11.140625" bestFit="1" customWidth="1" min="6" max="6"/>
    <col width="10.140625" bestFit="1" customWidth="1" min="7" max="7"/>
    <col width="13.140625" bestFit="1" customWidth="1" min="8" max="8"/>
    <col width="12.5703125" bestFit="1" customWidth="1" min="9" max="9"/>
    <col width="9.85546875" bestFit="1" customWidth="1" min="10" max="10"/>
    <col width="10.7109375" bestFit="1" customWidth="1" min="11" max="11"/>
    <col width="13.140625" bestFit="1" customWidth="1" min="12" max="12"/>
    <col width="11.140625" bestFit="1" customWidth="1" min="13" max="13"/>
    <col width="10.140625" bestFit="1" customWidth="1" min="14" max="14"/>
    <col width="13.140625" bestFit="1" customWidth="1" min="15" max="15"/>
    <col width="12.5703125" bestFit="1" customWidth="1" min="16" max="16"/>
    <col width="11.140625" bestFit="1" customWidth="1" min="17" max="18"/>
    <col width="13.140625" bestFit="1" customWidth="1" min="19" max="19"/>
    <col width="11.140625" bestFit="1" customWidth="1" min="20" max="20"/>
    <col width="12.5703125" bestFit="1" customWidth="1" min="21" max="21"/>
    <col width="13.140625" bestFit="1" customWidth="1" min="22" max="22"/>
    <col width="12.5703125" bestFit="1" customWidth="1" min="23" max="23"/>
    <col width="11.140625" bestFit="1" customWidth="1" min="24" max="24"/>
    <col width="10.7109375" bestFit="1" customWidth="1" min="25" max="25"/>
    <col width="13.140625" bestFit="1" customWidth="1" min="26" max="26"/>
    <col width="11.140625" bestFit="1" customWidth="1" min="27" max="27"/>
    <col width="12.5703125" bestFit="1" customWidth="1" min="28" max="28"/>
    <col width="13.140625" bestFit="1" customWidth="1" min="29" max="29"/>
    <col width="11.140625" bestFit="1" customWidth="1" min="30" max="30"/>
    <col width="12.5703125" bestFit="1" customWidth="1" min="31" max="31"/>
    <col width="10.7109375" bestFit="1" customWidth="1" min="32" max="32"/>
    <col width="15.42578125" bestFit="1" customWidth="1" min="33" max="33"/>
  </cols>
  <sheetData>
    <row r="1">
      <c r="A1" s="1" t="n"/>
      <c r="B1" s="2" t="inlineStr">
        <is>
          <t>Septemnber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 ht="15.75" customHeight="1">
      <c r="A2" s="1" t="n"/>
      <c r="B2" s="2" t="inlineStr">
        <is>
          <t xml:space="preserve">Sunday </t>
        </is>
      </c>
      <c r="C2" s="2" t="inlineStr">
        <is>
          <t>Monday</t>
        </is>
      </c>
      <c r="D2" s="2" t="inlineStr">
        <is>
          <t>Tuesday</t>
        </is>
      </c>
      <c r="E2" s="2" t="inlineStr">
        <is>
          <t>Wednesday</t>
        </is>
      </c>
      <c r="F2" s="2" t="inlineStr">
        <is>
          <t>Thursday</t>
        </is>
      </c>
      <c r="G2" s="2" t="inlineStr">
        <is>
          <t>Friday</t>
        </is>
      </c>
      <c r="H2" s="2" t="inlineStr">
        <is>
          <t>Saturday</t>
        </is>
      </c>
      <c r="I2" s="2" t="inlineStr">
        <is>
          <t>Sunday</t>
        </is>
      </c>
      <c r="J2" s="2" t="inlineStr">
        <is>
          <t>Monday</t>
        </is>
      </c>
      <c r="K2" s="2" t="inlineStr">
        <is>
          <t>Tuesday</t>
        </is>
      </c>
      <c r="L2" s="2" t="inlineStr">
        <is>
          <t>Wednesday</t>
        </is>
      </c>
      <c r="M2" s="2" t="inlineStr">
        <is>
          <t>Thursday</t>
        </is>
      </c>
      <c r="N2" s="2" t="inlineStr">
        <is>
          <t>Friday</t>
        </is>
      </c>
      <c r="O2" s="2" t="inlineStr">
        <is>
          <t>Saturday</t>
        </is>
      </c>
      <c r="P2" s="2" t="inlineStr">
        <is>
          <t>Sunday</t>
        </is>
      </c>
      <c r="Q2" s="2" t="inlineStr">
        <is>
          <t>Monday</t>
        </is>
      </c>
      <c r="R2" s="2" t="inlineStr">
        <is>
          <t>Tuesday</t>
        </is>
      </c>
      <c r="S2" s="2" t="inlineStr">
        <is>
          <t>Wednesday</t>
        </is>
      </c>
      <c r="T2" s="2" t="inlineStr">
        <is>
          <t>Thursday</t>
        </is>
      </c>
      <c r="U2" s="2" t="inlineStr">
        <is>
          <t>Friday</t>
        </is>
      </c>
      <c r="V2" s="2" t="inlineStr">
        <is>
          <t>Saturday</t>
        </is>
      </c>
      <c r="W2" s="2" t="inlineStr">
        <is>
          <t>Sunday</t>
        </is>
      </c>
      <c r="X2" s="2" t="inlineStr">
        <is>
          <t>Monday</t>
        </is>
      </c>
      <c r="Y2" s="2" t="inlineStr">
        <is>
          <t>Tuesday</t>
        </is>
      </c>
      <c r="Z2" s="2" t="inlineStr">
        <is>
          <t>Wednesday</t>
        </is>
      </c>
      <c r="AA2" s="2" t="inlineStr">
        <is>
          <t>Thursday</t>
        </is>
      </c>
      <c r="AB2" s="2" t="inlineStr">
        <is>
          <t>Friday</t>
        </is>
      </c>
      <c r="AC2" s="2" t="inlineStr">
        <is>
          <t>Saturday</t>
        </is>
      </c>
      <c r="AD2" s="2" t="inlineStr">
        <is>
          <t>Sunday</t>
        </is>
      </c>
      <c r="AE2" s="2" t="inlineStr">
        <is>
          <t>Monday</t>
        </is>
      </c>
      <c r="AF2" s="9" t="n"/>
      <c r="AG2" s="2" t="inlineStr">
        <is>
          <t>Total</t>
        </is>
      </c>
    </row>
    <row r="3" ht="15.75" customHeight="1">
      <c r="A3" s="1" t="n"/>
      <c r="B3" s="87" t="inlineStr">
        <is>
          <t>1st</t>
        </is>
      </c>
      <c r="C3" s="3" t="inlineStr">
        <is>
          <t>2nd</t>
        </is>
      </c>
      <c r="D3" s="3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3" t="inlineStr">
        <is>
          <t>8th</t>
        </is>
      </c>
      <c r="J3" s="4" t="inlineStr">
        <is>
          <t>9th</t>
        </is>
      </c>
      <c r="K3" s="4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4" t="inlineStr">
        <is>
          <t>15th</t>
        </is>
      </c>
      <c r="Q3" s="5" t="inlineStr">
        <is>
          <t>16th</t>
        </is>
      </c>
      <c r="R3" s="5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5" t="inlineStr">
        <is>
          <t>22nd</t>
        </is>
      </c>
      <c r="X3" s="6" t="inlineStr">
        <is>
          <t>23rd</t>
        </is>
      </c>
      <c r="Y3" s="6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6" t="inlineStr">
        <is>
          <t>29th</t>
        </is>
      </c>
      <c r="AE3" s="7" t="inlineStr">
        <is>
          <t>30th</t>
        </is>
      </c>
      <c r="AF3" s="9" t="n"/>
      <c r="AG3" s="1" t="n"/>
    </row>
    <row r="4" ht="18.75" customHeight="1">
      <c r="A4" s="8" t="inlineStr">
        <is>
          <t>B-HAM CITY COUNCIL-200790-70489166</t>
        </is>
      </c>
      <c r="B4" s="9" t="n"/>
      <c r="C4" s="12" t="n"/>
      <c r="D4" s="9" t="n"/>
      <c r="E4" s="12" t="n"/>
      <c r="F4" s="12" t="n"/>
      <c r="G4" s="12" t="n"/>
      <c r="H4" s="12" t="n">
        <v>5018.56</v>
      </c>
      <c r="I4" s="12" t="n"/>
      <c r="J4" s="12" t="n"/>
      <c r="K4" s="9" t="n"/>
      <c r="L4" s="12" t="n"/>
      <c r="M4" s="12" t="n"/>
      <c r="N4" s="12" t="n"/>
      <c r="O4" s="12" t="n"/>
      <c r="P4" s="12" t="n"/>
      <c r="Q4" s="12" t="n">
        <v>62841.32</v>
      </c>
      <c r="R4" s="12" t="n"/>
      <c r="S4" s="12" t="n"/>
      <c r="T4" s="12" t="n"/>
      <c r="U4" s="12" t="n"/>
      <c r="V4" s="12" t="n"/>
      <c r="W4" s="12" t="n"/>
      <c r="X4" s="12" t="n"/>
      <c r="Y4" s="11" t="n"/>
      <c r="Z4" s="9" t="n"/>
      <c r="AA4" s="12" t="n"/>
      <c r="AB4" s="9" t="n"/>
      <c r="AC4" s="9" t="n"/>
      <c r="AD4" s="9" t="n"/>
      <c r="AE4" s="12" t="n"/>
      <c r="AF4" s="9" t="n"/>
      <c r="AG4" s="13">
        <f>SUM(B4:AE4)</f>
        <v/>
      </c>
    </row>
    <row r="5" ht="15.75" customHeight="1">
      <c r="A5" s="8" t="inlineStr">
        <is>
          <t>Buckingham</t>
        </is>
      </c>
      <c r="B5" s="9" t="n"/>
      <c r="C5" s="12" t="n"/>
      <c r="D5" s="9" t="n"/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12" t="n"/>
      <c r="P5" s="12" t="n"/>
      <c r="Q5" s="12" t="n"/>
      <c r="R5" s="12" t="n"/>
      <c r="S5" s="12" t="n"/>
      <c r="T5" s="12" t="n"/>
      <c r="U5" s="12" t="n"/>
      <c r="V5" s="9" t="n"/>
      <c r="W5" s="9" t="n"/>
      <c r="X5" s="9" t="n"/>
      <c r="Y5" s="9" t="n"/>
      <c r="Z5" s="9" t="n"/>
      <c r="AA5" s="9" t="n"/>
      <c r="AB5" s="12" t="n">
        <v>5134.44</v>
      </c>
      <c r="AC5" s="9" t="n"/>
      <c r="AD5" s="9" t="n"/>
      <c r="AE5" s="9" t="n"/>
      <c r="AF5" s="9" t="n"/>
      <c r="AG5" s="13">
        <f>SUM(B5:AE5)</f>
        <v/>
      </c>
    </row>
    <row r="6" ht="15.75" customHeight="1">
      <c r="A6" s="8" t="inlineStr">
        <is>
          <t>Sandwell respite est</t>
        </is>
      </c>
      <c r="B6" s="9" t="n"/>
      <c r="C6" s="9" t="n"/>
      <c r="D6" s="9" t="n">
        <v>938.4</v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>
        <f>20000-D6</f>
        <v/>
      </c>
      <c r="AF6" s="9" t="n"/>
      <c r="AG6" s="13">
        <f>SUM(B6:AE6)</f>
        <v/>
      </c>
    </row>
    <row r="7" ht="15.75" customHeight="1">
      <c r="A7" s="8" t="inlineStr">
        <is>
          <t xml:space="preserve">Wolverhampton respite est </t>
        </is>
      </c>
      <c r="B7" s="9" t="n"/>
      <c r="C7" s="9" t="n"/>
      <c r="D7" s="9" t="n"/>
      <c r="E7" s="9" t="n"/>
      <c r="F7" s="9" t="n">
        <v>7108.1</v>
      </c>
      <c r="G7" s="9" t="n"/>
      <c r="H7" s="9" t="n"/>
      <c r="I7" s="9" t="n"/>
      <c r="J7" s="9" t="n"/>
      <c r="K7" s="9" t="n"/>
      <c r="L7" s="9" t="n"/>
      <c r="M7" s="9" t="n">
        <v>7108.1</v>
      </c>
      <c r="N7" s="9" t="n"/>
      <c r="O7" s="9" t="n"/>
      <c r="P7" s="9" t="n"/>
      <c r="Q7" s="9" t="n"/>
      <c r="R7" s="9" t="n"/>
      <c r="S7" s="9" t="n"/>
      <c r="T7" s="9" t="n">
        <v>7108.1</v>
      </c>
      <c r="U7" s="9" t="n"/>
      <c r="V7" s="9" t="n"/>
      <c r="W7" s="9" t="n"/>
      <c r="X7" s="9" t="n"/>
      <c r="Y7" s="9" t="n"/>
      <c r="Z7" s="9" t="n"/>
      <c r="AA7" s="9" t="n">
        <v>7108.1</v>
      </c>
      <c r="AB7" s="9" t="n"/>
      <c r="AC7" s="9" t="n"/>
      <c r="AD7" s="9" t="n"/>
      <c r="AE7" s="9" t="n">
        <v>17000</v>
      </c>
      <c r="AF7" s="9" t="n"/>
      <c r="AG7" s="13">
        <f>SUM(B7:AE7)</f>
        <v/>
      </c>
    </row>
    <row r="8" ht="15.75" customHeight="1">
      <c r="A8" s="8" t="inlineStr">
        <is>
          <t>Walsall Respite</t>
        </is>
      </c>
      <c r="B8" s="9" t="n"/>
      <c r="C8" s="9" t="n"/>
      <c r="D8" s="9" t="n"/>
      <c r="E8" s="9" t="n"/>
      <c r="F8" s="9" t="n"/>
      <c r="G8" s="12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>
        <v>15000</v>
      </c>
      <c r="AF8" s="9" t="n"/>
      <c r="AG8" s="13">
        <f>SUM(B8:AE8)</f>
        <v/>
      </c>
    </row>
    <row r="9" ht="18.75" customHeight="1">
      <c r="A9" s="8" t="inlineStr">
        <is>
          <t>Ideal for All Ltd</t>
        </is>
      </c>
      <c r="B9" s="9" t="n"/>
      <c r="C9" s="9" t="n"/>
      <c r="D9" s="12" t="n"/>
      <c r="E9" s="12" t="n">
        <v>3661.88</v>
      </c>
      <c r="F9" s="12" t="n"/>
      <c r="G9" s="9" t="n"/>
      <c r="H9" s="9" t="n"/>
      <c r="I9" s="12" t="n"/>
      <c r="J9" s="12" t="n"/>
      <c r="K9" s="12" t="n"/>
      <c r="L9" s="12" t="n"/>
      <c r="M9" s="12" t="n"/>
      <c r="N9" s="9" t="n"/>
      <c r="O9" s="9" t="n"/>
      <c r="P9" s="11" t="n"/>
      <c r="Q9" s="12" t="n">
        <v>3496</v>
      </c>
      <c r="R9" s="9" t="n"/>
      <c r="S9" s="9" t="n"/>
      <c r="T9" s="9" t="n"/>
      <c r="U9" s="12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/>
      <c r="AG9" s="13">
        <f>SUM(B9:AE9)</f>
        <v/>
      </c>
    </row>
    <row r="10" ht="15.75" customHeight="1">
      <c r="A10" s="8" t="inlineStr">
        <is>
          <t>KIRKLEES COUNCIL-204312-63046958</t>
        </is>
      </c>
      <c r="B10" s="9" t="n"/>
      <c r="C10" s="9" t="n"/>
      <c r="D10" s="12" t="n"/>
      <c r="E10" s="9" t="n"/>
      <c r="F10" s="9" t="n"/>
      <c r="G10" s="9" t="n"/>
      <c r="H10" s="9" t="n"/>
      <c r="I10" s="12" t="n"/>
      <c r="J10" s="12" t="n"/>
      <c r="K10" s="12" t="n"/>
      <c r="L10" s="12" t="n"/>
      <c r="M10" s="12" t="n"/>
      <c r="N10" s="9" t="n"/>
      <c r="O10" s="9" t="n"/>
      <c r="P10" s="9" t="n"/>
      <c r="Q10" s="9" t="n"/>
      <c r="R10" s="12" t="n"/>
      <c r="S10" s="9" t="n"/>
      <c r="T10" s="12" t="n">
        <v>5888.14</v>
      </c>
      <c r="U10" s="12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12" t="n"/>
      <c r="AF10" s="12" t="n"/>
      <c r="AG10" s="13">
        <f>SUM(B10:AE10)</f>
        <v/>
      </c>
    </row>
    <row r="11" ht="15.75" customHeight="1">
      <c r="A11" s="8" t="inlineStr">
        <is>
          <t>LBH PAYMENTS BACS-602210-72430192</t>
        </is>
      </c>
      <c r="B11" s="9" t="n"/>
      <c r="C11" s="9" t="n"/>
      <c r="D11" s="9" t="n"/>
      <c r="E11" s="12" t="n"/>
      <c r="F11" s="12" t="n"/>
      <c r="G11" s="9" t="n"/>
      <c r="H11" s="9" t="n"/>
      <c r="I11" s="9" t="n"/>
      <c r="J11" s="9" t="n"/>
      <c r="K11" s="12" t="n">
        <v>5203.8</v>
      </c>
      <c r="L11" s="12" t="n"/>
      <c r="M11" s="12" t="n"/>
      <c r="N11" s="9" t="n"/>
      <c r="O11" s="9" t="n"/>
      <c r="P11" s="9" t="n"/>
      <c r="Q11" s="9" t="n"/>
      <c r="R11" s="9" t="n"/>
      <c r="S11" s="9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9" t="n"/>
      <c r="AG11" s="13">
        <f>SUM(B11:AE11)</f>
        <v/>
      </c>
    </row>
    <row r="12" ht="15.75" customHeight="1">
      <c r="A12" s="8" t="inlineStr">
        <is>
          <t>NHS BIRMINGHAM &amp; S-607080-10017097</t>
        </is>
      </c>
      <c r="B12" s="9" t="n"/>
      <c r="C12" s="9" t="n"/>
      <c r="D12" s="12" t="n"/>
      <c r="E12" s="12" t="n"/>
      <c r="F12" s="9" t="n"/>
      <c r="G12" s="9" t="n"/>
      <c r="H12" s="9" t="n"/>
      <c r="I12" s="9" t="n"/>
      <c r="J12" s="9" t="n"/>
      <c r="K12" s="12" t="n"/>
      <c r="L12" s="12" t="n"/>
      <c r="M12" s="12" t="n">
        <v>7121.63</v>
      </c>
      <c r="N12" s="9" t="n"/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13">
        <f>SUM(B12:AE12)</f>
        <v/>
      </c>
    </row>
    <row r="13" ht="15.75" customHeight="1">
      <c r="A13" s="8" t="inlineStr">
        <is>
          <t>NHS BLACK COUNTRY-607080-10015272</t>
        </is>
      </c>
      <c r="B13" s="9" t="n"/>
      <c r="C13" s="9" t="n"/>
      <c r="D13" s="9" t="n"/>
      <c r="E13" s="12" t="n">
        <v>3300</v>
      </c>
      <c r="F13" s="12" t="n"/>
      <c r="G13" s="9" t="n"/>
      <c r="H13" s="12" t="n"/>
      <c r="I13" s="12" t="n"/>
      <c r="J13" s="9" t="n"/>
      <c r="K13" s="12" t="n"/>
      <c r="L13" s="12" t="n"/>
      <c r="M13" s="12" t="n"/>
      <c r="N13" s="12" t="n"/>
      <c r="O13" s="9" t="n"/>
      <c r="P13" s="12" t="n"/>
      <c r="Q13" s="12" t="n"/>
      <c r="R13" s="12" t="n"/>
      <c r="S13" s="12" t="n">
        <v>13625.17</v>
      </c>
      <c r="T13" s="12" t="n"/>
      <c r="U13" s="12" t="n"/>
      <c r="V13" s="9" t="n"/>
      <c r="W13" s="9" t="n"/>
      <c r="X13" s="9" t="n"/>
      <c r="Y13" s="9" t="n"/>
      <c r="Z13" s="9" t="n"/>
      <c r="AA13" s="9" t="n"/>
      <c r="AB13" s="9" t="n"/>
      <c r="AC13" s="12" t="n"/>
      <c r="AD13" s="9" t="n"/>
      <c r="AE13" s="9" t="n"/>
      <c r="AF13" s="9" t="n"/>
      <c r="AG13" s="13">
        <f>SUM(B13:AE13)</f>
        <v/>
      </c>
    </row>
    <row r="14" ht="15.75" customHeight="1">
      <c r="A14" s="14" t="inlineStr">
        <is>
          <t>SANDWELL MBC  BEN-601539-69624151</t>
        </is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9" t="n"/>
      <c r="O14" s="9" t="n"/>
      <c r="P14" s="12" t="n"/>
      <c r="Q14" s="9" t="n"/>
      <c r="R14" s="12" t="n">
        <v>2660</v>
      </c>
      <c r="S14" s="9" t="n"/>
      <c r="T14" s="12" t="n"/>
      <c r="U14" s="9" t="n"/>
      <c r="V14" s="9" t="n"/>
      <c r="W14" s="9" t="n"/>
      <c r="X14" s="9" t="n"/>
      <c r="Y14" s="12" t="n"/>
      <c r="Z14" s="9" t="n"/>
      <c r="AA14" s="9" t="n"/>
      <c r="AB14" s="9" t="n"/>
      <c r="AC14" s="9" t="n"/>
      <c r="AD14" s="9" t="n"/>
      <c r="AE14" s="9" t="n"/>
      <c r="AF14" s="9" t="n"/>
      <c r="AG14" s="13">
        <f>SUM(B14:AE14)</f>
        <v/>
      </c>
    </row>
    <row r="15" ht="15.75" customHeight="1">
      <c r="A15" s="14" t="inlineStr">
        <is>
          <t>SANDWELL MBC-601539-69624135</t>
        </is>
      </c>
      <c r="B15" s="9" t="n"/>
      <c r="C15" s="9" t="n"/>
      <c r="D15" s="9" t="n">
        <v>128596.16</v>
      </c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>
        <v>128596.16</v>
      </c>
      <c r="S15" s="9" t="n"/>
      <c r="T15" s="9" t="n"/>
      <c r="U15" s="9" t="n"/>
      <c r="V15" s="9" t="n"/>
      <c r="W15" s="9" t="n"/>
      <c r="X15" s="9" t="n"/>
      <c r="Y15" s="9" t="n"/>
      <c r="Z15" s="9" t="n"/>
      <c r="AA15" s="9" t="n"/>
      <c r="AB15" s="9" t="n"/>
      <c r="AC15" s="9" t="n"/>
      <c r="AD15" s="9" t="n"/>
      <c r="AE15" s="9" t="n"/>
      <c r="AF15" s="9" t="n"/>
      <c r="AG15" s="13">
        <f>SUM(B15:AE15)</f>
        <v/>
      </c>
    </row>
    <row r="16" ht="15.75" customHeight="1">
      <c r="A16" s="15" t="inlineStr">
        <is>
          <t>SOLIHULL MBC EXP.-200771-00561525</t>
        </is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12" t="n"/>
      <c r="K16" s="9" t="n"/>
      <c r="L16" s="9" t="n"/>
      <c r="M16" s="9" t="n"/>
      <c r="N16" s="9" t="n"/>
      <c r="O16" s="9" t="n"/>
      <c r="P16" s="9" t="n"/>
      <c r="Q16" s="9" t="n"/>
      <c r="R16" s="12" t="n"/>
      <c r="S16" s="9" t="n"/>
      <c r="T16" s="12" t="n">
        <v>32000</v>
      </c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/>
      <c r="AE16" s="9" t="n"/>
      <c r="AF16" s="9" t="n"/>
      <c r="AG16" s="13">
        <f>SUM(B16:AE16)</f>
        <v/>
      </c>
    </row>
    <row r="17" ht="15.75" customHeight="1">
      <c r="A17" s="15" t="inlineStr">
        <is>
          <t>WALSALL MBC BARC-209073-10731692</t>
        </is>
      </c>
      <c r="B17" s="9" t="n"/>
      <c r="C17" s="9" t="n"/>
      <c r="D17" s="9" t="n"/>
      <c r="E17" s="9" t="n"/>
      <c r="F17" s="9" t="n"/>
      <c r="G17" s="12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  <c r="V17" s="9" t="n"/>
      <c r="W17" s="9" t="n"/>
      <c r="X17" s="9" t="n"/>
      <c r="Y17" s="9" t="n">
        <v>189000</v>
      </c>
      <c r="Z17" s="9" t="n"/>
      <c r="AA17" s="9" t="n"/>
      <c r="AB17" s="9" t="n"/>
      <c r="AC17" s="9" t="n"/>
      <c r="AD17" s="9" t="n"/>
      <c r="AE17" s="9" t="n"/>
      <c r="AF17" s="9" t="n"/>
      <c r="AG17" s="13">
        <f>SUM(B17:AE17)</f>
        <v/>
      </c>
    </row>
    <row r="18" ht="15.75" customHeight="1">
      <c r="A18" s="15" t="inlineStr">
        <is>
          <t>WOLVERHAMPTON CC-560069-44470320</t>
        </is>
      </c>
      <c r="B18" s="9" t="n"/>
      <c r="C18" s="9" t="n"/>
      <c r="D18" s="9" t="n"/>
      <c r="E18" s="9" t="n"/>
      <c r="F18" s="9" t="n">
        <v>114000</v>
      </c>
      <c r="G18" s="9" t="n"/>
      <c r="H18" s="9" t="n"/>
      <c r="I18" s="9" t="n"/>
      <c r="J18" s="9" t="n"/>
      <c r="K18" s="9" t="n"/>
      <c r="L18" s="9" t="n"/>
      <c r="M18" s="9" t="n">
        <v>114000</v>
      </c>
      <c r="N18" s="9" t="n"/>
      <c r="O18" s="9" t="n"/>
      <c r="P18" s="9" t="n"/>
      <c r="Q18" s="9" t="n"/>
      <c r="R18" s="9" t="n"/>
      <c r="S18" s="9" t="n"/>
      <c r="T18" s="9" t="n">
        <v>114000</v>
      </c>
      <c r="U18" s="9" t="n"/>
      <c r="V18" s="9" t="n"/>
      <c r="W18" s="9" t="n"/>
      <c r="X18" s="9" t="n"/>
      <c r="Y18" s="9" t="n"/>
      <c r="Z18" s="9" t="n"/>
      <c r="AA18" s="9" t="n">
        <v>114000</v>
      </c>
      <c r="AB18" s="9" t="n"/>
      <c r="AC18" s="9" t="n"/>
      <c r="AD18" s="9" t="n"/>
      <c r="AE18" s="9" t="n"/>
      <c r="AF18" s="9" t="n"/>
      <c r="AG18" s="13">
        <f>SUM(B18:AE18)</f>
        <v/>
      </c>
    </row>
    <row r="19" ht="15.75" customHeight="1">
      <c r="A19" s="15" t="inlineStr">
        <is>
          <t>Portsmouth</t>
        </is>
      </c>
      <c r="B19" s="9" t="n"/>
      <c r="C19" s="9" t="n"/>
      <c r="D19" s="9" t="n">
        <v>5247.86</v>
      </c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  <c r="V19" s="9" t="n"/>
      <c r="W19" s="9" t="n"/>
      <c r="X19" s="9" t="n"/>
      <c r="Y19" s="9" t="n"/>
      <c r="Z19" s="9" t="n"/>
      <c r="AA19" s="9" t="n"/>
      <c r="AB19" s="9" t="n"/>
      <c r="AC19" s="9" t="n"/>
      <c r="AD19" s="9" t="n"/>
      <c r="AE19" s="9" t="n"/>
      <c r="AF19" s="9" t="n"/>
      <c r="AG19" s="13">
        <f>SUM(B19:AE19)</f>
        <v/>
      </c>
    </row>
    <row r="20" ht="15.75" customHeight="1">
      <c r="A20" s="15" t="inlineStr">
        <is>
          <t>HB SC</t>
        </is>
      </c>
      <c r="B20" s="10" t="n">
        <v>3400</v>
      </c>
      <c r="C20" s="10" t="n">
        <v>3400</v>
      </c>
      <c r="D20" s="10" t="n">
        <v>3400</v>
      </c>
      <c r="E20" s="10" t="n">
        <v>3400</v>
      </c>
      <c r="F20" s="10" t="n">
        <v>3400</v>
      </c>
      <c r="G20" s="10" t="n">
        <v>3400</v>
      </c>
      <c r="H20" s="10" t="n">
        <v>3400</v>
      </c>
      <c r="I20" s="10" t="n">
        <v>3400</v>
      </c>
      <c r="J20" s="10" t="n">
        <v>3400</v>
      </c>
      <c r="K20" s="10" t="n">
        <v>3400</v>
      </c>
      <c r="L20" s="10" t="n">
        <v>3400</v>
      </c>
      <c r="M20" s="10" t="n">
        <v>3400</v>
      </c>
      <c r="N20" s="10" t="n">
        <v>3400</v>
      </c>
      <c r="O20" s="10" t="n">
        <v>3400</v>
      </c>
      <c r="P20" s="10" t="n">
        <v>3400</v>
      </c>
      <c r="Q20" s="10" t="n">
        <v>3400</v>
      </c>
      <c r="R20" s="10" t="n">
        <v>3400</v>
      </c>
      <c r="S20" s="10" t="n">
        <v>3400</v>
      </c>
      <c r="T20" s="10" t="n">
        <v>3400</v>
      </c>
      <c r="U20" s="10" t="n">
        <v>3400</v>
      </c>
      <c r="V20" s="10" t="n">
        <v>3400</v>
      </c>
      <c r="W20" s="10" t="n">
        <v>3400</v>
      </c>
      <c r="X20" s="10" t="n">
        <v>3400</v>
      </c>
      <c r="Y20" s="10" t="n">
        <v>3400</v>
      </c>
      <c r="Z20" s="10" t="n">
        <v>3400</v>
      </c>
      <c r="AA20" s="10" t="n">
        <v>3400</v>
      </c>
      <c r="AB20" s="10" t="n">
        <v>3400</v>
      </c>
      <c r="AC20" s="10" t="n">
        <v>3400</v>
      </c>
      <c r="AD20" s="10" t="n">
        <v>3400</v>
      </c>
      <c r="AE20" s="10" t="n">
        <v>3400</v>
      </c>
      <c r="AF20" s="16" t="n"/>
      <c r="AG20" s="13">
        <f>SUM(B20:AE20)</f>
        <v/>
      </c>
    </row>
    <row r="21" ht="16.5" customHeight="1" thickBot="1">
      <c r="A21" s="66" t="n"/>
      <c r="B21" s="67" t="n"/>
      <c r="C21" s="67" t="n"/>
      <c r="D21" s="67" t="n"/>
      <c r="E21" s="67" t="n"/>
      <c r="F21" s="67" t="n"/>
      <c r="G21" s="67" t="n"/>
      <c r="H21" s="67" t="n"/>
      <c r="I21" s="67" t="n"/>
      <c r="J21" s="67" t="n"/>
      <c r="K21" s="67" t="n"/>
      <c r="L21" s="67" t="n"/>
      <c r="M21" s="67" t="n"/>
      <c r="N21" s="67" t="n"/>
      <c r="O21" s="67" t="n"/>
      <c r="P21" s="67" t="n"/>
      <c r="Q21" s="67" t="n"/>
      <c r="R21" s="67" t="n"/>
      <c r="S21" s="67" t="n"/>
      <c r="T21" s="67" t="n"/>
      <c r="U21" s="67" t="n"/>
      <c r="V21" s="67" t="n"/>
      <c r="W21" s="67" t="n"/>
      <c r="X21" s="67" t="n"/>
      <c r="Y21" s="67" t="n"/>
      <c r="Z21" s="67" t="n"/>
      <c r="AA21" s="67" t="n"/>
      <c r="AB21" s="67" t="n"/>
      <c r="AC21" s="67" t="n"/>
      <c r="AD21" s="67" t="n"/>
      <c r="AE21" s="67" t="n"/>
      <c r="AF21" s="67" t="n"/>
      <c r="AG21" s="252">
        <f>SUM(AG4:AG20)</f>
        <v/>
      </c>
    </row>
    <row r="22" ht="16.5" customHeight="1" thickTop="1">
      <c r="A22" s="15" t="n"/>
      <c r="AG22" s="254" t="n"/>
    </row>
    <row r="23">
      <c r="A23" s="1" t="n"/>
      <c r="B23" s="2" t="inlineStr">
        <is>
          <t>Septemnber</t>
        </is>
      </c>
      <c r="C23" s="2" t="n"/>
      <c r="D23" s="2" t="n"/>
      <c r="E23" s="2" t="n"/>
      <c r="F23" s="2" t="n"/>
      <c r="G23" s="2" t="n"/>
      <c r="H23" s="2" t="n"/>
      <c r="I23" s="2" t="n"/>
      <c r="J23" s="2" t="n"/>
      <c r="K23" s="2" t="n"/>
      <c r="L23" s="2" t="n"/>
      <c r="M23" s="2" t="n"/>
      <c r="N23" s="2" t="n"/>
      <c r="O23" s="2" t="n"/>
      <c r="P23" s="2" t="n"/>
      <c r="Q23" s="2" t="n"/>
      <c r="R23" s="2" t="n"/>
      <c r="S23" s="2" t="n"/>
      <c r="T23" s="2" t="n"/>
      <c r="U23" s="2" t="n"/>
      <c r="V23" s="2" t="n"/>
      <c r="W23" s="2" t="n"/>
      <c r="X23" s="2" t="n"/>
      <c r="Y23" s="2" t="n"/>
      <c r="Z23" s="2" t="n"/>
      <c r="AA23" s="2" t="n"/>
      <c r="AB23" s="2" t="n"/>
      <c r="AC23" s="2" t="n"/>
      <c r="AD23" s="2" t="n"/>
      <c r="AE23" s="1" t="n"/>
      <c r="AF23" s="1" t="n"/>
      <c r="AG23" s="1" t="n"/>
    </row>
    <row r="24" ht="15.75" customHeight="1">
      <c r="A24" s="1" t="n"/>
      <c r="B24" s="2" t="inlineStr">
        <is>
          <t xml:space="preserve">Sunday </t>
        </is>
      </c>
      <c r="C24" s="2" t="inlineStr">
        <is>
          <t>Monday</t>
        </is>
      </c>
      <c r="D24" s="2" t="inlineStr">
        <is>
          <t>Tuesday</t>
        </is>
      </c>
      <c r="E24" s="2" t="inlineStr">
        <is>
          <t>Wednesday</t>
        </is>
      </c>
      <c r="F24" s="2" t="inlineStr">
        <is>
          <t>Thursday</t>
        </is>
      </c>
      <c r="G24" s="2" t="inlineStr">
        <is>
          <t>Friday</t>
        </is>
      </c>
      <c r="H24" s="2" t="inlineStr">
        <is>
          <t>Saturday</t>
        </is>
      </c>
      <c r="I24" s="2" t="inlineStr">
        <is>
          <t>Sunday</t>
        </is>
      </c>
      <c r="J24" s="2" t="inlineStr">
        <is>
          <t>Monday</t>
        </is>
      </c>
      <c r="K24" s="2" t="inlineStr">
        <is>
          <t>Tuesday</t>
        </is>
      </c>
      <c r="L24" s="2" t="inlineStr">
        <is>
          <t>Wednesday</t>
        </is>
      </c>
      <c r="M24" s="2" t="inlineStr">
        <is>
          <t>Thursday</t>
        </is>
      </c>
      <c r="N24" s="2" t="inlineStr">
        <is>
          <t>Friday</t>
        </is>
      </c>
      <c r="O24" s="2" t="inlineStr">
        <is>
          <t>Saturday</t>
        </is>
      </c>
      <c r="P24" s="2" t="inlineStr">
        <is>
          <t>Sunday</t>
        </is>
      </c>
      <c r="Q24" s="2" t="inlineStr">
        <is>
          <t>Monday</t>
        </is>
      </c>
      <c r="R24" s="2" t="inlineStr">
        <is>
          <t>Tuesday</t>
        </is>
      </c>
      <c r="S24" s="2" t="inlineStr">
        <is>
          <t>Wednesday</t>
        </is>
      </c>
      <c r="T24" s="2" t="inlineStr">
        <is>
          <t>Thursday</t>
        </is>
      </c>
      <c r="U24" s="2" t="inlineStr">
        <is>
          <t>Friday</t>
        </is>
      </c>
      <c r="V24" s="2" t="inlineStr">
        <is>
          <t>Saturday</t>
        </is>
      </c>
      <c r="W24" s="2" t="inlineStr">
        <is>
          <t>Sunday</t>
        </is>
      </c>
      <c r="X24" s="2" t="inlineStr">
        <is>
          <t>Monday</t>
        </is>
      </c>
      <c r="Y24" s="2" t="inlineStr">
        <is>
          <t>Tuesday</t>
        </is>
      </c>
      <c r="Z24" s="2" t="inlineStr">
        <is>
          <t>Wednesday</t>
        </is>
      </c>
      <c r="AA24" s="2" t="inlineStr">
        <is>
          <t>Thursday</t>
        </is>
      </c>
      <c r="AB24" s="2" t="inlineStr">
        <is>
          <t>Friday</t>
        </is>
      </c>
      <c r="AC24" s="2" t="inlineStr">
        <is>
          <t>Saturday</t>
        </is>
      </c>
      <c r="AD24" s="2" t="inlineStr">
        <is>
          <t>Sunday</t>
        </is>
      </c>
      <c r="AE24" s="2" t="inlineStr">
        <is>
          <t>Monday</t>
        </is>
      </c>
      <c r="AF24" s="9" t="n"/>
      <c r="AG24" s="2" t="inlineStr">
        <is>
          <t>Total</t>
        </is>
      </c>
    </row>
    <row r="25" ht="15.75" customHeight="1">
      <c r="A25" s="1" t="n"/>
      <c r="B25" s="87" t="inlineStr">
        <is>
          <t>1st</t>
        </is>
      </c>
      <c r="C25" s="3" t="inlineStr">
        <is>
          <t>2nd</t>
        </is>
      </c>
      <c r="D25" s="3" t="inlineStr">
        <is>
          <t>3rd</t>
        </is>
      </c>
      <c r="E25" s="3" t="inlineStr">
        <is>
          <t>4th</t>
        </is>
      </c>
      <c r="F25" s="3" t="inlineStr">
        <is>
          <t>5th</t>
        </is>
      </c>
      <c r="G25" s="3" t="inlineStr">
        <is>
          <t>6th</t>
        </is>
      </c>
      <c r="H25" s="3" t="inlineStr">
        <is>
          <t>7th</t>
        </is>
      </c>
      <c r="I25" s="3" t="inlineStr">
        <is>
          <t>8th</t>
        </is>
      </c>
      <c r="J25" s="4" t="inlineStr">
        <is>
          <t>9th</t>
        </is>
      </c>
      <c r="K25" s="4" t="inlineStr">
        <is>
          <t>10th</t>
        </is>
      </c>
      <c r="L25" s="4" t="inlineStr">
        <is>
          <t>11th</t>
        </is>
      </c>
      <c r="M25" s="4" t="inlineStr">
        <is>
          <t>12th</t>
        </is>
      </c>
      <c r="N25" s="4" t="inlineStr">
        <is>
          <t>13th</t>
        </is>
      </c>
      <c r="O25" s="4" t="inlineStr">
        <is>
          <t>14th</t>
        </is>
      </c>
      <c r="P25" s="4" t="inlineStr">
        <is>
          <t>15th</t>
        </is>
      </c>
      <c r="Q25" s="5" t="inlineStr">
        <is>
          <t>16th</t>
        </is>
      </c>
      <c r="R25" s="5" t="inlineStr">
        <is>
          <t>17th</t>
        </is>
      </c>
      <c r="S25" s="5" t="inlineStr">
        <is>
          <t>18th</t>
        </is>
      </c>
      <c r="T25" s="5" t="inlineStr">
        <is>
          <t>19th</t>
        </is>
      </c>
      <c r="U25" s="5" t="inlineStr">
        <is>
          <t>20th</t>
        </is>
      </c>
      <c r="V25" s="5" t="inlineStr">
        <is>
          <t>21st</t>
        </is>
      </c>
      <c r="W25" s="5" t="inlineStr">
        <is>
          <t>22nd</t>
        </is>
      </c>
      <c r="X25" s="6" t="inlineStr">
        <is>
          <t>23rd</t>
        </is>
      </c>
      <c r="Y25" s="6" t="inlineStr">
        <is>
          <t>24th</t>
        </is>
      </c>
      <c r="Z25" s="6" t="inlineStr">
        <is>
          <t>25th</t>
        </is>
      </c>
      <c r="AA25" s="6" t="inlineStr">
        <is>
          <t>26th</t>
        </is>
      </c>
      <c r="AB25" s="6" t="inlineStr">
        <is>
          <t>27th</t>
        </is>
      </c>
      <c r="AC25" s="6" t="inlineStr">
        <is>
          <t>28th</t>
        </is>
      </c>
      <c r="AD25" s="6" t="inlineStr">
        <is>
          <t>29th</t>
        </is>
      </c>
      <c r="AE25" s="7" t="inlineStr">
        <is>
          <t>30th</t>
        </is>
      </c>
      <c r="AF25" s="9" t="n"/>
      <c r="AG25" s="1" t="n"/>
    </row>
    <row r="26" ht="18.75" customHeight="1">
      <c r="A26" s="8" t="inlineStr">
        <is>
          <t>B-HAM CITY COUNCIL-200790-70489166</t>
        </is>
      </c>
      <c r="B26" s="9" t="n"/>
      <c r="C26" s="12" t="n"/>
      <c r="D26" s="9" t="n"/>
      <c r="E26" s="12" t="n"/>
      <c r="F26" s="12" t="n"/>
      <c r="G26" s="12" t="n"/>
      <c r="I26" s="12" t="n"/>
      <c r="J26" s="12" t="n"/>
      <c r="K26" s="9" t="n"/>
      <c r="L26" t="n">
        <v>62841.32</v>
      </c>
      <c r="M26" s="12" t="n"/>
      <c r="N26" s="12" t="n"/>
      <c r="O26" s="12" t="n"/>
      <c r="P26" s="12" t="n"/>
      <c r="Q26" s="12" t="n"/>
      <c r="S26" s="31" t="n"/>
      <c r="T26" s="31" t="n"/>
      <c r="U26" s="12" t="n"/>
      <c r="V26" s="12" t="n"/>
      <c r="W26" s="12" t="n"/>
      <c r="Y26" s="11" t="n"/>
      <c r="Z26" s="9" t="n"/>
      <c r="AA26" s="12" t="n"/>
      <c r="AB26" s="9" t="n"/>
      <c r="AD26" s="9" t="n"/>
      <c r="AE26" s="12" t="n"/>
      <c r="AF26" s="9" t="n"/>
      <c r="AG26" s="13">
        <f>SUM(B26:AE26)</f>
        <v/>
      </c>
    </row>
    <row r="27" ht="15.75" customHeight="1">
      <c r="A27" s="8" t="inlineStr">
        <is>
          <t>Buckingham</t>
        </is>
      </c>
      <c r="B27" s="9" t="n"/>
      <c r="C27" s="12" t="n"/>
      <c r="D27" s="9" t="n"/>
      <c r="E27" s="9" t="n"/>
      <c r="F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" t="n"/>
      <c r="P27" s="12" t="n"/>
      <c r="Q27" s="12" t="n"/>
      <c r="R27" s="12" t="n"/>
      <c r="S27" s="31" t="n"/>
      <c r="T27" s="31" t="n"/>
      <c r="U27" s="12" t="n"/>
      <c r="V27" s="9" t="n"/>
      <c r="W27" s="9" t="n"/>
      <c r="X27" s="26" t="n"/>
      <c r="Y27" s="26" t="n"/>
      <c r="Z27" s="9" t="n"/>
      <c r="AA27" s="9" t="n"/>
      <c r="AB27" t="n">
        <v>5134.44</v>
      </c>
      <c r="AC27" s="9" t="n"/>
      <c r="AD27" s="9" t="n"/>
      <c r="AE27" s="9" t="n"/>
      <c r="AF27" s="9" t="n"/>
      <c r="AG27" s="13">
        <f>SUM(B27:AE27)</f>
        <v/>
      </c>
    </row>
    <row r="28" ht="15.75" customHeight="1">
      <c r="A28" s="8" t="inlineStr">
        <is>
          <t>Sandwell respite est</t>
        </is>
      </c>
      <c r="B28" s="9" t="n"/>
      <c r="C28" s="9" t="n"/>
      <c r="D28" s="9" t="n"/>
      <c r="E28" s="9" t="n"/>
      <c r="F28" s="9" t="n"/>
      <c r="G28" s="9" t="n"/>
      <c r="H28" s="9" t="n"/>
      <c r="I28" s="9" t="n"/>
      <c r="J28" s="9" t="n"/>
      <c r="K28" s="9" t="n"/>
      <c r="L28" s="9" t="n"/>
      <c r="M28" t="n">
        <v>3984.8</v>
      </c>
      <c r="N28" s="9" t="n"/>
      <c r="O28" s="9" t="n"/>
      <c r="P28" s="9" t="n"/>
      <c r="Q28" s="9" t="n"/>
      <c r="R28" t="n">
        <v>10270.15</v>
      </c>
      <c r="S28" s="26" t="n"/>
      <c r="T28" s="26" t="n"/>
      <c r="U28" s="9" t="n"/>
      <c r="V28" s="9" t="n"/>
      <c r="W28" s="9" t="n"/>
      <c r="X28" s="26" t="n"/>
      <c r="Y28" s="26" t="n"/>
      <c r="Z28" s="9" t="n"/>
      <c r="AA28" s="93" t="n">
        <v>2720</v>
      </c>
      <c r="AC28" s="9" t="n"/>
      <c r="AD28" s="9" t="n"/>
      <c r="AE28" s="9" t="n"/>
      <c r="AF28" s="9" t="n"/>
      <c r="AG28" s="13">
        <f>SUM(B28:AE28)</f>
        <v/>
      </c>
    </row>
    <row r="29" ht="15.75" customHeight="1">
      <c r="A29" s="8" t="inlineStr">
        <is>
          <t xml:space="preserve">Wolverhampton respite est </t>
        </is>
      </c>
      <c r="B29" s="9" t="n"/>
      <c r="C29" s="9" t="n"/>
      <c r="D29" s="9" t="n"/>
      <c r="E29" s="9" t="n"/>
      <c r="G29" s="26" t="n">
        <v>7108.1</v>
      </c>
      <c r="H29" s="9" t="n"/>
      <c r="I29" s="9" t="n"/>
      <c r="J29" s="9" t="n"/>
      <c r="K29" s="9" t="n"/>
      <c r="L29" s="9" t="n"/>
      <c r="M29" s="26" t="n">
        <v>7108.1</v>
      </c>
      <c r="N29" s="9" t="n"/>
      <c r="O29" s="9" t="n"/>
      <c r="P29" s="9" t="n"/>
      <c r="Q29" t="n">
        <v>11822.12</v>
      </c>
      <c r="R29" s="9" t="n"/>
      <c r="S29" s="26" t="n"/>
      <c r="T29" s="26" t="n">
        <v>7108.1</v>
      </c>
      <c r="U29" s="9" t="n"/>
      <c r="V29" s="9" t="n"/>
      <c r="W29" s="9" t="n"/>
      <c r="X29" s="26" t="n"/>
      <c r="Y29" s="26" t="n"/>
      <c r="Z29" s="9" t="n"/>
      <c r="AA29" s="26" t="n">
        <v>7108.1</v>
      </c>
      <c r="AB29" s="26" t="n"/>
      <c r="AC29" s="26" t="n"/>
      <c r="AD29" s="26" t="n"/>
      <c r="AE29" s="26" t="n"/>
      <c r="AF29" s="9" t="n"/>
      <c r="AG29" s="13">
        <f>SUM(B29:AE29)</f>
        <v/>
      </c>
    </row>
    <row r="30" ht="15.75" customHeight="1">
      <c r="A30" s="8" t="inlineStr">
        <is>
          <t>Walsall Respite</t>
        </is>
      </c>
      <c r="B30" s="9" t="n"/>
      <c r="C30" s="9" t="n"/>
      <c r="D30" s="9" t="n"/>
      <c r="E30" s="9" t="n"/>
      <c r="F30" s="9" t="n"/>
      <c r="G30" s="31" t="n">
        <v>3040</v>
      </c>
      <c r="H30" s="9" t="n"/>
      <c r="I30" s="9" t="n"/>
      <c r="J30" t="n">
        <v>1024.17</v>
      </c>
      <c r="K30" s="9" t="n"/>
      <c r="L30" s="9" t="n"/>
      <c r="M30" s="9" t="n"/>
      <c r="N30" s="9" t="n"/>
      <c r="O30" s="9" t="n"/>
      <c r="P30" s="9" t="n"/>
      <c r="Q30" t="n">
        <v>372.5</v>
      </c>
      <c r="R30" s="9" t="n"/>
      <c r="S30" s="26" t="n"/>
      <c r="T30" s="26" t="n"/>
      <c r="U30" s="9" t="n"/>
      <c r="V30" s="9" t="n"/>
      <c r="W30" s="9" t="n"/>
      <c r="X30" s="26" t="n"/>
      <c r="Y30" s="26" t="n">
        <v>29525.2</v>
      </c>
      <c r="Z30" s="9" t="n"/>
      <c r="AA30" s="26" t="n"/>
      <c r="AB30" s="26" t="n"/>
      <c r="AC30" s="26" t="n"/>
      <c r="AD30" s="26" t="n"/>
      <c r="AE30" s="26" t="n"/>
      <c r="AF30" s="9" t="n"/>
      <c r="AG30" s="13">
        <f>SUM(B30:AE30)</f>
        <v/>
      </c>
    </row>
    <row r="31" ht="18.75" customHeight="1">
      <c r="A31" s="8" t="inlineStr">
        <is>
          <t>Ideal for All Ltd</t>
        </is>
      </c>
      <c r="B31" s="9" t="n"/>
      <c r="C31" s="9" t="n"/>
      <c r="D31" s="12" t="n"/>
      <c r="F31" s="12" t="n"/>
      <c r="G31" s="26" t="n"/>
      <c r="H31" s="9" t="n"/>
      <c r="I31" s="12" t="n"/>
      <c r="J31" s="12" t="n"/>
      <c r="K31" s="12" t="n"/>
      <c r="M31" s="12" t="n"/>
      <c r="N31" s="9" t="n"/>
      <c r="O31" s="9" t="n"/>
      <c r="P31" s="11" t="n"/>
      <c r="Q31" t="n">
        <v>5650.879999999999</v>
      </c>
      <c r="R31" s="9" t="n"/>
      <c r="S31" s="26" t="n"/>
      <c r="T31" s="31" t="n"/>
      <c r="U31" t="n">
        <v>3344</v>
      </c>
      <c r="V31" s="9" t="n"/>
      <c r="W31" s="9" t="n"/>
      <c r="X31" s="26" t="n"/>
      <c r="Y31" s="31" t="n"/>
      <c r="Z31" t="n">
        <v>5016</v>
      </c>
      <c r="AA31" s="31" t="n"/>
      <c r="AB31" s="26" t="n"/>
      <c r="AC31" s="26" t="n"/>
      <c r="AD31" s="26" t="n"/>
      <c r="AE31" s="26" t="n"/>
      <c r="AF31" s="9" t="n"/>
      <c r="AG31" s="13">
        <f>SUM(B31:AE31)</f>
        <v/>
      </c>
    </row>
    <row r="32" ht="15.75" customHeight="1">
      <c r="A32" s="8" t="inlineStr">
        <is>
          <t>KIRKLEES COUNCIL-204312-63046958</t>
        </is>
      </c>
      <c r="B32" s="9" t="n"/>
      <c r="C32" t="n">
        <v>5888.14</v>
      </c>
      <c r="D32" s="12" t="n"/>
      <c r="E32" s="9" t="n"/>
      <c r="F32" s="9" t="n"/>
      <c r="G32" s="26" t="n"/>
      <c r="H32" s="9" t="n"/>
      <c r="I32" s="12" t="n"/>
      <c r="J32" s="12" t="n"/>
      <c r="K32" s="12" t="n"/>
      <c r="L32" t="n">
        <v>5698.2</v>
      </c>
      <c r="M32" s="12" t="n"/>
      <c r="N32" s="9" t="n"/>
      <c r="O32" s="9" t="n"/>
      <c r="P32" s="9" t="n"/>
      <c r="Q32" s="9" t="n"/>
      <c r="R32" s="12" t="n"/>
      <c r="S32" s="26" t="n"/>
      <c r="T32" s="31" t="n"/>
      <c r="U32" s="12" t="n"/>
      <c r="V32" s="9" t="n"/>
      <c r="W32" s="9" t="n"/>
      <c r="X32" s="26" t="n"/>
      <c r="Y32" s="26" t="n"/>
      <c r="Z32" s="9" t="n"/>
      <c r="AA32" s="31" t="n"/>
      <c r="AB32" s="26" t="n"/>
      <c r="AC32" s="26" t="n"/>
      <c r="AD32" s="26" t="n"/>
      <c r="AE32" s="31" t="n"/>
      <c r="AF32" s="12" t="n"/>
      <c r="AG32" s="13">
        <f>SUM(B32:AE32)</f>
        <v/>
      </c>
    </row>
    <row r="33" ht="15.75" customHeight="1">
      <c r="A33" s="8" t="inlineStr">
        <is>
          <t>LBH PAYMENTS BACS-602210-72430192</t>
        </is>
      </c>
      <c r="B33" s="9" t="n"/>
      <c r="C33" s="9" t="n"/>
      <c r="D33" s="9" t="n"/>
      <c r="E33" s="12" t="n"/>
      <c r="F33" t="n">
        <v>5203.8</v>
      </c>
      <c r="G33" s="26" t="n"/>
      <c r="H33" s="9" t="n"/>
      <c r="I33" s="9" t="n"/>
      <c r="J33" s="9" t="n"/>
      <c r="K33" s="12" t="n"/>
      <c r="L33" s="12" t="n"/>
      <c r="M33" s="12" t="n"/>
      <c r="N33" s="9" t="n"/>
      <c r="O33" s="9" t="n"/>
      <c r="P33" s="9" t="n"/>
      <c r="Q33" s="9" t="n"/>
      <c r="R33" s="9" t="n"/>
      <c r="S33" s="26" t="n"/>
      <c r="T33" s="26" t="n"/>
      <c r="U33" s="9" t="n"/>
      <c r="V33" s="9" t="n"/>
      <c r="W33" s="9" t="n"/>
      <c r="X33" s="26" t="n"/>
      <c r="Y33" s="26" t="n"/>
      <c r="Z33" s="9" t="n"/>
      <c r="AA33" s="31" t="n"/>
      <c r="AB33" s="26" t="n"/>
      <c r="AC33" s="26" t="n"/>
      <c r="AD33" s="26" t="n"/>
      <c r="AE33" s="26" t="n"/>
      <c r="AF33" s="9" t="n"/>
      <c r="AG33" s="13">
        <f>SUM(B33:AE33)</f>
        <v/>
      </c>
    </row>
    <row r="34" ht="15.75" customHeight="1">
      <c r="A34" s="8" t="inlineStr">
        <is>
          <t>NHS BIRMINGHAM &amp; S-607080-10017097</t>
        </is>
      </c>
      <c r="B34" s="9" t="n"/>
      <c r="C34" s="9" t="n"/>
      <c r="D34" s="12" t="n"/>
      <c r="E34" s="12" t="n"/>
      <c r="F34" s="9" t="n"/>
      <c r="G34" s="26" t="n"/>
      <c r="H34" s="9" t="n"/>
      <c r="I34" s="9" t="n"/>
      <c r="J34" s="9" t="n"/>
      <c r="K34" s="12" t="n"/>
      <c r="L34" s="12" t="n"/>
      <c r="N34" t="n">
        <v>7121.63</v>
      </c>
      <c r="O34" s="9" t="n"/>
      <c r="P34" s="9" t="n"/>
      <c r="Q34" s="9" t="n"/>
      <c r="R34" s="9" t="n"/>
      <c r="S34" s="26" t="n">
        <v>6133.28</v>
      </c>
      <c r="T34" s="31" t="n"/>
      <c r="U34" s="9" t="n"/>
      <c r="V34" s="9" t="n"/>
      <c r="W34" s="9" t="n"/>
      <c r="X34" s="26" t="n"/>
      <c r="Y34" s="26" t="n"/>
      <c r="Z34" s="9" t="n"/>
      <c r="AA34" s="31" t="n"/>
      <c r="AB34" s="26" t="n"/>
      <c r="AC34" s="26" t="n"/>
      <c r="AD34" s="26" t="n"/>
      <c r="AE34" s="26" t="n"/>
      <c r="AF34" s="9" t="n"/>
      <c r="AG34" s="13">
        <f>SUM(B34:AE34)</f>
        <v/>
      </c>
    </row>
    <row r="35" ht="15.75" customHeight="1">
      <c r="A35" s="8" t="inlineStr">
        <is>
          <t>NHS BLACK COUNTRY-607080-10015272</t>
        </is>
      </c>
      <c r="B35" s="9" t="n"/>
      <c r="C35" s="9" t="n"/>
      <c r="D35" s="9" t="n"/>
      <c r="F35" t="n">
        <v>3575</v>
      </c>
      <c r="G35" s="26" t="n"/>
      <c r="H35" s="12" t="n"/>
      <c r="I35" s="12" t="n"/>
      <c r="J35" s="12" t="n"/>
      <c r="K35" s="12" t="n"/>
      <c r="L35" s="12" t="n"/>
      <c r="M35" s="12" t="n"/>
      <c r="N35" t="n">
        <v>16313.93</v>
      </c>
      <c r="O35" s="9" t="n"/>
      <c r="P35" s="12" t="n"/>
      <c r="Q35" s="12" t="n"/>
      <c r="R35" s="12" t="n"/>
      <c r="S35" s="31" t="n"/>
      <c r="T35" s="31" t="n">
        <v>1000</v>
      </c>
      <c r="U35" s="12" t="n"/>
      <c r="V35" s="9" t="n"/>
      <c r="W35" s="9" t="n"/>
      <c r="X35" s="26" t="n">
        <v>5000</v>
      </c>
      <c r="Y35" s="26" t="n"/>
      <c r="Z35" t="n">
        <v>1114.8</v>
      </c>
      <c r="AA35" s="31" t="n"/>
      <c r="AB35" s="26" t="n"/>
      <c r="AC35" s="31" t="n"/>
      <c r="AD35" s="26" t="n"/>
      <c r="AE35" s="26" t="n"/>
      <c r="AF35" s="9" t="n"/>
      <c r="AG35" s="13">
        <f>SUM(B35:AE35)</f>
        <v/>
      </c>
    </row>
    <row r="36" ht="15.75" customHeight="1">
      <c r="A36" s="14" t="inlineStr">
        <is>
          <t>SANDWELL MBC  BEN-601539-69624151</t>
        </is>
      </c>
      <c r="B36" s="9" t="n"/>
      <c r="C36" s="9" t="n"/>
      <c r="D36" s="9" t="n"/>
      <c r="E36" s="9" t="n"/>
      <c r="F36" s="9" t="n"/>
      <c r="G36" s="26" t="n"/>
      <c r="H36" s="9" t="n"/>
      <c r="I36" s="9" t="n"/>
      <c r="J36" s="9" t="n"/>
      <c r="K36" s="9" t="n"/>
      <c r="L36" s="9" t="n"/>
      <c r="M36" s="9" t="n"/>
      <c r="N36" s="9" t="n"/>
      <c r="O36" s="9" t="n"/>
      <c r="P36" s="12" t="n"/>
      <c r="Q36" s="31" t="n">
        <v>2660</v>
      </c>
      <c r="S36" s="26" t="n"/>
      <c r="T36" s="31" t="n"/>
      <c r="U36" s="9" t="n"/>
      <c r="V36" s="9" t="n"/>
      <c r="W36" s="9" t="n"/>
      <c r="X36" s="26" t="n"/>
      <c r="Y36" s="31" t="n"/>
      <c r="Z36" s="9" t="n"/>
      <c r="AA36" s="26" t="n"/>
      <c r="AB36" s="26" t="n"/>
      <c r="AC36" s="26" t="n"/>
      <c r="AD36" s="26" t="n"/>
      <c r="AE36" s="26" t="n"/>
      <c r="AF36" s="9" t="n"/>
      <c r="AG36" s="13">
        <f>SUM(B36:AE36)</f>
        <v/>
      </c>
    </row>
    <row r="37" ht="15.75" customHeight="1">
      <c r="A37" s="14" t="inlineStr">
        <is>
          <t>SANDWELL MBC-601539-69624135</t>
        </is>
      </c>
      <c r="B37" s="9" t="n"/>
      <c r="C37" s="9" t="n"/>
      <c r="E37" s="9" t="n"/>
      <c r="F37" t="n">
        <v>128596.16</v>
      </c>
      <c r="G37" s="31" t="n"/>
      <c r="H37" s="9" t="n"/>
      <c r="I37" s="9" t="n"/>
      <c r="J37" s="9" t="n"/>
      <c r="K37" s="9" t="n"/>
      <c r="L37" s="9" t="n"/>
      <c r="M37" s="9" t="n"/>
      <c r="N37" s="9" t="n"/>
      <c r="O37" s="9" t="n"/>
      <c r="P37" s="9" t="n"/>
      <c r="Q37" t="n">
        <v>124940.48</v>
      </c>
      <c r="R37" s="32" t="n"/>
      <c r="S37" s="26" t="n"/>
      <c r="T37" s="26" t="n"/>
      <c r="U37" s="9" t="n"/>
      <c r="V37" s="9" t="n"/>
      <c r="W37" s="9" t="n"/>
      <c r="X37" s="26" t="n"/>
      <c r="Y37" s="26" t="n"/>
      <c r="Z37" s="9" t="n"/>
      <c r="AA37" s="26" t="n"/>
      <c r="AB37" s="31" t="n">
        <v>124940.48</v>
      </c>
      <c r="AC37" s="26" t="n"/>
      <c r="AD37" s="26" t="n"/>
      <c r="AE37" s="26" t="n"/>
      <c r="AF37" s="9" t="n"/>
      <c r="AG37" s="13">
        <f>SUM(B37:AE37)</f>
        <v/>
      </c>
    </row>
    <row r="38" ht="15.75" customHeight="1">
      <c r="A38" s="15" t="inlineStr">
        <is>
          <t>SOLIHULL MBC EXP.-200771-00561525</t>
        </is>
      </c>
      <c r="B38" s="9" t="n"/>
      <c r="C38" s="9" t="n"/>
      <c r="D38" s="9" t="n"/>
      <c r="E38" s="9" t="n"/>
      <c r="F38" s="9" t="n"/>
      <c r="G38" s="26" t="n"/>
      <c r="H38" s="9" t="n"/>
      <c r="I38" s="9" t="n"/>
      <c r="J38" t="n">
        <v>32010.44</v>
      </c>
      <c r="K38" s="9" t="n"/>
      <c r="L38" s="9" t="n"/>
      <c r="M38" s="9" t="n"/>
      <c r="N38" s="9" t="n"/>
      <c r="O38" s="9" t="n"/>
      <c r="P38" s="9" t="n"/>
      <c r="Q38" s="9" t="n"/>
      <c r="R38" s="12" t="n"/>
      <c r="S38" s="26" t="n"/>
      <c r="T38" s="31" t="n"/>
      <c r="U38" s="9" t="n"/>
      <c r="V38" s="9" t="n"/>
      <c r="W38" s="9" t="n"/>
      <c r="X38" s="26" t="n"/>
      <c r="Y38" s="26" t="n"/>
      <c r="Z38" s="9" t="n"/>
      <c r="AA38" s="26" t="n"/>
      <c r="AB38" s="26" t="n"/>
      <c r="AC38" s="26" t="n"/>
      <c r="AD38" s="26" t="n"/>
      <c r="AE38" s="26" t="n"/>
      <c r="AF38" s="9" t="n"/>
      <c r="AG38" s="13">
        <f>SUM(B38:AE38)</f>
        <v/>
      </c>
    </row>
    <row r="39" ht="15.75" customHeight="1">
      <c r="A39" s="15" t="inlineStr">
        <is>
          <t>WALSALL MBC BARC-209073-10731692</t>
        </is>
      </c>
      <c r="B39" s="9" t="n"/>
      <c r="C39" s="9" t="n"/>
      <c r="D39" s="9" t="n"/>
      <c r="E39" s="26" t="n"/>
      <c r="F39" s="26" t="n"/>
      <c r="G39" s="31" t="n"/>
      <c r="H39" s="26" t="n"/>
      <c r="I39" s="26" t="n"/>
      <c r="J39" s="26" t="n"/>
      <c r="K39" s="9" t="n"/>
      <c r="L39" s="9" t="n"/>
      <c r="M39" s="9" t="n"/>
      <c r="N39" s="9" t="n"/>
      <c r="O39" s="9" t="n"/>
      <c r="P39" s="9" t="n"/>
      <c r="Q39" s="9" t="n"/>
      <c r="R39" s="9" t="n"/>
      <c r="S39" s="26" t="n"/>
      <c r="T39" s="26" t="n"/>
      <c r="U39" s="9" t="n"/>
      <c r="V39" s="9" t="n"/>
      <c r="W39" s="9" t="n"/>
      <c r="X39" s="26" t="n"/>
      <c r="Y39" s="26" t="n">
        <v>189922.96</v>
      </c>
      <c r="Z39" s="9" t="n"/>
      <c r="AA39" s="26" t="n"/>
      <c r="AB39" s="26" t="n"/>
      <c r="AC39" s="26" t="n"/>
      <c r="AD39" s="26" t="n"/>
      <c r="AE39" s="26" t="n"/>
      <c r="AF39" s="9" t="n"/>
      <c r="AG39" s="13">
        <f>SUM(B39:AE39)</f>
        <v/>
      </c>
    </row>
    <row r="40" ht="15.75" customHeight="1">
      <c r="A40" s="15" t="inlineStr">
        <is>
          <t>WOLVERHAMPTON CC-560069-44470320</t>
        </is>
      </c>
      <c r="B40" s="9" t="n"/>
      <c r="C40" s="9" t="n"/>
      <c r="D40" s="9" t="n"/>
      <c r="E40" s="26" t="n"/>
      <c r="F40" s="31" t="n"/>
      <c r="G40" s="26">
        <f>145837.14-G29</f>
        <v/>
      </c>
      <c r="H40" s="26" t="n"/>
      <c r="I40" s="26" t="n"/>
      <c r="J40" s="26" t="n"/>
      <c r="K40" s="9" t="n"/>
      <c r="L40" s="9" t="n"/>
      <c r="M40">
        <f>123796.9-M29</f>
        <v/>
      </c>
      <c r="N40" s="9" t="n"/>
      <c r="O40" s="9" t="n"/>
      <c r="P40" s="9" t="n"/>
      <c r="Q40" s="9" t="n"/>
      <c r="R40" s="9" t="n"/>
      <c r="S40" s="26" t="n"/>
      <c r="T40" s="26" t="n">
        <v>113904.56</v>
      </c>
      <c r="U40" s="9" t="n"/>
      <c r="V40" s="9" t="n"/>
      <c r="W40" s="9" t="n"/>
      <c r="X40" s="26" t="n"/>
      <c r="Y40" s="26" t="n"/>
      <c r="Z40" s="9" t="n"/>
      <c r="AA40" s="16">
        <f>120238.26-AA29</f>
        <v/>
      </c>
      <c r="AB40" s="26" t="n"/>
      <c r="AC40" s="26" t="n"/>
      <c r="AD40" s="26" t="n"/>
      <c r="AE40" s="26" t="n"/>
      <c r="AF40" s="9" t="n"/>
      <c r="AG40" s="13">
        <f>SUM(B40:AE40)</f>
        <v/>
      </c>
    </row>
    <row r="41" ht="15.75" customHeight="1">
      <c r="A41" s="15" t="inlineStr">
        <is>
          <t>Portsmouth</t>
        </is>
      </c>
      <c r="B41" s="9" t="n"/>
      <c r="C41" s="9" t="n"/>
      <c r="D41" t="n">
        <v>5247.86</v>
      </c>
      <c r="E41" s="26" t="n"/>
      <c r="F41" s="26" t="n"/>
      <c r="G41" s="26" t="n"/>
      <c r="H41" s="26" t="n"/>
      <c r="I41" s="26" t="n"/>
      <c r="J41" s="26" t="n"/>
      <c r="K41" s="9" t="n"/>
      <c r="L41" s="9" t="n"/>
      <c r="M41" s="9" t="n"/>
      <c r="N41" s="9" t="n"/>
      <c r="O41" s="9" t="n"/>
      <c r="P41" s="9" t="n"/>
      <c r="Q41" s="9" t="n"/>
      <c r="R41" s="9" t="n"/>
      <c r="S41" s="26" t="n"/>
      <c r="T41" s="26" t="n"/>
      <c r="U41" s="9" t="n"/>
      <c r="V41" s="9" t="n"/>
      <c r="W41" s="9" t="n"/>
      <c r="X41" s="26" t="n"/>
      <c r="Y41" s="26" t="n"/>
      <c r="Z41" s="9" t="n"/>
      <c r="AA41" s="26" t="n"/>
      <c r="AB41" s="26" t="n"/>
      <c r="AC41" s="26" t="n"/>
      <c r="AD41" s="26" t="n"/>
      <c r="AE41" s="26" t="n"/>
      <c r="AF41" s="9" t="n"/>
      <c r="AG41" s="13">
        <f>SUM(B41:AE41)</f>
        <v/>
      </c>
    </row>
    <row r="42" ht="15.75" customHeight="1">
      <c r="A42" s="15" t="inlineStr">
        <is>
          <t>HB SC</t>
        </is>
      </c>
      <c r="B42" s="16" t="n">
        <v>607.6900000000001</v>
      </c>
      <c r="C42" s="16" t="n">
        <v>5464.450000000002</v>
      </c>
      <c r="D42" s="16" t="n">
        <v>2371.28</v>
      </c>
      <c r="E42" s="16" t="n">
        <v>2236.4</v>
      </c>
      <c r="F42" s="16" t="n">
        <v>2386.520000000007</v>
      </c>
      <c r="G42" s="16" t="n">
        <v>3018.26999999999</v>
      </c>
      <c r="H42" s="16" t="n">
        <v>0</v>
      </c>
      <c r="I42" s="16" t="n">
        <v>200</v>
      </c>
      <c r="J42" s="16" t="n">
        <v>11041.76000000001</v>
      </c>
      <c r="K42" s="16" t="n">
        <v>2868.76</v>
      </c>
      <c r="L42" s="16" t="n">
        <v>2438.649999999994</v>
      </c>
      <c r="M42" s="16" t="n">
        <v>1018.839999999997</v>
      </c>
      <c r="N42" s="16" t="n">
        <v>9814.09</v>
      </c>
      <c r="O42" s="16" t="n">
        <v>0</v>
      </c>
      <c r="P42" s="16" t="n">
        <v>220</v>
      </c>
      <c r="Q42" s="16" t="n">
        <v>9298.420000000004</v>
      </c>
      <c r="R42" s="16" t="n">
        <v>2144.66</v>
      </c>
      <c r="S42" s="16" t="n">
        <v>1385.54</v>
      </c>
      <c r="T42" s="16" t="n">
        <v>10563.29999999999</v>
      </c>
      <c r="U42" s="16" t="n">
        <v>6683.25</v>
      </c>
      <c r="V42" s="16" t="n">
        <v>0</v>
      </c>
      <c r="W42" s="16" t="n">
        <v>480.56</v>
      </c>
      <c r="X42" s="16" t="n">
        <v>8244.609999999999</v>
      </c>
      <c r="Y42" s="16" t="n">
        <v>1715.679999999993</v>
      </c>
      <c r="Z42" s="16" t="n">
        <v>3070.83</v>
      </c>
      <c r="AA42" s="16" t="n">
        <v>1627.660000000033</v>
      </c>
      <c r="AB42" s="16" t="n">
        <v>5279.270000000036</v>
      </c>
      <c r="AC42" s="16" t="n">
        <v>0</v>
      </c>
      <c r="AD42" s="16" t="n">
        <v>200</v>
      </c>
      <c r="AE42" s="16" t="n">
        <v>7458.23</v>
      </c>
      <c r="AF42" s="16" t="n"/>
      <c r="AG42" s="13">
        <f>SUM(B42:AE42)</f>
        <v/>
      </c>
    </row>
    <row r="43" ht="16.5" customFormat="1" customHeight="1" s="67" thickBot="1">
      <c r="A43" s="66" t="inlineStr">
        <is>
          <t>Total</t>
        </is>
      </c>
      <c r="B43" s="67">
        <f>SUM(B26:B42)</f>
        <v/>
      </c>
      <c r="C43" s="67">
        <f>SUM(C26:C42)</f>
        <v/>
      </c>
      <c r="D43" s="67">
        <f>SUM(D26:D42)</f>
        <v/>
      </c>
      <c r="E43" s="67">
        <f>SUM(E26:E42)</f>
        <v/>
      </c>
      <c r="F43" s="67">
        <f>SUM(F26:F42)</f>
        <v/>
      </c>
      <c r="G43" s="67">
        <f>SUM(G26:G42)</f>
        <v/>
      </c>
      <c r="H43" s="67">
        <f>SUM(H26:H42)</f>
        <v/>
      </c>
      <c r="I43" s="67">
        <f>SUM(I26:I42)</f>
        <v/>
      </c>
      <c r="J43" s="67">
        <f>SUM(J26:J42)</f>
        <v/>
      </c>
      <c r="K43" s="67">
        <f>SUM(K26:K42)</f>
        <v/>
      </c>
      <c r="L43" s="67">
        <f>SUM(L26:L42)</f>
        <v/>
      </c>
      <c r="M43" s="67">
        <f>SUM(M26:M42)</f>
        <v/>
      </c>
      <c r="N43" s="67">
        <f>SUM(N26:N42)</f>
        <v/>
      </c>
      <c r="O43" s="67">
        <f>SUM(O26:O42)</f>
        <v/>
      </c>
      <c r="P43" s="67">
        <f>SUM(P26:P42)</f>
        <v/>
      </c>
      <c r="Q43" s="67">
        <f>SUM(Q26:Q42)</f>
        <v/>
      </c>
      <c r="R43" s="67">
        <f>SUM(R26:R42)</f>
        <v/>
      </c>
      <c r="S43" s="67">
        <f>SUM(S26:S42)</f>
        <v/>
      </c>
      <c r="T43" s="67">
        <f>SUM(T26:T42)</f>
        <v/>
      </c>
      <c r="U43" s="67">
        <f>SUM(U26:U42)</f>
        <v/>
      </c>
      <c r="V43" s="67">
        <f>SUM(V26:V42)</f>
        <v/>
      </c>
      <c r="W43" s="67">
        <f>SUM(W26:W42)</f>
        <v/>
      </c>
      <c r="X43" s="67">
        <f>SUM(X26:X42)</f>
        <v/>
      </c>
      <c r="Y43" s="67">
        <f>SUM(Y26:Y42)</f>
        <v/>
      </c>
      <c r="Z43" s="67">
        <f>SUM(Z26:Z42)</f>
        <v/>
      </c>
      <c r="AA43" s="67">
        <f>SUM(AA26:AA42)</f>
        <v/>
      </c>
      <c r="AB43" s="67">
        <f>SUM(AB26:AB42)</f>
        <v/>
      </c>
      <c r="AC43" s="67">
        <f>SUM(AC26:AC42)</f>
        <v/>
      </c>
      <c r="AD43" s="67">
        <f>SUM(AD26:AD42)</f>
        <v/>
      </c>
      <c r="AE43" s="67">
        <f>SUM(AE26:AE42)</f>
        <v/>
      </c>
      <c r="AF43" s="67">
        <f>SUM(AF26:AF42)</f>
        <v/>
      </c>
      <c r="AG43" s="252">
        <f>SUM(AG26:AG42)</f>
        <v/>
      </c>
    </row>
    <row r="44" ht="15.75" customHeight="1" thickTop="1">
      <c r="A44" s="15" t="inlineStr">
        <is>
          <t>Ruunning Total</t>
        </is>
      </c>
      <c r="B44">
        <f>B43</f>
        <v/>
      </c>
      <c r="C44">
        <f>B44+C43</f>
        <v/>
      </c>
      <c r="D44">
        <f>C44+D43</f>
        <v/>
      </c>
      <c r="E44">
        <f>D44+E43</f>
        <v/>
      </c>
      <c r="F44">
        <f>E44+F43</f>
        <v/>
      </c>
      <c r="G44">
        <f>F44+G43</f>
        <v/>
      </c>
      <c r="H44">
        <f>G44+H43</f>
        <v/>
      </c>
      <c r="I44">
        <f>H44+I43</f>
        <v/>
      </c>
      <c r="J44">
        <f>I44+J43</f>
        <v/>
      </c>
      <c r="K44">
        <f>J44+K43</f>
        <v/>
      </c>
      <c r="L44">
        <f>K44+L43</f>
        <v/>
      </c>
      <c r="M44">
        <f>L44+M43</f>
        <v/>
      </c>
      <c r="N44">
        <f>M44+N43</f>
        <v/>
      </c>
      <c r="O44">
        <f>N44+O43</f>
        <v/>
      </c>
      <c r="P44">
        <f>O44+P43</f>
        <v/>
      </c>
      <c r="Q44">
        <f>P44+Q43</f>
        <v/>
      </c>
      <c r="R44">
        <f>Q44+R43</f>
        <v/>
      </c>
      <c r="S44">
        <f>R44+S43</f>
        <v/>
      </c>
      <c r="T44">
        <f>S44+T43</f>
        <v/>
      </c>
      <c r="U44">
        <f>T44+U43</f>
        <v/>
      </c>
      <c r="V44">
        <f>U44+V43</f>
        <v/>
      </c>
      <c r="W44">
        <f>V44+W43</f>
        <v/>
      </c>
      <c r="X44">
        <f>W44+X43</f>
        <v/>
      </c>
      <c r="Y44">
        <f>X44+Y43</f>
        <v/>
      </c>
      <c r="Z44">
        <f>Y44+Z43</f>
        <v/>
      </c>
      <c r="AA44">
        <f>Z44+AA43</f>
        <v/>
      </c>
      <c r="AB44">
        <f>AA44+AB43</f>
        <v/>
      </c>
      <c r="AC44">
        <f>AB44+AC43</f>
        <v/>
      </c>
      <c r="AD44">
        <f>AC44+AD43</f>
        <v/>
      </c>
      <c r="AE44">
        <f>AD44+AE43</f>
        <v/>
      </c>
      <c r="AF44">
        <f>AE44+AF43</f>
        <v/>
      </c>
    </row>
    <row r="47">
      <c r="A47" s="96" t="inlineStr">
        <is>
          <t xml:space="preserve">Chasing </t>
        </is>
      </c>
    </row>
    <row r="48">
      <c r="A48" s="15" t="inlineStr">
        <is>
          <t>Birmingham</t>
        </is>
      </c>
      <c r="B48" t="n">
        <v>10361.51</v>
      </c>
    </row>
    <row r="49">
      <c r="A49" s="15" t="inlineStr">
        <is>
          <t>Sandwell</t>
        </is>
      </c>
      <c r="B49" t="n">
        <v>17824.46</v>
      </c>
    </row>
    <row r="50">
      <c r="A50" s="15" t="inlineStr">
        <is>
          <t>Wolverhampton</t>
        </is>
      </c>
      <c r="B50" t="n">
        <v>5028.4</v>
      </c>
    </row>
    <row r="51">
      <c r="A51" s="15" t="inlineStr">
        <is>
          <t>Walsall</t>
        </is>
      </c>
      <c r="B51" t="n">
        <v>16373.6</v>
      </c>
    </row>
    <row r="52">
      <c r="A52" s="15" t="inlineStr">
        <is>
          <t xml:space="preserve">Black country nhs trust </t>
        </is>
      </c>
      <c r="B52" t="n">
        <v>7344</v>
      </c>
      <c r="C52" t="inlineStr">
        <is>
          <t>Kamal Miah</t>
        </is>
      </c>
    </row>
    <row r="53" ht="15.75" customHeight="1" thickBot="1">
      <c r="A53" s="53" t="inlineStr">
        <is>
          <t>Total</t>
        </is>
      </c>
      <c r="B53" s="29">
        <f>SUM(B48:B52)</f>
        <v/>
      </c>
    </row>
    <row r="54" ht="15.75" customHeight="1" thickTop="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/>
  </sheetPr>
  <dimension ref="A2:AL84"/>
  <sheetViews>
    <sheetView topLeftCell="A30" zoomScale="70" zoomScaleNormal="70" workbookViewId="0">
      <pane xSplit="1" topLeftCell="I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1.140625" bestFit="1" customWidth="1" min="2" max="2"/>
    <col width="13.140625" bestFit="1" customWidth="1" min="3" max="3"/>
    <col width="12.5703125" bestFit="1" customWidth="1" min="4" max="4"/>
    <col width="9.85546875" bestFit="1" customWidth="1" min="5" max="5"/>
    <col width="10.7109375" bestFit="1" customWidth="1" min="6" max="6"/>
    <col width="9.85546875" bestFit="1" customWidth="1" min="7" max="7"/>
    <col width="12.5703125" bestFit="1" customWidth="1" min="8" max="9"/>
    <col width="13.140625" bestFit="1" customWidth="1" min="10" max="10"/>
    <col width="11.140625" bestFit="1" customWidth="1" min="11" max="11"/>
    <col width="9.85546875" bestFit="1" customWidth="1" min="12" max="12"/>
    <col width="11.140625" bestFit="1" customWidth="1" min="13" max="13"/>
    <col width="9.85546875" bestFit="1" customWidth="1" min="14" max="15"/>
    <col width="12.5703125" bestFit="1" customWidth="1" min="16" max="16"/>
    <col width="13.140625" bestFit="1" customWidth="1" min="17" max="17"/>
    <col width="11.140625" bestFit="1" customWidth="1" min="18" max="18"/>
    <col width="9.85546875" bestFit="1" customWidth="1" min="19" max="19"/>
    <col width="10.7109375" bestFit="1" customWidth="1" min="20" max="20"/>
    <col width="9.85546875" bestFit="1" customWidth="1" min="21" max="22"/>
    <col width="12.5703125" bestFit="1" customWidth="1" min="23" max="23"/>
    <col width="13.140625" bestFit="1" customWidth="1" min="24" max="24"/>
    <col width="12.5703125" bestFit="1" customWidth="1" min="25" max="25"/>
    <col width="9.85546875" bestFit="1" customWidth="1" min="26" max="26"/>
    <col width="10.7109375" bestFit="1" customWidth="1" min="27" max="27"/>
    <col width="9.85546875" bestFit="1" customWidth="1" min="28" max="29"/>
    <col width="12.5703125" bestFit="1" customWidth="1" min="30" max="30"/>
    <col width="13.140625" bestFit="1" customWidth="1" min="31" max="31"/>
    <col width="11.140625" bestFit="1" customWidth="1" min="32" max="33"/>
    <col width="13.5703125" bestFit="1" customWidth="1" min="34" max="34"/>
    <col hidden="1" width="10.140625" customWidth="1" min="35" max="35"/>
    <col width="35.85546875" bestFit="1" customWidth="1" min="37" max="37"/>
  </cols>
  <sheetData>
    <row r="1" hidden="1"/>
    <row r="2" hidden="1">
      <c r="A2" s="1" t="n"/>
      <c r="B2" s="2" t="inlineStr">
        <is>
          <t>October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1" t="n"/>
      <c r="AF2" s="1" t="n"/>
      <c r="AG2" s="1" t="n"/>
      <c r="AH2" s="1" t="n"/>
    </row>
    <row r="3" hidden="1">
      <c r="A3" s="1" t="n"/>
      <c r="B3" s="2" t="inlineStr">
        <is>
          <t>Tuesday</t>
        </is>
      </c>
      <c r="C3" s="2" t="inlineStr">
        <is>
          <t>Wednesday</t>
        </is>
      </c>
      <c r="D3" s="2" t="inlineStr">
        <is>
          <t>Thursday</t>
        </is>
      </c>
      <c r="E3" s="2" t="inlineStr">
        <is>
          <t>Friday</t>
        </is>
      </c>
      <c r="F3" s="2" t="inlineStr">
        <is>
          <t>Saturday</t>
        </is>
      </c>
      <c r="G3" s="2" t="inlineStr">
        <is>
          <t>Sunday</t>
        </is>
      </c>
      <c r="H3" s="2" t="inlineStr">
        <is>
          <t>Monday</t>
        </is>
      </c>
      <c r="I3" s="2" t="inlineStr">
        <is>
          <t>Tuesday</t>
        </is>
      </c>
      <c r="J3" s="2" t="inlineStr">
        <is>
          <t>Wednesday</t>
        </is>
      </c>
      <c r="K3" s="2" t="inlineStr">
        <is>
          <t>Thursday</t>
        </is>
      </c>
      <c r="L3" s="2" t="inlineStr">
        <is>
          <t>Friday</t>
        </is>
      </c>
      <c r="M3" s="2" t="inlineStr">
        <is>
          <t>Saturday</t>
        </is>
      </c>
      <c r="N3" s="2" t="inlineStr">
        <is>
          <t>Sunday</t>
        </is>
      </c>
      <c r="O3" s="2" t="inlineStr">
        <is>
          <t>Monday</t>
        </is>
      </c>
      <c r="P3" s="2" t="inlineStr">
        <is>
          <t>Tuesday</t>
        </is>
      </c>
      <c r="Q3" s="2" t="inlineStr">
        <is>
          <t>Wednesday</t>
        </is>
      </c>
      <c r="R3" s="2" t="inlineStr">
        <is>
          <t>Thursday</t>
        </is>
      </c>
      <c r="S3" s="2" t="inlineStr">
        <is>
          <t>Friday</t>
        </is>
      </c>
      <c r="T3" s="2" t="inlineStr">
        <is>
          <t>Saturday</t>
        </is>
      </c>
      <c r="U3" s="2" t="inlineStr">
        <is>
          <t>Sunday</t>
        </is>
      </c>
      <c r="V3" s="2" t="inlineStr">
        <is>
          <t>Monday</t>
        </is>
      </c>
      <c r="W3" s="2" t="inlineStr">
        <is>
          <t>Tuesday</t>
        </is>
      </c>
      <c r="X3" s="2" t="inlineStr">
        <is>
          <t>Wednesday</t>
        </is>
      </c>
      <c r="Y3" s="2" t="inlineStr">
        <is>
          <t>Thursday</t>
        </is>
      </c>
      <c r="Z3" s="2" t="inlineStr">
        <is>
          <t>Friday</t>
        </is>
      </c>
      <c r="AA3" s="2" t="inlineStr">
        <is>
          <t>Saturday</t>
        </is>
      </c>
      <c r="AB3" s="2" t="inlineStr">
        <is>
          <t>Sunday</t>
        </is>
      </c>
      <c r="AC3" s="2" t="inlineStr">
        <is>
          <t>Monday</t>
        </is>
      </c>
      <c r="AD3" s="2" t="inlineStr">
        <is>
          <t>Tuesday</t>
        </is>
      </c>
      <c r="AE3" s="2" t="inlineStr">
        <is>
          <t>Wednesday</t>
        </is>
      </c>
      <c r="AF3" s="2" t="inlineStr">
        <is>
          <t>Thursday</t>
        </is>
      </c>
      <c r="AG3" s="2" t="n"/>
      <c r="AH3" s="2" t="inlineStr">
        <is>
          <t>Total</t>
        </is>
      </c>
    </row>
    <row r="4" hidden="1">
      <c r="A4" s="1" t="n"/>
      <c r="B4" s="7" t="inlineStr">
        <is>
          <t>1st</t>
        </is>
      </c>
      <c r="C4" s="7" t="inlineStr">
        <is>
          <t>2nd</t>
        </is>
      </c>
      <c r="D4" s="7" t="inlineStr">
        <is>
          <t>3rd</t>
        </is>
      </c>
      <c r="E4" s="7" t="inlineStr">
        <is>
          <t>4th</t>
        </is>
      </c>
      <c r="F4" s="7" t="inlineStr">
        <is>
          <t>5th</t>
        </is>
      </c>
      <c r="G4" s="7" t="inlineStr">
        <is>
          <t>6th</t>
        </is>
      </c>
      <c r="H4" s="3" t="inlineStr">
        <is>
          <t>7th</t>
        </is>
      </c>
      <c r="I4" s="3" t="inlineStr">
        <is>
          <t>8th</t>
        </is>
      </c>
      <c r="J4" s="3" t="inlineStr">
        <is>
          <t>9th</t>
        </is>
      </c>
      <c r="K4" s="3" t="inlineStr">
        <is>
          <t>10th</t>
        </is>
      </c>
      <c r="L4" s="3" t="inlineStr">
        <is>
          <t>11th</t>
        </is>
      </c>
      <c r="M4" s="3" t="inlineStr">
        <is>
          <t>12th</t>
        </is>
      </c>
      <c r="N4" s="3" t="inlineStr">
        <is>
          <t>13th</t>
        </is>
      </c>
      <c r="O4" s="4" t="inlineStr">
        <is>
          <t>14th</t>
        </is>
      </c>
      <c r="P4" s="4" t="inlineStr">
        <is>
          <t>15th</t>
        </is>
      </c>
      <c r="Q4" s="4" t="inlineStr">
        <is>
          <t>16th</t>
        </is>
      </c>
      <c r="R4" s="4" t="inlineStr">
        <is>
          <t>17th</t>
        </is>
      </c>
      <c r="S4" s="4" t="inlineStr">
        <is>
          <t>18th</t>
        </is>
      </c>
      <c r="T4" s="4" t="inlineStr">
        <is>
          <t>19th</t>
        </is>
      </c>
      <c r="U4" s="4" t="inlineStr">
        <is>
          <t>20th</t>
        </is>
      </c>
      <c r="V4" s="5" t="inlineStr">
        <is>
          <t>21st</t>
        </is>
      </c>
      <c r="W4" s="5" t="inlineStr">
        <is>
          <t>22nd</t>
        </is>
      </c>
      <c r="X4" s="5" t="inlineStr">
        <is>
          <t>23rd</t>
        </is>
      </c>
      <c r="Y4" s="5" t="inlineStr">
        <is>
          <t>24th</t>
        </is>
      </c>
      <c r="Z4" s="5" t="inlineStr">
        <is>
          <t>25th</t>
        </is>
      </c>
      <c r="AA4" s="5" t="inlineStr">
        <is>
          <t>26th</t>
        </is>
      </c>
      <c r="AB4" s="5" t="inlineStr">
        <is>
          <t>27th</t>
        </is>
      </c>
      <c r="AC4" s="6" t="inlineStr">
        <is>
          <t>28th</t>
        </is>
      </c>
      <c r="AD4" s="6" t="inlineStr">
        <is>
          <t>29th</t>
        </is>
      </c>
      <c r="AE4" s="6" t="inlineStr">
        <is>
          <t>30th</t>
        </is>
      </c>
      <c r="AF4" s="6" t="inlineStr">
        <is>
          <t>31st</t>
        </is>
      </c>
      <c r="AG4" s="97" t="n"/>
      <c r="AH4" s="1" t="n"/>
    </row>
    <row r="5" hidden="1" ht="15.75" customHeight="1">
      <c r="A5" s="8" t="inlineStr">
        <is>
          <t>B-HAM CITY COUNCIL-200790-70489166</t>
        </is>
      </c>
      <c r="B5" s="12" t="n"/>
      <c r="C5" s="12" t="n"/>
      <c r="D5" s="12" t="n"/>
      <c r="E5" s="12" t="n"/>
      <c r="F5" s="12" t="n"/>
      <c r="G5" s="12" t="n"/>
      <c r="H5" s="12" t="n"/>
      <c r="I5" s="12" t="n"/>
      <c r="J5" t="n">
        <v>62841.32</v>
      </c>
      <c r="K5" s="12" t="n"/>
      <c r="L5" s="12" t="n"/>
      <c r="M5" s="12" t="n"/>
      <c r="N5" s="12" t="n"/>
      <c r="O5" s="12" t="n"/>
      <c r="P5" s="12" t="n"/>
      <c r="Q5" s="12" t="n"/>
      <c r="R5" s="12" t="n"/>
      <c r="S5" s="12" t="n"/>
      <c r="T5" s="12" t="n"/>
      <c r="U5" s="12" t="n"/>
      <c r="V5" s="12" t="n"/>
      <c r="W5" s="12" t="n"/>
      <c r="X5" s="12" t="n"/>
      <c r="Y5" s="12" t="n"/>
      <c r="Z5" s="12" t="n"/>
      <c r="AA5" s="12" t="n"/>
      <c r="AB5" s="12" t="n"/>
      <c r="AC5" s="12" t="n"/>
      <c r="AD5" s="12" t="n"/>
      <c r="AE5" s="12" t="n"/>
      <c r="AF5" s="12" t="n"/>
      <c r="AG5" s="12" t="n"/>
      <c r="AH5" s="13">
        <f>SUM(B5:AG5)</f>
        <v/>
      </c>
    </row>
    <row r="6" hidden="1" ht="15.75" customHeight="1">
      <c r="A6" s="8" t="inlineStr">
        <is>
          <t>Buckingham</t>
        </is>
      </c>
      <c r="B6" s="12" t="n"/>
      <c r="C6" s="9" t="n"/>
      <c r="D6" s="9" t="n"/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12" t="n"/>
      <c r="R6" s="9" t="n"/>
      <c r="S6" s="9" t="n"/>
      <c r="T6" s="9" t="n"/>
      <c r="U6" s="9" t="n"/>
      <c r="V6" s="9" t="n"/>
      <c r="W6" s="9" t="n"/>
      <c r="X6" t="n">
        <v>5134.44</v>
      </c>
      <c r="Y6" s="9" t="n"/>
      <c r="Z6" s="9" t="n"/>
      <c r="AA6" s="12" t="n"/>
      <c r="AB6" s="9" t="n"/>
      <c r="AC6" s="12" t="n"/>
      <c r="AD6" s="9" t="n"/>
      <c r="AE6" s="12" t="n"/>
      <c r="AF6" s="12" t="n"/>
      <c r="AG6" s="12" t="n"/>
      <c r="AH6" s="13">
        <f>SUM(B6:AG6)</f>
        <v/>
      </c>
    </row>
    <row r="7" hidden="1" ht="15.75" customHeight="1">
      <c r="A7" s="8" t="inlineStr">
        <is>
          <t>Sandwell Respite</t>
        </is>
      </c>
      <c r="B7" s="12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12" t="n"/>
      <c r="AE7" s="12" t="n"/>
      <c r="AG7" s="9" t="n">
        <v>7000</v>
      </c>
      <c r="AH7" s="13">
        <f>SUM(B7:AG7)</f>
        <v/>
      </c>
    </row>
    <row r="8" hidden="1" ht="15.75" customHeight="1">
      <c r="A8" s="8" t="inlineStr">
        <is>
          <t>Sandwell Daycare</t>
        </is>
      </c>
      <c r="B8" s="12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12" t="n"/>
      <c r="AE8" s="12" t="n"/>
      <c r="AG8" s="9" t="n">
        <v>10645.32</v>
      </c>
      <c r="AH8" s="13">
        <f>SUM(B8:AG8)</f>
        <v/>
      </c>
    </row>
    <row r="9" hidden="1" ht="15.75" customHeight="1">
      <c r="A9" s="8" t="inlineStr">
        <is>
          <t xml:space="preserve">Wolverhampton Respite </t>
        </is>
      </c>
      <c r="B9" s="12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12" t="n"/>
      <c r="AE9" s="12" t="n"/>
      <c r="AG9" s="9" t="n"/>
      <c r="AH9" s="13">
        <f>SUM(B9:AG9)</f>
        <v/>
      </c>
    </row>
    <row r="10" hidden="1" ht="15.75" customHeight="1">
      <c r="A10" s="8" t="inlineStr">
        <is>
          <t>Wolverhampton Daycare</t>
        </is>
      </c>
      <c r="B10" s="12" t="n"/>
      <c r="C10" s="9" t="n"/>
      <c r="D10" s="9" t="n"/>
      <c r="E10" s="9" t="n"/>
      <c r="F10" s="9" t="n"/>
      <c r="G10" s="9" t="n"/>
      <c r="H10" s="9" t="n"/>
      <c r="I10" s="9" t="n"/>
      <c r="J10" s="9" t="n"/>
      <c r="K10" s="9" t="n"/>
      <c r="L10" s="9" t="n"/>
      <c r="M10" s="9" t="n"/>
      <c r="N10" s="9" t="n"/>
      <c r="O10" s="9" t="n"/>
      <c r="P10" s="9" t="n"/>
      <c r="Q10" s="9" t="n"/>
      <c r="R10" s="9" t="n"/>
      <c r="S10" s="9" t="n"/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12" t="n"/>
      <c r="AE10" s="12" t="n"/>
      <c r="AG10" s="9">
        <f>28432.4+7108.1</f>
        <v/>
      </c>
      <c r="AH10" s="13">
        <f>SUM(B10:AG10)</f>
        <v/>
      </c>
    </row>
    <row r="11" hidden="1" ht="15.75" customHeight="1">
      <c r="A11" s="8" t="inlineStr">
        <is>
          <t>Walsall Respite</t>
        </is>
      </c>
      <c r="B11" s="12" t="n"/>
      <c r="C11" s="9" t="n"/>
      <c r="D11" s="9" t="n"/>
      <c r="E11" s="9" t="n"/>
      <c r="F11" s="12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S11" s="9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12" t="n"/>
      <c r="AE11" s="12" t="n"/>
      <c r="AG11" s="9" t="n">
        <v>20000</v>
      </c>
      <c r="AH11" s="13">
        <f>SUM(B11:AG11)</f>
        <v/>
      </c>
    </row>
    <row r="12" hidden="1" ht="15.75" customHeight="1">
      <c r="A12" s="8" t="inlineStr">
        <is>
          <t>Walsall Daycare</t>
        </is>
      </c>
      <c r="B12" s="12" t="n"/>
      <c r="C12" s="9" t="n"/>
      <c r="D12" s="9" t="n"/>
      <c r="E12" s="9" t="n"/>
      <c r="F12" s="12" t="n"/>
      <c r="G12" s="9" t="n"/>
      <c r="H12" s="9" t="n"/>
      <c r="I12" s="9" t="n"/>
      <c r="J12" s="9" t="n"/>
      <c r="K12" s="9" t="n"/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12" t="n"/>
      <c r="AE12" s="12" t="n"/>
      <c r="AG12" s="9" t="n"/>
      <c r="AH12" s="13">
        <f>SUM(B12:AG12)</f>
        <v/>
      </c>
    </row>
    <row r="13" hidden="1" ht="18.75" customHeight="1">
      <c r="A13" s="8" t="inlineStr">
        <is>
          <t>Ideal for All Ltd</t>
        </is>
      </c>
      <c r="B13" s="12" t="n"/>
      <c r="C13" s="12" t="n"/>
      <c r="D13" s="12" t="n"/>
      <c r="E13" s="12" t="n"/>
      <c r="F13" s="9" t="n"/>
      <c r="G13" s="12" t="n"/>
      <c r="H13" s="12" t="n"/>
      <c r="I13" s="12" t="n"/>
      <c r="J13" s="11" t="n"/>
      <c r="K13" s="11" t="n"/>
      <c r="L13" s="9" t="n"/>
      <c r="M13" s="9" t="n"/>
      <c r="N13" s="9" t="n"/>
      <c r="O13" s="12" t="n"/>
      <c r="P13" s="9" t="n"/>
      <c r="Q13" s="9" t="n"/>
      <c r="R13" s="9" t="n"/>
      <c r="S13" s="9" t="n"/>
      <c r="T13" s="9" t="n"/>
      <c r="U13" s="9" t="n"/>
      <c r="V13" s="9" t="n"/>
      <c r="W13" t="n">
        <v>5650.879999999999</v>
      </c>
      <c r="X13" s="9" t="n"/>
      <c r="Y13" s="26" t="n"/>
      <c r="Z13" s="31" t="n"/>
      <c r="AB13" s="9" t="n"/>
      <c r="AC13" t="n">
        <v>3344</v>
      </c>
      <c r="AD13" s="9" t="n"/>
      <c r="AE13" s="12" t="n"/>
      <c r="AG13" s="12" t="n"/>
      <c r="AH13" s="13">
        <f>SUM(B13:AG13)</f>
        <v/>
      </c>
    </row>
    <row r="14" hidden="1" ht="15.75" customHeight="1">
      <c r="A14" s="8" t="inlineStr">
        <is>
          <t>KIRKLEES COUNCIL-204312-63046958</t>
        </is>
      </c>
      <c r="B14" s="12" t="n"/>
      <c r="C14" s="12" t="n"/>
      <c r="D14" s="9" t="n"/>
      <c r="E14" s="9" t="n"/>
      <c r="F14" s="26" t="n"/>
      <c r="G14" s="9" t="n"/>
      <c r="H14" s="12" t="n"/>
      <c r="I14" s="12" t="n"/>
      <c r="J14" s="12" t="n"/>
      <c r="K14" t="n">
        <v>5698.2</v>
      </c>
      <c r="L14" s="12" t="n"/>
      <c r="M14" s="9" t="n"/>
      <c r="N14" s="9" t="n"/>
      <c r="O14" s="9" t="n"/>
      <c r="P14" s="9" t="n"/>
      <c r="Q14" s="12" t="n"/>
      <c r="R14" s="26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12" t="n"/>
      <c r="AE14" s="12" t="n"/>
      <c r="AG14" s="12" t="n"/>
      <c r="AH14" s="13">
        <f>SUM(B14:AG14)</f>
        <v/>
      </c>
    </row>
    <row r="15" hidden="1" ht="15.75" customHeight="1">
      <c r="A15" s="8" t="inlineStr">
        <is>
          <t>LBH PAYMENTS BACS-602210-72430192</t>
        </is>
      </c>
      <c r="B15" s="12" t="n"/>
      <c r="C15" s="9" t="n"/>
      <c r="D15" s="9" t="n"/>
      <c r="E15" t="n">
        <v>5203.8</v>
      </c>
      <c r="F15" s="26" t="n"/>
      <c r="G15" s="9" t="n"/>
      <c r="H15" s="9" t="n"/>
      <c r="I15" s="9" t="n"/>
      <c r="J15" s="12" t="n"/>
      <c r="K15" s="12" t="n"/>
      <c r="L15" s="12" t="n"/>
      <c r="M15" s="9" t="n"/>
      <c r="N15" s="9" t="n"/>
      <c r="O15" s="9" t="n"/>
      <c r="P15" s="9" t="n"/>
      <c r="Q15" s="9" t="n"/>
      <c r="R15" s="26" t="n"/>
      <c r="S15" s="9" t="n"/>
      <c r="T15" s="9" t="n"/>
      <c r="U15" s="9" t="n"/>
      <c r="V15" s="9" t="n"/>
      <c r="W15" s="9" t="n"/>
      <c r="X15" s="9" t="n"/>
      <c r="Y15" s="9" t="n"/>
      <c r="Z15" s="9" t="n"/>
      <c r="AA15" s="9" t="n"/>
      <c r="AB15" s="9" t="n"/>
      <c r="AC15" s="9" t="n"/>
      <c r="AD15" s="9" t="n"/>
      <c r="AE15" s="12" t="n"/>
      <c r="AG15" s="12" t="n"/>
      <c r="AH15" s="13">
        <f>SUM(B15:AG15)</f>
        <v/>
      </c>
    </row>
    <row r="16" hidden="1" ht="15.75" customHeight="1">
      <c r="A16" s="8" t="inlineStr">
        <is>
          <t>NHS BIRMINGHAM &amp; S-607080-10017097</t>
        </is>
      </c>
      <c r="B16" s="12" t="n"/>
      <c r="C16" s="12" t="n"/>
      <c r="D16" s="12" t="n"/>
      <c r="E16" s="9" t="n"/>
      <c r="F16" s="26" t="n"/>
      <c r="G16" s="9" t="n"/>
      <c r="H16" s="9" t="n"/>
      <c r="I16" s="9" t="n"/>
      <c r="J16" s="12" t="n"/>
      <c r="K16" s="12" t="n"/>
      <c r="M16" t="n">
        <v>7121.63</v>
      </c>
      <c r="N16" s="9" t="n"/>
      <c r="O16" s="9" t="n"/>
      <c r="P16" s="9" t="n"/>
      <c r="Q16" s="9" t="n"/>
      <c r="R16" s="26" t="n">
        <v>6133.28</v>
      </c>
      <c r="S16" s="9" t="n"/>
      <c r="T16" s="9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/>
      <c r="AE16" s="12" t="n"/>
      <c r="AG16" s="12" t="n"/>
      <c r="AH16" s="13">
        <f>SUM(B16:AG16)</f>
        <v/>
      </c>
    </row>
    <row r="17" hidden="1" ht="15.75" customHeight="1">
      <c r="A17" s="8" t="inlineStr">
        <is>
          <t>NHS BLACK COUNTRY-607080-10015272</t>
        </is>
      </c>
      <c r="B17" s="12" t="n"/>
      <c r="C17" s="12" t="n"/>
      <c r="D17" s="12" t="n"/>
      <c r="E17" t="n">
        <v>3575</v>
      </c>
      <c r="F17" s="26" t="n"/>
      <c r="G17" s="12" t="n"/>
      <c r="H17" s="12" t="n"/>
      <c r="I17" s="12" t="n"/>
      <c r="J17" s="12" t="n"/>
      <c r="K17" s="12" t="n"/>
      <c r="L17" s="12" t="n"/>
      <c r="M17" t="n">
        <v>16313.93</v>
      </c>
      <c r="N17" s="9" t="n"/>
      <c r="O17" s="12" t="n"/>
      <c r="P17" s="12" t="n"/>
      <c r="Q17" s="12" t="n"/>
      <c r="R17" s="31" t="n"/>
      <c r="S17" s="9" t="n"/>
      <c r="T17" s="9" t="n"/>
      <c r="U17" s="9" t="n"/>
      <c r="V17" s="9" t="n"/>
      <c r="W17" s="9" t="n"/>
      <c r="X17" s="9" t="n"/>
      <c r="Y17" s="9" t="n"/>
      <c r="Z17" s="12" t="n"/>
      <c r="AA17" s="9" t="n"/>
      <c r="AB17" s="12" t="n"/>
      <c r="AC17" s="12" t="n"/>
      <c r="AD17" s="12" t="n"/>
      <c r="AE17" s="12" t="n"/>
      <c r="AG17" s="12" t="n"/>
      <c r="AH17" s="13">
        <f>SUM(B17:AG17)</f>
        <v/>
      </c>
    </row>
    <row r="18" hidden="1" ht="15.75" customHeight="1">
      <c r="A18" s="14" t="inlineStr">
        <is>
          <t>SANDWELL MBC  BEN-601539-69624151</t>
        </is>
      </c>
      <c r="C18" s="9" t="n"/>
      <c r="D18" s="12" t="n"/>
      <c r="E18" s="9" t="n"/>
      <c r="F18" s="9" t="n"/>
      <c r="G18" s="12" t="n"/>
      <c r="H18" s="12" t="n"/>
      <c r="I18" s="9" t="n"/>
      <c r="J18" s="9" t="n"/>
      <c r="K18" s="9" t="n"/>
      <c r="L18" s="9" t="n"/>
      <c r="M18" s="12" t="n"/>
      <c r="N18" s="12" t="n"/>
      <c r="O18" s="31" t="n">
        <v>2660</v>
      </c>
      <c r="P18" s="9" t="n"/>
      <c r="Q18" s="9" t="n"/>
      <c r="R18" s="9" t="n"/>
      <c r="S18" s="12" t="n"/>
      <c r="T18" s="9" t="n"/>
      <c r="U18" s="9" t="n"/>
      <c r="V18" s="9" t="n"/>
      <c r="W18" s="12" t="n"/>
      <c r="X18" s="9" t="n"/>
      <c r="Y18" s="9" t="n"/>
      <c r="Z18" s="9" t="n"/>
      <c r="AA18" s="12" t="n"/>
      <c r="AB18" s="12" t="n"/>
      <c r="AC18" s="12" t="n"/>
      <c r="AD18" s="12" t="n"/>
      <c r="AE18" s="12" t="n"/>
      <c r="AF18" s="12" t="n"/>
      <c r="AG18" s="12" t="n"/>
      <c r="AH18" s="13">
        <f>SUM(B18:AG18)</f>
        <v/>
      </c>
    </row>
    <row r="19" hidden="1" ht="15.75" customHeight="1">
      <c r="A19" s="14" t="inlineStr">
        <is>
          <t>SANDWELL MBC-601539-69624135</t>
        </is>
      </c>
      <c r="B19" s="9" t="n"/>
      <c r="C19" s="9" t="n"/>
      <c r="D19" s="9" t="n"/>
      <c r="E19" s="9" t="n"/>
      <c r="F19" s="12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31" t="n">
        <v>124940.48</v>
      </c>
      <c r="R19" s="12" t="n"/>
      <c r="S19" s="9" t="n"/>
      <c r="T19" s="9" t="n"/>
      <c r="U19" s="9" t="n"/>
      <c r="V19" s="9" t="n"/>
      <c r="W19" s="12" t="n"/>
      <c r="X19" s="9" t="n"/>
      <c r="Y19" s="9" t="n"/>
      <c r="AA19" s="9" t="n"/>
      <c r="AB19" s="12" t="n"/>
      <c r="AC19" s="12" t="n"/>
      <c r="AD19" s="31" t="n">
        <v>124940.48</v>
      </c>
      <c r="AE19" s="12" t="n"/>
      <c r="AF19" s="12" t="n"/>
      <c r="AG19" s="12" t="n"/>
      <c r="AH19" s="13">
        <f>SUM(B19:AG19)</f>
        <v/>
      </c>
    </row>
    <row r="20" hidden="1" ht="15.75" customHeight="1">
      <c r="A20" s="15" t="inlineStr">
        <is>
          <t>SOLIHULL MBC EXP.-200771-00561525</t>
        </is>
      </c>
      <c r="B20" s="12" t="n"/>
      <c r="C20" s="12" t="n"/>
      <c r="D20" s="12" t="n"/>
      <c r="E20" s="12" t="n"/>
      <c r="F20" s="12" t="n"/>
      <c r="G20" s="12" t="n"/>
      <c r="H20" s="12" t="n">
        <v>32000</v>
      </c>
      <c r="I20" s="12" t="n"/>
      <c r="J20" s="12" t="n"/>
      <c r="K20" s="12" t="n"/>
      <c r="M20" s="12" t="n"/>
      <c r="N20" s="12" t="n"/>
      <c r="O20" s="12" t="n"/>
      <c r="P20" s="12" t="n"/>
      <c r="R20" s="12" t="n"/>
      <c r="S20" s="12" t="n"/>
      <c r="T20" s="12" t="n"/>
      <c r="U20" s="12" t="n"/>
      <c r="V20" s="12" t="n"/>
      <c r="W20" s="12" t="n"/>
      <c r="X20" s="12" t="n"/>
      <c r="Y20" s="12" t="n"/>
      <c r="AA20" s="12" t="n"/>
      <c r="AB20" s="12" t="n"/>
      <c r="AC20" s="12" t="n"/>
      <c r="AD20" s="12" t="n"/>
      <c r="AE20" s="12" t="n"/>
      <c r="AF20" s="12" t="n"/>
      <c r="AG20" s="12" t="n"/>
      <c r="AH20" s="13">
        <f>SUM(B20:AG20)</f>
        <v/>
      </c>
    </row>
    <row r="21" hidden="1" ht="15.75" customHeight="1">
      <c r="A21" s="15" t="inlineStr">
        <is>
          <t>WALSALL MBC BARC-209073-10731692</t>
        </is>
      </c>
      <c r="B21" s="9" t="n"/>
      <c r="C21" s="12" t="n"/>
      <c r="D21" s="12" t="n"/>
      <c r="E21" s="12" t="n"/>
      <c r="F21" s="12" t="n"/>
      <c r="G21" s="12" t="n"/>
      <c r="H21" s="12" t="n"/>
      <c r="I21" s="12" t="n"/>
      <c r="J21" s="12" t="n"/>
      <c r="K21" s="12" t="n"/>
      <c r="L21" s="12" t="n"/>
      <c r="M21" s="12" t="n"/>
      <c r="N21" s="12" t="n"/>
      <c r="O21" s="12" t="n"/>
      <c r="P21" s="12" t="n"/>
      <c r="Q21" s="12" t="n"/>
      <c r="R21" s="12" t="n"/>
      <c r="S21" s="12" t="n"/>
      <c r="T21" s="12" t="n"/>
      <c r="U21" s="12" t="n"/>
      <c r="V21" s="12" t="n"/>
      <c r="W21" s="9" t="n">
        <v>190000</v>
      </c>
      <c r="X21" s="12" t="n"/>
      <c r="Y21" s="12" t="n"/>
      <c r="Z21" s="12" t="n"/>
      <c r="AA21" s="12" t="n"/>
      <c r="AB21" s="12" t="n"/>
      <c r="AC21" s="12" t="n"/>
      <c r="AD21" s="12" t="n"/>
      <c r="AE21" s="12" t="n"/>
      <c r="AF21" s="12" t="n"/>
      <c r="AG21" s="12" t="n"/>
      <c r="AH21" s="13">
        <f>SUM(B21:AG21)</f>
        <v/>
      </c>
    </row>
    <row r="22" hidden="1" ht="15.75" customHeight="1">
      <c r="A22" s="15" t="inlineStr">
        <is>
          <t>WOLVERHAMPTON CC-560069-44470320</t>
        </is>
      </c>
      <c r="B22" s="12" t="n"/>
      <c r="C22" s="12" t="n"/>
      <c r="D22" s="9" t="n">
        <v>115000</v>
      </c>
      <c r="E22" s="12" t="n"/>
      <c r="F22" s="12" t="n"/>
      <c r="G22" s="12" t="n"/>
      <c r="H22" s="12" t="n"/>
      <c r="I22" s="12" t="n"/>
      <c r="J22" s="12" t="n"/>
      <c r="K22" s="9" t="n">
        <v>115000</v>
      </c>
      <c r="L22" s="12" t="n"/>
      <c r="M22" s="12" t="n"/>
      <c r="N22" s="12" t="n"/>
      <c r="O22" s="12" t="n"/>
      <c r="P22" s="12" t="n"/>
      <c r="Q22" s="12" t="n"/>
      <c r="R22" s="9" t="n">
        <v>115000</v>
      </c>
      <c r="S22" s="12" t="n"/>
      <c r="T22" s="12" t="n"/>
      <c r="U22" s="12" t="n"/>
      <c r="V22" s="12" t="n"/>
      <c r="W22" s="12" t="n"/>
      <c r="X22" s="12" t="n"/>
      <c r="Y22" s="9" t="n">
        <v>115000</v>
      </c>
      <c r="Z22" s="12" t="n"/>
      <c r="AA22" s="12" t="n"/>
      <c r="AB22" s="12" t="n"/>
      <c r="AC22" s="12" t="n"/>
      <c r="AD22" s="12" t="n"/>
      <c r="AE22" s="12" t="n"/>
      <c r="AF22" s="9" t="n">
        <v>115000</v>
      </c>
      <c r="AG22" s="9" t="n"/>
      <c r="AH22" s="13">
        <f>SUM(B22:AG22)</f>
        <v/>
      </c>
    </row>
    <row r="23" hidden="1" ht="15.75" customHeight="1">
      <c r="A23" s="15" t="inlineStr">
        <is>
          <t>Portsmouth</t>
        </is>
      </c>
      <c r="C23" s="12" t="n"/>
      <c r="D23" s="12" t="n"/>
      <c r="E23" s="9" t="n">
        <v>5247.86</v>
      </c>
      <c r="F23" s="12" t="n"/>
      <c r="G23" s="12" t="n"/>
      <c r="H23" s="12" t="n"/>
      <c r="I23" s="12" t="n"/>
      <c r="J23" s="12" t="n"/>
      <c r="K23" s="12" t="n"/>
      <c r="L23" s="12" t="n"/>
      <c r="M23" s="12" t="n"/>
      <c r="N23" s="12" t="n"/>
      <c r="O23" s="12" t="n"/>
      <c r="P23" s="12" t="n"/>
      <c r="Q23" s="12" t="n"/>
      <c r="R23" s="12" t="n"/>
      <c r="S23" s="12" t="n"/>
      <c r="T23" s="12" t="n"/>
      <c r="U23" s="12" t="n"/>
      <c r="V23" s="12" t="n"/>
      <c r="W23" s="12" t="n"/>
      <c r="X23" s="12" t="n"/>
      <c r="Y23" s="12" t="n"/>
      <c r="Z23" s="12" t="n"/>
      <c r="AA23" s="12" t="n"/>
      <c r="AB23" s="12" t="n"/>
      <c r="AC23" s="12" t="n"/>
      <c r="AD23" s="9" t="n">
        <v>5247.86</v>
      </c>
      <c r="AE23" s="12" t="n"/>
      <c r="AF23" s="12" t="n"/>
      <c r="AG23" s="12" t="n"/>
      <c r="AH23" s="13">
        <f>SUM(B23:AG23)</f>
        <v/>
      </c>
    </row>
    <row r="24" hidden="1" ht="15.75" customHeight="1">
      <c r="A24" s="15" t="inlineStr">
        <is>
          <t>People Plus</t>
        </is>
      </c>
      <c r="B24" s="9" t="n"/>
      <c r="C24" s="12" t="n"/>
      <c r="D24" s="12" t="n"/>
      <c r="E24" s="12" t="n"/>
      <c r="F24" s="12" t="n"/>
      <c r="G24" s="12" t="n"/>
      <c r="H24" s="12" t="n"/>
      <c r="I24" s="12" t="n"/>
      <c r="J24" s="12" t="n"/>
      <c r="K24" s="12" t="n"/>
      <c r="L24" s="12" t="n"/>
      <c r="M24" s="12" t="n"/>
      <c r="N24" s="12" t="n"/>
      <c r="O24" s="12" t="n"/>
      <c r="P24" s="12" t="n"/>
      <c r="Q24" s="12" t="n"/>
      <c r="R24" s="12" t="n"/>
      <c r="S24" s="12" t="n"/>
      <c r="T24" s="12" t="n"/>
      <c r="U24" s="12" t="n"/>
      <c r="V24" s="12" t="n"/>
      <c r="W24" s="12" t="n"/>
      <c r="X24" s="12" t="n"/>
      <c r="Y24" s="12" t="n"/>
      <c r="Z24" s="12" t="n"/>
      <c r="AA24" s="12" t="n"/>
      <c r="AB24" s="12" t="n"/>
      <c r="AC24" s="12" t="n"/>
      <c r="AD24" s="9" t="n"/>
      <c r="AE24" s="12" t="n"/>
      <c r="AG24" s="12" t="n">
        <v>7270.4</v>
      </c>
      <c r="AH24" s="13">
        <f>SUM(B24:AG24)</f>
        <v/>
      </c>
    </row>
    <row r="25" hidden="1" ht="15.75" customHeight="1">
      <c r="A25" s="15" t="inlineStr">
        <is>
          <t>CHASING</t>
        </is>
      </c>
      <c r="B25" s="9" t="n"/>
      <c r="C25" s="12" t="n"/>
      <c r="D25" s="12" t="n"/>
      <c r="E25" s="12" t="n"/>
      <c r="F25" s="12" t="n"/>
      <c r="G25" s="12" t="n"/>
      <c r="H25" s="12" t="n"/>
      <c r="I25" s="12" t="n"/>
      <c r="J25" s="12" t="n"/>
      <c r="K25" s="12" t="n"/>
      <c r="L25" s="12" t="n"/>
      <c r="M25" s="12" t="n"/>
      <c r="N25" s="12" t="n"/>
      <c r="O25" s="12" t="n"/>
      <c r="P25" s="12" t="n"/>
      <c r="Q25" s="12" t="n"/>
      <c r="R25" s="12" t="n"/>
      <c r="S25" s="12" t="n"/>
      <c r="T25" s="12" t="n"/>
      <c r="U25" s="12" t="n"/>
      <c r="V25" s="12" t="n"/>
      <c r="W25" s="12" t="n"/>
      <c r="X25" s="12" t="n"/>
      <c r="Y25" s="12" t="n"/>
      <c r="Z25" s="12" t="n"/>
      <c r="AA25" s="12" t="n"/>
      <c r="AB25" s="12" t="n"/>
      <c r="AC25" s="12" t="n"/>
      <c r="AD25" s="9" t="n"/>
      <c r="AE25" s="12" t="n"/>
      <c r="AG25" s="12" t="n">
        <v>30000</v>
      </c>
      <c r="AH25" s="13">
        <f>SUM(B25:AG25)</f>
        <v/>
      </c>
    </row>
    <row r="26" hidden="1" ht="15.75" customHeight="1">
      <c r="A26" s="15" t="inlineStr">
        <is>
          <t>HB SC</t>
        </is>
      </c>
      <c r="B26" s="10" t="n">
        <v>3000</v>
      </c>
      <c r="C26" s="10" t="n">
        <v>3000</v>
      </c>
      <c r="D26" s="10" t="n">
        <v>3000</v>
      </c>
      <c r="E26" s="10" t="n">
        <v>3000</v>
      </c>
      <c r="F26" s="10" t="n">
        <v>3000</v>
      </c>
      <c r="G26" s="10" t="n">
        <v>3000</v>
      </c>
      <c r="H26" s="10" t="n">
        <v>3000</v>
      </c>
      <c r="I26" s="10" t="n">
        <v>3000</v>
      </c>
      <c r="J26" s="10" t="n">
        <v>3000</v>
      </c>
      <c r="K26" s="10" t="n">
        <v>3000</v>
      </c>
      <c r="L26" s="10" t="n">
        <v>3000</v>
      </c>
      <c r="M26" s="10" t="n">
        <v>3000</v>
      </c>
      <c r="N26" s="10" t="n">
        <v>3000</v>
      </c>
      <c r="O26" s="10" t="n">
        <v>3000</v>
      </c>
      <c r="P26" s="10" t="n">
        <v>3000</v>
      </c>
      <c r="Q26" s="10" t="n">
        <v>3000</v>
      </c>
      <c r="R26" s="10" t="n">
        <v>3000</v>
      </c>
      <c r="S26" s="10" t="n">
        <v>3000</v>
      </c>
      <c r="T26" s="10" t="n">
        <v>3000</v>
      </c>
      <c r="U26" s="10" t="n">
        <v>3000</v>
      </c>
      <c r="V26" s="10" t="n">
        <v>3000</v>
      </c>
      <c r="W26" s="10" t="n">
        <v>3000</v>
      </c>
      <c r="X26" s="10" t="n">
        <v>3000</v>
      </c>
      <c r="Y26" s="10" t="n">
        <v>3000</v>
      </c>
      <c r="Z26" s="10" t="n">
        <v>3000</v>
      </c>
      <c r="AA26" s="10" t="n">
        <v>3000</v>
      </c>
      <c r="AB26" s="10" t="n">
        <v>3000</v>
      </c>
      <c r="AC26" s="10" t="n">
        <v>3000</v>
      </c>
      <c r="AD26" s="10" t="n">
        <v>3000</v>
      </c>
      <c r="AE26" s="10" t="n">
        <v>3000</v>
      </c>
      <c r="AF26" s="10" t="n">
        <v>3000</v>
      </c>
      <c r="AG26" s="10" t="n"/>
      <c r="AH26" s="13">
        <f>SUM(B26:AF26)</f>
        <v/>
      </c>
    </row>
    <row r="27" hidden="1" ht="15.75" customHeight="1">
      <c r="AH27" s="13">
        <f>SUM(AH5:AH26)</f>
        <v/>
      </c>
    </row>
    <row r="28" hidden="1"/>
    <row r="29" hidden="1"/>
    <row r="30">
      <c r="A30" s="1" t="n"/>
      <c r="B30" s="2" t="inlineStr">
        <is>
          <t>October</t>
        </is>
      </c>
      <c r="C30" s="2" t="n"/>
      <c r="D30" s="2" t="n"/>
      <c r="E30" s="2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2" t="n"/>
      <c r="AD30" s="2" t="n"/>
      <c r="AE30" s="1" t="n"/>
      <c r="AF30" s="1" t="n"/>
      <c r="AG30" s="1" t="n"/>
      <c r="AH30" s="1" t="n"/>
    </row>
    <row r="31">
      <c r="A31" s="1" t="n"/>
      <c r="B31" s="2" t="inlineStr">
        <is>
          <t>Tuesday</t>
        </is>
      </c>
      <c r="C31" s="2" t="inlineStr">
        <is>
          <t>Wednesday</t>
        </is>
      </c>
      <c r="D31" s="2" t="inlineStr">
        <is>
          <t>Thursday</t>
        </is>
      </c>
      <c r="E31" s="2" t="inlineStr">
        <is>
          <t>Friday</t>
        </is>
      </c>
      <c r="F31" s="2" t="inlineStr">
        <is>
          <t>Saturday</t>
        </is>
      </c>
      <c r="G31" s="2" t="inlineStr">
        <is>
          <t>Sunday</t>
        </is>
      </c>
      <c r="H31" s="2" t="inlineStr">
        <is>
          <t>Monday</t>
        </is>
      </c>
      <c r="I31" s="2" t="inlineStr">
        <is>
          <t>Tuesday</t>
        </is>
      </c>
      <c r="J31" s="2" t="inlineStr">
        <is>
          <t>Wednesday</t>
        </is>
      </c>
      <c r="K31" s="2" t="inlineStr">
        <is>
          <t>Thursday</t>
        </is>
      </c>
      <c r="L31" s="2" t="inlineStr">
        <is>
          <t>Friday</t>
        </is>
      </c>
      <c r="M31" s="2" t="inlineStr">
        <is>
          <t>Saturday</t>
        </is>
      </c>
      <c r="N31" s="2" t="inlineStr">
        <is>
          <t>Sunday</t>
        </is>
      </c>
      <c r="O31" s="2" t="inlineStr">
        <is>
          <t>Monday</t>
        </is>
      </c>
      <c r="P31" s="2" t="inlineStr">
        <is>
          <t>Tuesday</t>
        </is>
      </c>
      <c r="Q31" s="2" t="inlineStr">
        <is>
          <t>Wednesday</t>
        </is>
      </c>
      <c r="R31" s="2" t="inlineStr">
        <is>
          <t>Thursday</t>
        </is>
      </c>
      <c r="S31" s="2" t="inlineStr">
        <is>
          <t>Friday</t>
        </is>
      </c>
      <c r="T31" s="2" t="inlineStr">
        <is>
          <t>Saturday</t>
        </is>
      </c>
      <c r="U31" s="2" t="inlineStr">
        <is>
          <t>Sunday</t>
        </is>
      </c>
      <c r="V31" s="2" t="inlineStr">
        <is>
          <t>Monday</t>
        </is>
      </c>
      <c r="W31" s="2" t="inlineStr">
        <is>
          <t>Tuesday</t>
        </is>
      </c>
      <c r="X31" s="2" t="inlineStr">
        <is>
          <t>Wednesday</t>
        </is>
      </c>
      <c r="Y31" s="2" t="inlineStr">
        <is>
          <t>Thursday</t>
        </is>
      </c>
      <c r="Z31" s="2" t="inlineStr">
        <is>
          <t>Friday</t>
        </is>
      </c>
      <c r="AA31" s="2" t="inlineStr">
        <is>
          <t>Saturday</t>
        </is>
      </c>
      <c r="AB31" s="2" t="inlineStr">
        <is>
          <t>Sunday</t>
        </is>
      </c>
      <c r="AC31" s="2" t="inlineStr">
        <is>
          <t>Monday</t>
        </is>
      </c>
      <c r="AD31" s="2" t="inlineStr">
        <is>
          <t>Tuesday</t>
        </is>
      </c>
      <c r="AE31" s="2" t="inlineStr">
        <is>
          <t>Wednesday</t>
        </is>
      </c>
      <c r="AF31" s="2" t="inlineStr">
        <is>
          <t>Thursday</t>
        </is>
      </c>
      <c r="AG31" s="2" t="n"/>
      <c r="AH31" s="2" t="inlineStr">
        <is>
          <t>Total</t>
        </is>
      </c>
    </row>
    <row r="32">
      <c r="A32" s="1" t="n"/>
      <c r="B32" s="7" t="inlineStr">
        <is>
          <t>1st</t>
        </is>
      </c>
      <c r="C32" s="7" t="inlineStr">
        <is>
          <t>2nd</t>
        </is>
      </c>
      <c r="D32" s="7" t="inlineStr">
        <is>
          <t>3rd</t>
        </is>
      </c>
      <c r="E32" s="7" t="inlineStr">
        <is>
          <t>4th</t>
        </is>
      </c>
      <c r="F32" s="7" t="inlineStr">
        <is>
          <t>5th</t>
        </is>
      </c>
      <c r="G32" s="7" t="inlineStr">
        <is>
          <t>6th</t>
        </is>
      </c>
      <c r="H32" s="3" t="inlineStr">
        <is>
          <t>7th</t>
        </is>
      </c>
      <c r="I32" s="3" t="inlineStr">
        <is>
          <t>8th</t>
        </is>
      </c>
      <c r="J32" s="3" t="inlineStr">
        <is>
          <t>9th</t>
        </is>
      </c>
      <c r="K32" s="3" t="inlineStr">
        <is>
          <t>10th</t>
        </is>
      </c>
      <c r="L32" s="3" t="inlineStr">
        <is>
          <t>11th</t>
        </is>
      </c>
      <c r="M32" s="3" t="inlineStr">
        <is>
          <t>12th</t>
        </is>
      </c>
      <c r="N32" s="3" t="inlineStr">
        <is>
          <t>13th</t>
        </is>
      </c>
      <c r="O32" s="4" t="inlineStr">
        <is>
          <t>14th</t>
        </is>
      </c>
      <c r="P32" s="4" t="inlineStr">
        <is>
          <t>15th</t>
        </is>
      </c>
      <c r="Q32" s="4" t="inlineStr">
        <is>
          <t>16th</t>
        </is>
      </c>
      <c r="R32" s="4" t="inlineStr">
        <is>
          <t>17th</t>
        </is>
      </c>
      <c r="S32" s="4" t="inlineStr">
        <is>
          <t>18th</t>
        </is>
      </c>
      <c r="T32" s="4" t="inlineStr">
        <is>
          <t>19th</t>
        </is>
      </c>
      <c r="U32" s="4" t="inlineStr">
        <is>
          <t>20th</t>
        </is>
      </c>
      <c r="V32" s="5" t="inlineStr">
        <is>
          <t>21st</t>
        </is>
      </c>
      <c r="W32" s="5" t="inlineStr">
        <is>
          <t>22nd</t>
        </is>
      </c>
      <c r="X32" s="5" t="inlineStr">
        <is>
          <t>23rd</t>
        </is>
      </c>
      <c r="Y32" s="5" t="inlineStr">
        <is>
          <t>24th</t>
        </is>
      </c>
      <c r="Z32" s="5" t="inlineStr">
        <is>
          <t>25th</t>
        </is>
      </c>
      <c r="AA32" s="5" t="inlineStr">
        <is>
          <t>26th</t>
        </is>
      </c>
      <c r="AB32" s="5" t="inlineStr">
        <is>
          <t>27th</t>
        </is>
      </c>
      <c r="AC32" s="6" t="inlineStr">
        <is>
          <t>28th</t>
        </is>
      </c>
      <c r="AD32" s="6" t="inlineStr">
        <is>
          <t>29th</t>
        </is>
      </c>
      <c r="AE32" s="6" t="inlineStr">
        <is>
          <t>30th</t>
        </is>
      </c>
      <c r="AF32" s="6" t="inlineStr">
        <is>
          <t>31st</t>
        </is>
      </c>
      <c r="AG32" s="97" t="n"/>
      <c r="AH32" s="1" t="n"/>
      <c r="AK32" s="50" t="inlineStr">
        <is>
          <t>Authorities % of income</t>
        </is>
      </c>
    </row>
    <row r="33" ht="15.75" customHeight="1">
      <c r="A33" s="8" t="inlineStr">
        <is>
          <t>B-HAM CITY COUNCIL-200790-70489166</t>
        </is>
      </c>
      <c r="B33" s="31" t="n"/>
      <c r="C33" s="31" t="n"/>
      <c r="D33" s="31" t="n"/>
      <c r="E33" s="12" t="n"/>
      <c r="F33" s="12" t="n"/>
      <c r="G33" s="12" t="n"/>
      <c r="H33" s="12" t="n"/>
      <c r="I33" s="12" t="n"/>
      <c r="K33" s="31" t="n">
        <v>62841.32</v>
      </c>
      <c r="L33" s="12" t="n"/>
      <c r="M33" s="12" t="n"/>
      <c r="N33" s="12" t="n"/>
      <c r="O33" s="12" t="n"/>
      <c r="P33" s="12" t="n"/>
      <c r="Q33" s="12" t="n"/>
      <c r="R33" s="12" t="n"/>
      <c r="S33" s="12" t="n"/>
      <c r="T33" s="12" t="n"/>
      <c r="U33" s="12" t="n"/>
      <c r="V33" s="12" t="n"/>
      <c r="W33" s="12" t="n"/>
      <c r="X33" s="31" t="n">
        <v>5075.22</v>
      </c>
      <c r="Y33" s="31" t="n"/>
      <c r="Z33" s="31" t="n"/>
      <c r="AA33" s="31" t="n"/>
      <c r="AB33" s="31" t="n"/>
      <c r="AC33" s="31" t="n"/>
      <c r="AD33" s="12" t="n"/>
      <c r="AE33" s="12" t="n"/>
      <c r="AF33" s="12" t="n"/>
      <c r="AG33" s="12" t="n"/>
      <c r="AH33" s="13">
        <f>SUM(B33:AG33)</f>
        <v/>
      </c>
      <c r="AI33" s="99">
        <f>AH33/$AH$55</f>
        <v/>
      </c>
      <c r="AK33" t="inlineStr">
        <is>
          <t xml:space="preserve">Wolverhampton </t>
        </is>
      </c>
      <c r="AL33" s="99">
        <f>AI50+AI37+AI38</f>
        <v/>
      </c>
    </row>
    <row r="34" ht="15.75" customHeight="1">
      <c r="A34" s="8" t="inlineStr">
        <is>
          <t>Buckingham</t>
        </is>
      </c>
      <c r="B34" s="31" t="n"/>
      <c r="C34" s="26" t="n"/>
      <c r="D34" s="26" t="n"/>
      <c r="E34" s="9" t="n"/>
      <c r="F34" s="9" t="n"/>
      <c r="G34" s="9" t="n"/>
      <c r="H34" s="9" t="n"/>
      <c r="I34" s="9" t="n"/>
      <c r="J34" s="9" t="n"/>
      <c r="K34" s="26" t="n"/>
      <c r="L34" s="9" t="n"/>
      <c r="M34" s="9" t="n"/>
      <c r="N34" s="9" t="n"/>
      <c r="O34" s="9" t="n"/>
      <c r="P34" s="9" t="n"/>
      <c r="Q34" s="12" t="n"/>
      <c r="R34" s="9" t="n"/>
      <c r="S34" s="9" t="n"/>
      <c r="T34" s="9" t="n"/>
      <c r="U34" s="9" t="n"/>
      <c r="V34" s="9" t="n"/>
      <c r="W34" s="9" t="n"/>
      <c r="X34" s="31" t="n"/>
      <c r="Y34" s="26" t="n"/>
      <c r="Z34" s="31" t="n">
        <v>5134.44</v>
      </c>
      <c r="AA34" s="31" t="n"/>
      <c r="AB34" s="26" t="n"/>
      <c r="AC34" s="31" t="n"/>
      <c r="AD34" s="26" t="n"/>
      <c r="AE34" s="31" t="n"/>
      <c r="AF34" s="31" t="n"/>
      <c r="AG34" s="12" t="n"/>
      <c r="AH34" s="13">
        <f>SUM(B34:AG34)</f>
        <v/>
      </c>
      <c r="AI34" s="99">
        <f>AH34/$AH$55</f>
        <v/>
      </c>
      <c r="AK34" t="inlineStr">
        <is>
          <t>Sandwell</t>
        </is>
      </c>
      <c r="AL34" s="99">
        <f>AI47+AI46+AI35+AI36</f>
        <v/>
      </c>
    </row>
    <row r="35" ht="15.75" customHeight="1">
      <c r="A35" s="8" t="inlineStr">
        <is>
          <t>Sandwell Respite</t>
        </is>
      </c>
      <c r="B35" s="31" t="n"/>
      <c r="C35" s="26" t="n"/>
      <c r="D35" s="26" t="n"/>
      <c r="E35" s="9" t="n"/>
      <c r="F35" s="9" t="n"/>
      <c r="G35" s="9" t="n"/>
      <c r="H35" s="9" t="n"/>
      <c r="I35" s="9" t="n"/>
      <c r="J35" s="9" t="n"/>
      <c r="K35" s="26" t="n"/>
      <c r="L35" s="9" t="n"/>
      <c r="M35" s="9" t="n"/>
      <c r="N35" s="9" t="n"/>
      <c r="O35" s="9" t="n"/>
      <c r="P35" s="9" t="n"/>
      <c r="Q35" s="9" t="n"/>
      <c r="R35" s="9" t="n"/>
      <c r="S35" s="9" t="n"/>
      <c r="T35" s="9" t="n"/>
      <c r="U35" s="9" t="n"/>
      <c r="V35" s="9" t="n"/>
      <c r="W35" s="9" t="n"/>
      <c r="X35" s="26" t="n"/>
      <c r="Y35" s="26" t="n"/>
      <c r="Z35" s="31" t="n"/>
      <c r="AA35" s="26" t="n"/>
      <c r="AB35" s="26" t="n"/>
      <c r="AC35" s="26" t="n"/>
      <c r="AD35" s="31" t="n"/>
      <c r="AE35" s="31" t="n"/>
      <c r="AF35" s="31" t="n"/>
      <c r="AG35" s="9" t="n"/>
      <c r="AH35" s="13">
        <f>SUM(B35:AG35)</f>
        <v/>
      </c>
      <c r="AI35" s="99">
        <f>AH35/$AH$55</f>
        <v/>
      </c>
      <c r="AK35" t="inlineStr">
        <is>
          <t>Walsall</t>
        </is>
      </c>
      <c r="AL35" s="99">
        <f>AI49+AI40+AI39</f>
        <v/>
      </c>
    </row>
    <row r="36" ht="15.75" customHeight="1">
      <c r="A36" s="8" t="inlineStr">
        <is>
          <t>Sandwell Daycare</t>
        </is>
      </c>
      <c r="B36" s="31" t="n"/>
      <c r="C36" s="26" t="n"/>
      <c r="D36" s="26" t="n"/>
      <c r="E36" s="9" t="n"/>
      <c r="F36" s="9" t="n"/>
      <c r="G36" s="9" t="n"/>
      <c r="H36" s="9" t="n"/>
      <c r="I36" s="26" t="n"/>
      <c r="J36" s="26" t="n"/>
      <c r="K36" s="26" t="n"/>
      <c r="L36" s="26" t="n"/>
      <c r="M36" s="26" t="n"/>
      <c r="N36" s="26" t="n"/>
      <c r="O36" s="26" t="n"/>
      <c r="P36" s="26" t="n"/>
      <c r="Q36" s="26" t="n"/>
      <c r="R36" s="9" t="n"/>
      <c r="S36" s="9" t="n"/>
      <c r="T36" s="9" t="n"/>
      <c r="U36" s="9" t="n"/>
      <c r="V36" t="n">
        <v>3672</v>
      </c>
      <c r="W36" s="9" t="n"/>
      <c r="X36" s="26" t="n">
        <v>10645.32</v>
      </c>
      <c r="Y36" s="26" t="n"/>
      <c r="Z36" s="31" t="n"/>
      <c r="AA36" s="26" t="n"/>
      <c r="AB36" s="26" t="n"/>
      <c r="AC36" s="26" t="n"/>
      <c r="AD36" s="31" t="n"/>
      <c r="AE36" s="31" t="n"/>
      <c r="AF36" s="31" t="n"/>
      <c r="AH36" s="13">
        <f>SUM(B36:AG36)</f>
        <v/>
      </c>
      <c r="AI36" s="99">
        <f>AH36/$AH$55</f>
        <v/>
      </c>
      <c r="AK36" t="inlineStr">
        <is>
          <t>Birmingham</t>
        </is>
      </c>
      <c r="AL36" s="99">
        <f>AI33</f>
        <v/>
      </c>
    </row>
    <row r="37" ht="15.75" customHeight="1">
      <c r="A37" s="8" t="inlineStr">
        <is>
          <t xml:space="preserve">Wolverhampton Respite </t>
        </is>
      </c>
      <c r="B37" s="31" t="n"/>
      <c r="C37" s="26" t="n"/>
      <c r="D37" s="26" t="n"/>
      <c r="E37" s="9" t="n"/>
      <c r="F37" s="9" t="n"/>
      <c r="G37" s="9" t="n"/>
      <c r="H37" s="9" t="n"/>
      <c r="I37" s="26" t="n"/>
      <c r="J37" s="26" t="n"/>
      <c r="K37" s="26" t="n"/>
      <c r="L37" s="26" t="n"/>
      <c r="M37" s="26" t="n"/>
      <c r="N37" s="31" t="n"/>
      <c r="O37" s="31" t="n">
        <v>11403.01</v>
      </c>
      <c r="P37" s="26" t="n"/>
      <c r="Q37" s="26" t="n"/>
      <c r="R37" s="9" t="n"/>
      <c r="S37" s="9" t="n"/>
      <c r="T37" s="9" t="n"/>
      <c r="U37" s="9" t="n"/>
      <c r="V37" s="9" t="n"/>
      <c r="W37" s="9" t="n"/>
      <c r="X37" s="26" t="n"/>
      <c r="Y37" s="26" t="n"/>
      <c r="Z37" s="26" t="n"/>
      <c r="AA37" s="26" t="n"/>
      <c r="AB37" s="26" t="n"/>
      <c r="AC37" s="26" t="n"/>
      <c r="AD37" s="31" t="n"/>
      <c r="AE37" s="31" t="n"/>
      <c r="AF37" s="31" t="n"/>
      <c r="AG37" s="9" t="n"/>
      <c r="AH37" s="13">
        <f>SUM(B37:AG37)</f>
        <v/>
      </c>
      <c r="AI37" s="99">
        <f>AH37/$AH$55</f>
        <v/>
      </c>
      <c r="AK37" t="inlineStr">
        <is>
          <t>Other Authorities</t>
        </is>
      </c>
      <c r="AL37" s="99">
        <f>AI34+AI42+AI43+AI44+AI45+AI48+AI51+AI52+AI53</f>
        <v/>
      </c>
    </row>
    <row r="38" ht="15.75" customHeight="1">
      <c r="A38" s="8" t="inlineStr">
        <is>
          <t>Wolverhampton Daycare</t>
        </is>
      </c>
      <c r="B38" s="31" t="n"/>
      <c r="C38" s="26" t="n"/>
      <c r="D38" s="26" t="n">
        <v>7108.1</v>
      </c>
      <c r="E38" s="9" t="n"/>
      <c r="F38" s="9" t="n"/>
      <c r="G38" s="9" t="n"/>
      <c r="H38" s="9" t="n"/>
      <c r="I38" s="26" t="n"/>
      <c r="J38" s="26" t="n"/>
      <c r="K38" s="26" t="n">
        <v>7108.1</v>
      </c>
      <c r="L38" s="26" t="n"/>
      <c r="M38" s="26" t="n"/>
      <c r="N38" s="31" t="n"/>
      <c r="O38" s="26" t="n"/>
      <c r="P38" s="26" t="n"/>
      <c r="Q38" s="26" t="n"/>
      <c r="R38" s="26" t="n">
        <v>7108.1</v>
      </c>
      <c r="S38" s="9" t="n"/>
      <c r="T38" s="9" t="n"/>
      <c r="U38" s="9" t="n"/>
      <c r="V38" s="9" t="n"/>
      <c r="W38" s="9" t="n"/>
      <c r="X38" s="26" t="n"/>
      <c r="Y38" s="26" t="n">
        <v>7108.1</v>
      </c>
      <c r="Z38" s="26" t="n"/>
      <c r="AA38" s="26" t="n"/>
      <c r="AB38" s="26" t="n"/>
      <c r="AC38" s="26" t="n"/>
      <c r="AD38" s="31" t="n"/>
      <c r="AE38" s="31" t="n"/>
      <c r="AF38" s="26" t="n">
        <v>7108.1</v>
      </c>
      <c r="AG38" s="9" t="n"/>
      <c r="AH38" s="13">
        <f>SUM(B38:AG38)</f>
        <v/>
      </c>
      <c r="AI38" s="99">
        <f>AH38/$AH$55</f>
        <v/>
      </c>
      <c r="AK38" t="inlineStr">
        <is>
          <t>Housing benefit and Service charge</t>
        </is>
      </c>
      <c r="AL38" s="99">
        <f>AI54</f>
        <v/>
      </c>
    </row>
    <row r="39" ht="15.75" customHeight="1">
      <c r="A39" s="8" t="inlineStr">
        <is>
          <t>Walsall Respite</t>
        </is>
      </c>
      <c r="B39" s="31" t="n"/>
      <c r="C39" s="26" t="n"/>
      <c r="D39" s="26" t="n"/>
      <c r="E39" t="n">
        <v>3040</v>
      </c>
      <c r="F39" s="12" t="n"/>
      <c r="G39" s="9" t="n"/>
      <c r="H39" s="9" t="n"/>
      <c r="I39" s="26" t="n"/>
      <c r="J39" s="26" t="n"/>
      <c r="K39" s="26" t="n"/>
      <c r="L39" s="26" t="n"/>
      <c r="M39" s="26" t="n"/>
      <c r="N39" s="31" t="n"/>
      <c r="O39" s="26" t="n"/>
      <c r="P39" s="26" t="n"/>
      <c r="Q39" s="26" t="n"/>
      <c r="R39" s="26" t="n"/>
      <c r="S39" s="9" t="n"/>
      <c r="T39" s="9" t="n"/>
      <c r="U39" s="9" t="n"/>
      <c r="V39" s="9" t="n"/>
      <c r="W39" s="26" t="n">
        <v>19907.6</v>
      </c>
      <c r="X39" s="26" t="n"/>
      <c r="Y39" s="26" t="n"/>
      <c r="Z39" s="26" t="n"/>
      <c r="AA39" s="26" t="n"/>
      <c r="AB39" s="26" t="n"/>
      <c r="AC39" s="26" t="n"/>
      <c r="AD39" s="31" t="n"/>
      <c r="AE39" s="31" t="n"/>
      <c r="AF39" s="31" t="n"/>
      <c r="AH39" s="13">
        <f>SUM(B39:AG39)</f>
        <v/>
      </c>
      <c r="AI39" s="99">
        <f>AH39/$AH$55</f>
        <v/>
      </c>
      <c r="AL39" s="99" t="n"/>
    </row>
    <row r="40" ht="15.75" customHeight="1">
      <c r="A40" s="8" t="inlineStr">
        <is>
          <t>Walsall Daycare</t>
        </is>
      </c>
      <c r="B40" s="31" t="n"/>
      <c r="C40" s="26" t="n"/>
      <c r="D40" s="26" t="n"/>
      <c r="F40" s="12" t="n"/>
      <c r="G40" s="9" t="n"/>
      <c r="H40" s="9" t="n"/>
      <c r="I40" s="26" t="n"/>
      <c r="J40" s="26" t="n"/>
      <c r="K40" s="26" t="n"/>
      <c r="L40" s="26" t="n"/>
      <c r="M40" s="26" t="n"/>
      <c r="N40" s="31" t="n"/>
      <c r="O40" s="26" t="n"/>
      <c r="P40" s="26" t="n"/>
      <c r="Q40" s="26" t="n"/>
      <c r="R40" s="26" t="n"/>
      <c r="S40" s="9" t="n"/>
      <c r="T40" s="9" t="n"/>
      <c r="U40" s="9" t="n"/>
      <c r="V40" s="9" t="n"/>
      <c r="W40" s="26" t="n"/>
      <c r="X40" s="26" t="n"/>
      <c r="Y40" s="26" t="n"/>
      <c r="Z40" s="26" t="n"/>
      <c r="AA40" s="26" t="n"/>
      <c r="AB40" s="26" t="n"/>
      <c r="AC40" s="26" t="n"/>
      <c r="AD40" s="31" t="n"/>
      <c r="AE40" s="31" t="n"/>
      <c r="AF40" s="31" t="n"/>
      <c r="AG40" s="9" t="n"/>
      <c r="AH40" s="13">
        <f>SUM(B40:AG40)</f>
        <v/>
      </c>
      <c r="AI40" s="99">
        <f>AH40/$AH$55</f>
        <v/>
      </c>
    </row>
    <row r="41" ht="18.75" customHeight="1">
      <c r="A41" s="8" t="inlineStr">
        <is>
          <t>Ideal for All Ltd</t>
        </is>
      </c>
      <c r="B41" s="31" t="n"/>
      <c r="C41" s="31" t="n"/>
      <c r="D41" s="31" t="n"/>
      <c r="E41" s="12" t="n"/>
      <c r="F41" s="9" t="n"/>
      <c r="G41" s="12" t="n"/>
      <c r="H41" s="12" t="n"/>
      <c r="I41" s="31" t="n"/>
      <c r="J41" s="76" t="n"/>
      <c r="K41" s="76" t="n"/>
      <c r="L41" s="26" t="n"/>
      <c r="M41" s="26" t="n"/>
      <c r="N41" s="31" t="n"/>
      <c r="O41" s="26" t="n"/>
      <c r="P41" s="26" t="n"/>
      <c r="Q41" s="26" t="n"/>
      <c r="R41" s="26" t="n"/>
      <c r="S41" s="9" t="n"/>
      <c r="T41" s="9" t="n"/>
      <c r="U41" s="9" t="n"/>
      <c r="V41" s="9" t="n"/>
      <c r="W41" s="31" t="n"/>
      <c r="X41" s="26" t="n"/>
      <c r="Y41" s="26" t="n"/>
      <c r="Z41" s="31" t="n"/>
      <c r="AA41" s="31" t="n"/>
      <c r="AB41" s="26" t="n"/>
      <c r="AC41" s="31" t="n"/>
      <c r="AD41" s="26" t="n"/>
      <c r="AE41" s="31" t="n"/>
      <c r="AF41" s="31" t="n"/>
      <c r="AG41" s="12" t="n"/>
      <c r="AH41" s="13">
        <f>SUM(B41:AG41)</f>
        <v/>
      </c>
      <c r="AI41" s="99">
        <f>AH41/$AH$55</f>
        <v/>
      </c>
    </row>
    <row r="42" ht="15.75" customHeight="1">
      <c r="A42" s="8" t="inlineStr">
        <is>
          <t>KIRKLEES COUNCIL-204312-63046958</t>
        </is>
      </c>
      <c r="B42" s="31" t="n"/>
      <c r="C42" s="31" t="n"/>
      <c r="D42" s="26" t="n"/>
      <c r="E42" s="9" t="n"/>
      <c r="F42" s="9" t="n"/>
      <c r="G42" s="9" t="n"/>
      <c r="H42" s="12" t="n"/>
      <c r="I42" s="31" t="n"/>
      <c r="J42" s="31" t="n"/>
      <c r="K42" s="31" t="n"/>
      <c r="L42" s="31" t="n"/>
      <c r="M42" s="26" t="n"/>
      <c r="N42" s="31" t="n"/>
      <c r="O42" s="26" t="n"/>
      <c r="P42" s="31" t="n"/>
      <c r="Q42" t="n">
        <v>5888.14</v>
      </c>
      <c r="R42" s="26" t="n"/>
      <c r="S42" s="9" t="n"/>
      <c r="T42" s="9" t="n"/>
      <c r="U42" s="9" t="n"/>
      <c r="V42" s="9" t="n"/>
      <c r="W42" s="26" t="n"/>
      <c r="X42" s="26" t="n"/>
      <c r="Y42" s="26" t="n"/>
      <c r="Z42" s="26" t="n"/>
      <c r="AA42" s="26" t="n"/>
      <c r="AB42" s="26" t="n"/>
      <c r="AC42" s="26" t="n"/>
      <c r="AD42" s="31" t="n"/>
      <c r="AE42" s="31" t="n"/>
      <c r="AF42" s="31" t="n"/>
      <c r="AG42" s="12" t="n"/>
      <c r="AH42" s="13">
        <f>SUM(B42:AG42)</f>
        <v/>
      </c>
      <c r="AI42" s="99">
        <f>AH42/$AH$55</f>
        <v/>
      </c>
    </row>
    <row r="43" ht="15.75" customHeight="1">
      <c r="A43" s="8" t="inlineStr">
        <is>
          <t>LBH PAYMENTS BACS-602210-72430192</t>
        </is>
      </c>
      <c r="B43" s="31" t="n"/>
      <c r="C43" s="26" t="n"/>
      <c r="D43" s="31" t="n">
        <v>5203.8</v>
      </c>
      <c r="E43" s="12" t="n"/>
      <c r="F43" s="9" t="n"/>
      <c r="G43" s="9" t="n"/>
      <c r="H43" s="9" t="n"/>
      <c r="I43" s="26" t="n"/>
      <c r="J43" s="31" t="n"/>
      <c r="K43" s="31" t="n"/>
      <c r="L43" s="31" t="n"/>
      <c r="M43" s="26" t="n"/>
      <c r="N43" s="31" t="n"/>
      <c r="O43" s="26" t="n"/>
      <c r="P43" s="26" t="n"/>
      <c r="Q43" s="26" t="n"/>
      <c r="R43" s="26" t="n"/>
      <c r="S43" s="9" t="n"/>
      <c r="T43" s="9" t="n"/>
      <c r="U43" s="9" t="n"/>
      <c r="V43" s="9" t="n"/>
      <c r="W43" s="26" t="n"/>
      <c r="X43" s="26" t="n"/>
      <c r="Y43" s="26" t="n"/>
      <c r="Z43" s="26" t="n"/>
      <c r="AA43" s="26" t="n"/>
      <c r="AB43" s="26" t="n"/>
      <c r="AC43" s="26" t="n"/>
      <c r="AD43" s="26" t="n"/>
      <c r="AE43" s="31" t="n"/>
      <c r="AF43" s="31" t="n"/>
      <c r="AG43" s="12" t="n"/>
      <c r="AH43" s="13">
        <f>SUM(B43:AG43)</f>
        <v/>
      </c>
      <c r="AI43" s="99">
        <f>AH43/$AH$55</f>
        <v/>
      </c>
    </row>
    <row r="44" ht="15.75" customHeight="1">
      <c r="A44" s="8" t="inlineStr">
        <is>
          <t>NHS BIRMINGHAM &amp; S-607080-10017097</t>
        </is>
      </c>
      <c r="B44" s="31" t="n"/>
      <c r="C44" s="31" t="n"/>
      <c r="D44" s="31" t="n"/>
      <c r="E44" s="9" t="n"/>
      <c r="F44" s="9" t="n"/>
      <c r="G44" s="9" t="n"/>
      <c r="H44" s="9" t="n"/>
      <c r="I44" s="26" t="n"/>
      <c r="J44" s="31" t="n">
        <v>6891.9</v>
      </c>
      <c r="K44" s="31" t="n"/>
      <c r="L44" s="31" t="n"/>
      <c r="M44" s="31" t="n"/>
      <c r="N44" s="31" t="n"/>
      <c r="O44" s="26" t="n"/>
      <c r="P44" s="26" t="n"/>
      <c r="Q44" s="26" t="n"/>
      <c r="R44" s="31" t="n"/>
      <c r="T44" s="9" t="n"/>
      <c r="U44" s="9" t="n"/>
      <c r="V44" s="9" t="n"/>
      <c r="W44" s="31" t="n"/>
      <c r="X44" s="26" t="n">
        <v>1891.68</v>
      </c>
      <c r="Y44" s="26" t="n"/>
      <c r="Z44" s="26" t="n"/>
      <c r="AA44" s="26" t="n"/>
      <c r="AB44" s="26" t="n"/>
      <c r="AC44" s="26" t="n"/>
      <c r="AD44" s="26" t="n"/>
      <c r="AE44" s="31" t="n"/>
      <c r="AF44" s="31" t="n"/>
      <c r="AG44" s="12" t="n"/>
      <c r="AH44" s="13">
        <f>SUM(B44:AG44)</f>
        <v/>
      </c>
      <c r="AI44" s="99">
        <f>AH44/$AH$55</f>
        <v/>
      </c>
    </row>
    <row r="45" ht="15.75" customHeight="1">
      <c r="A45" s="8" t="inlineStr">
        <is>
          <t>NHS BLACK COUNTRY-607080-10015272</t>
        </is>
      </c>
      <c r="B45" s="31" t="n"/>
      <c r="C45" s="31" t="n"/>
      <c r="D45" s="31" t="n">
        <v>2261.76</v>
      </c>
      <c r="E45" s="12" t="n"/>
      <c r="F45" s="9" t="n"/>
      <c r="G45" s="12" t="n"/>
      <c r="I45" s="31" t="n"/>
      <c r="J45" s="31" t="n"/>
      <c r="K45" s="31" t="n"/>
      <c r="L45" s="31" t="n"/>
      <c r="M45" s="31" t="n"/>
      <c r="N45" s="31" t="n"/>
      <c r="O45" s="26" t="n"/>
      <c r="P45" s="31" t="n">
        <v>22097.2</v>
      </c>
      <c r="Q45" s="31" t="n"/>
      <c r="R45" s="31" t="n">
        <v>1100</v>
      </c>
      <c r="T45" s="9" t="n"/>
      <c r="U45" s="9" t="n"/>
      <c r="V45" s="9" t="n"/>
      <c r="W45" s="26" t="n"/>
      <c r="X45" s="26" t="n">
        <v>4850.08</v>
      </c>
      <c r="Y45" s="26" t="n"/>
      <c r="Z45" s="31" t="n">
        <v>4802.22</v>
      </c>
      <c r="AA45" s="26" t="n"/>
      <c r="AB45" s="31" t="n"/>
      <c r="AC45" s="31" t="n"/>
      <c r="AD45" s="31" t="n"/>
      <c r="AE45" s="31" t="n"/>
      <c r="AF45" s="31" t="n"/>
      <c r="AG45" s="12" t="n"/>
      <c r="AH45" s="13">
        <f>SUM(B45:AG45)</f>
        <v/>
      </c>
      <c r="AI45" s="99">
        <f>AH45/$AH$55</f>
        <v/>
      </c>
    </row>
    <row r="46" ht="15.75" customHeight="1">
      <c r="A46" s="14" t="inlineStr">
        <is>
          <t>SANDWELL MBC  BEN-601539-69624151</t>
        </is>
      </c>
      <c r="B46" s="31" t="n"/>
      <c r="C46" s="26" t="n"/>
      <c r="E46" s="9" t="n"/>
      <c r="F46" s="9" t="n"/>
      <c r="G46" s="12" t="n"/>
      <c r="H46" s="12" t="n"/>
      <c r="I46" s="26" t="n"/>
      <c r="J46" s="26" t="n"/>
      <c r="K46" s="26" t="n"/>
      <c r="L46" s="26" t="n"/>
      <c r="M46" s="31" t="n"/>
      <c r="N46" s="31" t="n"/>
      <c r="O46" s="31" t="n">
        <v>2660</v>
      </c>
      <c r="P46" s="26" t="n"/>
      <c r="Q46" s="26" t="n"/>
      <c r="R46" s="26" t="n"/>
      <c r="S46" s="12" t="n"/>
      <c r="T46" s="9" t="n"/>
      <c r="U46" s="9" t="n"/>
      <c r="V46" s="9" t="n"/>
      <c r="W46" s="31" t="n"/>
      <c r="X46" s="26" t="n"/>
      <c r="Y46" s="26" t="n"/>
      <c r="Z46" s="26" t="n"/>
      <c r="AA46" s="31" t="n"/>
      <c r="AB46" s="31" t="n"/>
      <c r="AC46" s="31" t="n"/>
      <c r="AD46" s="31" t="n"/>
      <c r="AE46" s="31" t="n"/>
      <c r="AF46" s="31" t="n"/>
      <c r="AG46" s="12" t="n"/>
      <c r="AH46" s="13">
        <f>SUM(B46:AG46)</f>
        <v/>
      </c>
      <c r="AI46" s="99">
        <f>AH46/$AH$55</f>
        <v/>
      </c>
    </row>
    <row r="47" ht="15.75" customHeight="1">
      <c r="A47" s="14" t="inlineStr">
        <is>
          <t>SANDWELL MBC-601539-69624135</t>
        </is>
      </c>
      <c r="B47" s="26" t="n"/>
      <c r="C47" s="26" t="n"/>
      <c r="D47" s="26" t="n"/>
      <c r="E47" s="9" t="n"/>
      <c r="F47" s="12" t="n"/>
      <c r="G47" s="9" t="n"/>
      <c r="H47" s="9" t="n"/>
      <c r="I47" s="26" t="n"/>
      <c r="J47" s="26" t="n"/>
      <c r="K47" s="26" t="n"/>
      <c r="L47" s="26" t="n"/>
      <c r="M47" s="26" t="n"/>
      <c r="N47" s="26" t="n"/>
      <c r="O47" s="31" t="n"/>
      <c r="P47" s="31" t="n"/>
      <c r="Q47" s="31" t="n"/>
      <c r="R47" s="31" t="n"/>
      <c r="S47" t="n">
        <v>1672</v>
      </c>
      <c r="T47" s="9" t="n"/>
      <c r="U47" s="9" t="n"/>
      <c r="V47" s="9" t="n"/>
      <c r="W47" s="31" t="n">
        <v>110546.24</v>
      </c>
      <c r="X47" s="26" t="n"/>
      <c r="Y47" s="75" t="n">
        <v>120142.4</v>
      </c>
      <c r="Z47" s="31" t="n"/>
      <c r="AA47" s="26" t="n"/>
      <c r="AB47" s="31" t="n"/>
      <c r="AC47" s="31" t="n"/>
      <c r="AD47" s="31" t="n"/>
      <c r="AE47" s="31" t="n"/>
      <c r="AF47" s="31" t="n"/>
      <c r="AG47" s="12" t="n"/>
      <c r="AH47" s="13">
        <f>SUM(B47:AG47)</f>
        <v/>
      </c>
      <c r="AI47" s="99">
        <f>AH47/$AH$55</f>
        <v/>
      </c>
    </row>
    <row r="48" ht="15.75" customHeight="1">
      <c r="A48" s="15" t="inlineStr">
        <is>
          <t>SOLIHULL MBC EXP.-200771-00561525</t>
        </is>
      </c>
      <c r="B48" s="31" t="n"/>
      <c r="C48" s="31" t="n"/>
      <c r="D48" s="31" t="n"/>
      <c r="E48" s="12" t="n"/>
      <c r="F48" s="12" t="n"/>
      <c r="G48" s="12" t="n"/>
      <c r="H48" t="n">
        <v>32010.44</v>
      </c>
      <c r="I48" s="31" t="n"/>
      <c r="J48" s="31" t="n"/>
      <c r="K48" s="31" t="n"/>
      <c r="L48" s="31" t="n"/>
      <c r="M48" s="31" t="n"/>
      <c r="N48" s="31" t="n"/>
      <c r="O48" s="31" t="n"/>
      <c r="P48" s="31" t="n"/>
      <c r="Q48" s="31" t="n"/>
      <c r="R48" s="31" t="n"/>
      <c r="S48" s="12" t="n"/>
      <c r="T48" s="12" t="n"/>
      <c r="U48" s="12" t="n"/>
      <c r="V48" s="12" t="n"/>
      <c r="W48" s="31" t="n"/>
      <c r="X48" s="31" t="n"/>
      <c r="Y48" s="31" t="n"/>
      <c r="Z48" s="31" t="n"/>
      <c r="AA48" s="31" t="n"/>
      <c r="AB48" s="31" t="n"/>
      <c r="AC48" s="31" t="n"/>
      <c r="AD48" s="31" t="n"/>
      <c r="AE48" s="31" t="n"/>
      <c r="AF48" s="31" t="n"/>
      <c r="AG48" s="12" t="n"/>
      <c r="AH48" s="13">
        <f>SUM(B48:AG48)</f>
        <v/>
      </c>
      <c r="AI48" s="99">
        <f>AH48/$AH$55</f>
        <v/>
      </c>
    </row>
    <row r="49" ht="15.75" customHeight="1">
      <c r="A49" s="15" t="inlineStr">
        <is>
          <t>WALSALL MBC BARC-209073-10731692</t>
        </is>
      </c>
      <c r="B49" s="26" t="n"/>
      <c r="C49" s="31" t="n"/>
      <c r="D49" s="31" t="n"/>
      <c r="E49" s="12" t="n"/>
      <c r="F49" s="12" t="n"/>
      <c r="G49" s="12" t="n"/>
      <c r="H49" s="12" t="n"/>
      <c r="I49" s="31" t="n"/>
      <c r="J49" s="31" t="n"/>
      <c r="K49" s="31" t="n"/>
      <c r="L49" s="31" t="n"/>
      <c r="M49" s="31" t="n"/>
      <c r="N49" s="31" t="n"/>
      <c r="O49" s="31" t="n"/>
      <c r="P49" s="31" t="n"/>
      <c r="Q49" s="31" t="n"/>
      <c r="R49" s="31" t="n"/>
      <c r="S49" s="12" t="n"/>
      <c r="T49" s="12" t="n"/>
      <c r="U49" s="12" t="n"/>
      <c r="V49" s="12" t="n"/>
      <c r="W49" s="26" t="n">
        <v>202531.96</v>
      </c>
      <c r="X49" s="31" t="n"/>
      <c r="Y49" s="31" t="n"/>
      <c r="Z49" s="31" t="n"/>
      <c r="AA49" s="31" t="n"/>
      <c r="AB49" s="31" t="n"/>
      <c r="AC49" s="31" t="n"/>
      <c r="AD49" s="31" t="n"/>
      <c r="AE49" s="31" t="n"/>
      <c r="AF49" s="31" t="n"/>
      <c r="AG49" s="12" t="n"/>
      <c r="AH49" s="13">
        <f>SUM(B49:AG49)</f>
        <v/>
      </c>
      <c r="AI49" s="99">
        <f>AH49/$AH$55</f>
        <v/>
      </c>
    </row>
    <row r="50" ht="15.75" customHeight="1">
      <c r="A50" s="15" t="inlineStr">
        <is>
          <t>WOLVERHAMPTON CC-560069-44470320</t>
        </is>
      </c>
      <c r="B50" s="31" t="n"/>
      <c r="C50" s="31" t="n"/>
      <c r="D50" s="26" t="n">
        <v>122539.12</v>
      </c>
      <c r="E50" s="12" t="n"/>
      <c r="F50" s="12" t="n"/>
      <c r="G50" s="12" t="n"/>
      <c r="H50" s="12" t="n"/>
      <c r="I50" s="31" t="n"/>
      <c r="J50" s="31" t="n"/>
      <c r="K50" s="26" t="n">
        <v>115569.52</v>
      </c>
      <c r="L50" s="31" t="n"/>
      <c r="M50" s="31" t="n"/>
      <c r="N50" s="31" t="n"/>
      <c r="O50" s="31" t="n"/>
      <c r="P50" s="31" t="n"/>
      <c r="Q50" s="31" t="n"/>
      <c r="R50" s="26" t="n">
        <v>115604.64</v>
      </c>
      <c r="S50" t="n">
        <v>2755</v>
      </c>
      <c r="T50" s="12" t="n"/>
      <c r="U50" s="12" t="n"/>
      <c r="V50" s="12" t="n"/>
      <c r="W50" s="31" t="n"/>
      <c r="X50" s="31" t="n"/>
      <c r="Y50" s="16" t="n">
        <v>110454.88</v>
      </c>
      <c r="Z50" s="31" t="n"/>
      <c r="AA50" s="31" t="n"/>
      <c r="AB50" s="31" t="n"/>
      <c r="AC50" s="31" t="n">
        <v>2710.4</v>
      </c>
      <c r="AD50" s="31" t="n"/>
      <c r="AE50" s="31" t="n"/>
      <c r="AF50" s="26" t="n">
        <v>113165.28</v>
      </c>
      <c r="AG50" s="9" t="n"/>
      <c r="AH50" s="13">
        <f>SUM(B50:AG50)</f>
        <v/>
      </c>
      <c r="AI50" s="99">
        <f>AH50/$AH$55</f>
        <v/>
      </c>
    </row>
    <row r="51" ht="15.75" customHeight="1">
      <c r="A51" s="15" t="inlineStr">
        <is>
          <t>Portsmouth</t>
        </is>
      </c>
      <c r="B51" s="31" t="n">
        <v>5247.86</v>
      </c>
      <c r="C51" s="31" t="n"/>
      <c r="D51" s="31" t="n"/>
      <c r="E51" s="9" t="n"/>
      <c r="F51" s="12" t="n"/>
      <c r="G51" s="12" t="n"/>
      <c r="H51" s="12" t="n"/>
      <c r="I51" s="31" t="n"/>
      <c r="J51" s="31" t="n"/>
      <c r="K51" s="31" t="n"/>
      <c r="L51" s="31" t="n"/>
      <c r="M51" s="31" t="n"/>
      <c r="N51" s="31" t="n"/>
      <c r="O51" s="31" t="n"/>
      <c r="P51" s="31" t="n"/>
      <c r="Q51" s="31" t="n"/>
      <c r="R51" s="31" t="n"/>
      <c r="S51" s="12" t="n"/>
      <c r="T51" s="12" t="n"/>
      <c r="U51" s="12" t="n"/>
      <c r="V51" s="12" t="n"/>
      <c r="W51" s="31" t="n"/>
      <c r="X51" s="31" t="n"/>
      <c r="Y51" s="31" t="n"/>
      <c r="Z51" s="31" t="n"/>
      <c r="AA51" s="31" t="n"/>
      <c r="AB51" s="31" t="n"/>
      <c r="AC51" s="31" t="n"/>
      <c r="AD51" s="26" t="n"/>
      <c r="AE51" s="31" t="n"/>
      <c r="AF51" s="31" t="n"/>
      <c r="AG51" s="12" t="n"/>
      <c r="AH51" s="13">
        <f>SUM(B51:AG51)</f>
        <v/>
      </c>
      <c r="AI51" s="99">
        <f>AH51/$AH$55</f>
        <v/>
      </c>
    </row>
    <row r="52" ht="15.75" customHeight="1">
      <c r="A52" s="15" t="inlineStr">
        <is>
          <t>People Plus</t>
        </is>
      </c>
      <c r="B52" s="26" t="n"/>
      <c r="C52" s="31" t="n"/>
      <c r="D52" s="31" t="n"/>
      <c r="E52" s="12" t="n"/>
      <c r="F52" s="12" t="n"/>
      <c r="G52" s="12" t="n"/>
      <c r="H52" s="12" t="n"/>
      <c r="I52" s="31" t="n"/>
      <c r="J52" s="31" t="n"/>
      <c r="K52" s="31" t="n"/>
      <c r="L52" s="31" t="n"/>
      <c r="M52" s="31" t="n"/>
      <c r="N52" s="31" t="n"/>
      <c r="O52" s="31" t="n"/>
      <c r="P52" s="31" t="n"/>
      <c r="Q52" s="31" t="n"/>
      <c r="R52" s="31" t="n"/>
      <c r="S52" s="12" t="n"/>
      <c r="T52" s="12" t="n"/>
      <c r="U52" s="12" t="n"/>
      <c r="V52" t="n">
        <v>4081.8</v>
      </c>
      <c r="W52" s="31" t="n"/>
      <c r="X52" s="31" t="n"/>
      <c r="Y52" s="31" t="n"/>
      <c r="Z52" s="31" t="n">
        <v>3600</v>
      </c>
      <c r="AA52" s="31" t="n"/>
      <c r="AB52" s="31" t="n"/>
      <c r="AC52" s="31" t="n"/>
      <c r="AD52" s="26" t="n"/>
      <c r="AE52" s="31" t="n"/>
      <c r="AF52" s="31" t="n"/>
      <c r="AG52" s="12" t="n"/>
      <c r="AH52" s="13">
        <f>SUM(B52:AG52)</f>
        <v/>
      </c>
      <c r="AI52" s="99">
        <f>AH52/$AH$55</f>
        <v/>
      </c>
    </row>
    <row r="53" ht="15.75" customHeight="1">
      <c r="A53" s="15" t="inlineStr">
        <is>
          <t>CHASING</t>
        </is>
      </c>
      <c r="B53" s="26" t="n"/>
      <c r="C53" s="31" t="n"/>
      <c r="D53" s="31" t="n"/>
      <c r="E53" s="12" t="n"/>
      <c r="F53" s="12" t="n"/>
      <c r="G53" s="12" t="n"/>
      <c r="H53" s="12" t="n"/>
      <c r="I53" s="31" t="n"/>
      <c r="J53" s="31" t="n"/>
      <c r="K53" s="31" t="n"/>
      <c r="L53" s="31" t="n"/>
      <c r="M53" s="31" t="n"/>
      <c r="N53" s="31" t="n"/>
      <c r="O53" s="31" t="n"/>
      <c r="P53" s="31" t="n"/>
      <c r="Q53" t="n">
        <v>6896.67</v>
      </c>
      <c r="R53" s="31" t="n"/>
      <c r="S53" s="75" t="n">
        <v>6008</v>
      </c>
      <c r="T53" s="12" t="n"/>
      <c r="U53" s="12" t="n"/>
      <c r="V53" s="75" t="n">
        <v>9897.92</v>
      </c>
      <c r="W53" s="31">
        <f>16867.24+14274.63</f>
        <v/>
      </c>
      <c r="X53" s="31" t="n"/>
      <c r="Y53" s="31" t="n"/>
      <c r="Z53" s="31" t="n"/>
      <c r="AA53" s="31" t="n"/>
      <c r="AB53" s="31" t="n"/>
      <c r="AC53" s="31" t="n"/>
      <c r="AD53" s="26" t="n"/>
      <c r="AE53" s="31" t="n"/>
      <c r="AF53" s="31" t="n"/>
      <c r="AG53" s="74" t="n"/>
      <c r="AH53" s="13">
        <f>SUM(B53:AG53)</f>
        <v/>
      </c>
      <c r="AI53" s="99">
        <f>AH53/$AH$55</f>
        <v/>
      </c>
    </row>
    <row r="54" ht="15.75" customHeight="1">
      <c r="A54" s="15" t="inlineStr">
        <is>
          <t>HB SC</t>
        </is>
      </c>
      <c r="B54" s="16" t="n">
        <v>5408.500000000003</v>
      </c>
      <c r="C54" s="16" t="n">
        <v>874.05</v>
      </c>
      <c r="D54" s="16" t="n">
        <v>1842.19</v>
      </c>
      <c r="E54" s="16">
        <f>2861+855</f>
        <v/>
      </c>
      <c r="F54" s="16" t="n">
        <v>0</v>
      </c>
      <c r="G54" s="16" t="n">
        <v>0</v>
      </c>
      <c r="H54" s="16" t="n">
        <v>14381.15</v>
      </c>
      <c r="I54" s="16" t="n">
        <v>1685.68</v>
      </c>
      <c r="J54" s="16" t="n">
        <v>2673.35</v>
      </c>
      <c r="K54" s="16" t="n">
        <v>1725.049999999996</v>
      </c>
      <c r="L54" s="16" t="n">
        <v>4301.73</v>
      </c>
      <c r="M54" s="16" t="n">
        <v>45</v>
      </c>
      <c r="N54" s="16" t="n">
        <v>200</v>
      </c>
      <c r="O54" s="16" t="n">
        <v>3908.390000000001</v>
      </c>
      <c r="P54" s="16" t="n">
        <v>3030.009999999998</v>
      </c>
      <c r="Q54" s="16" t="n">
        <v>2735.489999999999</v>
      </c>
      <c r="R54" s="16" t="n">
        <v>2215.5</v>
      </c>
      <c r="S54" s="16" t="n">
        <v>6255.599999999999</v>
      </c>
      <c r="T54" s="16" t="n">
        <v>200</v>
      </c>
      <c r="U54" s="16" t="n">
        <v>0</v>
      </c>
      <c r="V54" s="16" t="n">
        <v>5583.099999999999</v>
      </c>
      <c r="W54" s="16" t="n">
        <v>11188.62000000004</v>
      </c>
      <c r="X54" s="16" t="n">
        <v>3890.299999999998</v>
      </c>
      <c r="Y54" s="16" t="n">
        <v>3415.409999999989</v>
      </c>
      <c r="Z54" s="16" t="n">
        <v>5518.709999999995</v>
      </c>
      <c r="AA54" s="16" t="n">
        <v>0</v>
      </c>
      <c r="AB54" s="16" t="n">
        <v>200</v>
      </c>
      <c r="AC54" s="16" t="n">
        <v>8578.060000000056</v>
      </c>
      <c r="AD54" s="16" t="n">
        <v>3038.11</v>
      </c>
      <c r="AE54" s="16" t="n">
        <v>4965.589999999997</v>
      </c>
      <c r="AF54" s="16" t="n">
        <v>1769.850000000006</v>
      </c>
      <c r="AG54" s="10" t="n"/>
      <c r="AH54" s="13">
        <f>SUM(B54:AF54)</f>
        <v/>
      </c>
      <c r="AI54" s="99">
        <f>AH54/$AH$55</f>
        <v/>
      </c>
    </row>
    <row r="55" ht="16.5" customHeight="1" thickBot="1">
      <c r="A55" s="53" t="inlineStr">
        <is>
          <t>Total</t>
        </is>
      </c>
      <c r="B55" s="29">
        <f>SUM(B33:B54)</f>
        <v/>
      </c>
      <c r="C55" s="29">
        <f>SUM(C33:C54)+B55</f>
        <v/>
      </c>
      <c r="D55" s="29">
        <f>SUM(D33:D54)+C55</f>
        <v/>
      </c>
      <c r="E55" s="29">
        <f>SUM(E33:E54)+D55</f>
        <v/>
      </c>
      <c r="F55" s="29">
        <f>SUM(F33:F54)+E55</f>
        <v/>
      </c>
      <c r="G55" s="29">
        <f>SUM(G33:G54)+F55</f>
        <v/>
      </c>
      <c r="H55" s="29">
        <f>SUM(H33:H54)+G55</f>
        <v/>
      </c>
      <c r="I55" s="29">
        <f>SUM(I33:I54)+H55</f>
        <v/>
      </c>
      <c r="J55" s="29">
        <f>SUM(J33:J54)+I55</f>
        <v/>
      </c>
      <c r="K55" s="29">
        <f>SUM(K33:K54)+J55</f>
        <v/>
      </c>
      <c r="L55" s="29">
        <f>SUM(L33:L54)+K55</f>
        <v/>
      </c>
      <c r="M55" s="29">
        <f>SUM(M33:M54)+L55</f>
        <v/>
      </c>
      <c r="N55" s="29">
        <f>SUM(N33:N54)+M55</f>
        <v/>
      </c>
      <c r="O55" s="29">
        <f>SUM(O33:O54)+N55</f>
        <v/>
      </c>
      <c r="P55" s="29">
        <f>SUM(P33:P54)+O55</f>
        <v/>
      </c>
      <c r="Q55" s="29">
        <f>SUM(Q33:Q54)+P55</f>
        <v/>
      </c>
      <c r="R55" s="29">
        <f>SUM(R33:R54)+Q55</f>
        <v/>
      </c>
      <c r="S55" s="29">
        <f>SUM(S33:S54)+R55</f>
        <v/>
      </c>
      <c r="T55" s="29">
        <f>SUM(T33:T54)+S55</f>
        <v/>
      </c>
      <c r="U55" s="29">
        <f>SUM(U33:U54)+T55</f>
        <v/>
      </c>
      <c r="V55" s="29">
        <f>SUM(V33:V54)+U55</f>
        <v/>
      </c>
      <c r="W55" s="29">
        <f>SUM(W33:W54)+V55</f>
        <v/>
      </c>
      <c r="X55" s="29">
        <f>SUM(X33:X54)+W55</f>
        <v/>
      </c>
      <c r="Y55" s="29">
        <f>SUM(Y33:Y54)+X55</f>
        <v/>
      </c>
      <c r="Z55" s="29">
        <f>SUM(Z33:Z54)+Y55</f>
        <v/>
      </c>
      <c r="AA55" s="29">
        <f>SUM(AA33:AA54)+Z55</f>
        <v/>
      </c>
      <c r="AB55" s="29">
        <f>SUM(AB33:AB54)+AA55</f>
        <v/>
      </c>
      <c r="AC55" s="29">
        <f>SUM(AC33:AC54)+AB55</f>
        <v/>
      </c>
      <c r="AD55" s="29">
        <f>SUM(AD33:AD54)+AC55</f>
        <v/>
      </c>
      <c r="AE55" s="29">
        <f>SUM(AE33:AE54)+AD55</f>
        <v/>
      </c>
      <c r="AF55" s="29">
        <f>SUM(AF33:AF54)+AE55</f>
        <v/>
      </c>
      <c r="AG55" s="29" t="n"/>
      <c r="AH55" s="22">
        <f>SUM(AH33:AH54)</f>
        <v/>
      </c>
      <c r="AI55" s="99" t="n"/>
    </row>
    <row r="56" ht="15.75" customHeight="1" thickTop="1">
      <c r="A56" s="15" t="inlineStr">
        <is>
          <t>Running Total</t>
        </is>
      </c>
      <c r="B56">
        <f>B55</f>
        <v/>
      </c>
      <c r="C56">
        <f>B56+C55</f>
        <v/>
      </c>
      <c r="D56">
        <f>C56+D55</f>
        <v/>
      </c>
      <c r="E56">
        <f>D56+E55</f>
        <v/>
      </c>
      <c r="F56">
        <f>E56+F55</f>
        <v/>
      </c>
      <c r="G56">
        <f>F56+G55</f>
        <v/>
      </c>
      <c r="H56">
        <f>G56+H55</f>
        <v/>
      </c>
      <c r="I56">
        <f>H56+I55</f>
        <v/>
      </c>
      <c r="J56">
        <f>I56+J55</f>
        <v/>
      </c>
      <c r="K56">
        <f>J56+K55</f>
        <v/>
      </c>
      <c r="L56">
        <f>K56+L55</f>
        <v/>
      </c>
      <c r="M56">
        <f>L56+M55</f>
        <v/>
      </c>
      <c r="N56">
        <f>M56+N55</f>
        <v/>
      </c>
      <c r="O56">
        <f>N56+O55</f>
        <v/>
      </c>
      <c r="P56">
        <f>O56+P55</f>
        <v/>
      </c>
      <c r="Q56">
        <f>P56+Q55</f>
        <v/>
      </c>
      <c r="R56">
        <f>Q56+R55</f>
        <v/>
      </c>
      <c r="S56">
        <f>R56+S55</f>
        <v/>
      </c>
      <c r="T56">
        <f>S56+T55</f>
        <v/>
      </c>
      <c r="U56">
        <f>T56+U55</f>
        <v/>
      </c>
      <c r="V56">
        <f>U56+V55</f>
        <v/>
      </c>
      <c r="W56">
        <f>V56+W55</f>
        <v/>
      </c>
      <c r="X56">
        <f>W56+X55</f>
        <v/>
      </c>
      <c r="Y56">
        <f>X56+Y55</f>
        <v/>
      </c>
      <c r="Z56">
        <f>Y56+Z55</f>
        <v/>
      </c>
      <c r="AA56">
        <f>Z56+AA55</f>
        <v/>
      </c>
      <c r="AB56">
        <f>AA56+AB55</f>
        <v/>
      </c>
      <c r="AC56">
        <f>AB56+AC55</f>
        <v/>
      </c>
      <c r="AD56">
        <f>AC56+AD55</f>
        <v/>
      </c>
      <c r="AE56">
        <f>AD56+AE55</f>
        <v/>
      </c>
      <c r="AF56">
        <f>AE56+AF55</f>
        <v/>
      </c>
      <c r="AH56" s="98" t="n"/>
      <c r="AI56" s="98" t="n"/>
    </row>
    <row r="61">
      <c r="A61" s="96" t="inlineStr">
        <is>
          <t xml:space="preserve">Chasing </t>
        </is>
      </c>
    </row>
    <row r="62">
      <c r="A62" s="15" t="inlineStr">
        <is>
          <t>Birmingham</t>
        </is>
      </c>
      <c r="B62" t="n">
        <v>10361.51</v>
      </c>
    </row>
    <row r="63">
      <c r="A63" s="15" t="inlineStr">
        <is>
          <t>Sandwell</t>
        </is>
      </c>
      <c r="B63" t="n">
        <v>77897.28</v>
      </c>
    </row>
    <row r="64">
      <c r="A64" s="15" t="inlineStr">
        <is>
          <t>Wolverhampton</t>
        </is>
      </c>
      <c r="B64" s="25" t="n"/>
      <c r="I64" s="25" t="n"/>
    </row>
    <row r="65">
      <c r="A65" s="15" t="inlineStr">
        <is>
          <t>Walsall</t>
        </is>
      </c>
      <c r="I65" s="25" t="n"/>
    </row>
    <row r="66">
      <c r="A66" s="15" t="inlineStr">
        <is>
          <t xml:space="preserve">Black country nhs trust </t>
        </is>
      </c>
      <c r="B66" t="n">
        <v>8784</v>
      </c>
      <c r="C66" t="inlineStr">
        <is>
          <t>KM</t>
        </is>
      </c>
    </row>
    <row r="67" ht="15.75" customHeight="1" thickBot="1">
      <c r="A67" s="53" t="inlineStr">
        <is>
          <t>Total</t>
        </is>
      </c>
      <c r="B67" s="29">
        <f>SUM(B62:B66)</f>
        <v/>
      </c>
    </row>
    <row r="68" ht="15.75" customHeight="1" thickTop="1">
      <c r="I68" s="25" t="n"/>
    </row>
    <row r="69">
      <c r="I69" s="25" t="n"/>
    </row>
    <row r="76">
      <c r="I76" s="25" t="n"/>
    </row>
    <row r="77">
      <c r="I77" s="25" t="n"/>
    </row>
    <row r="80">
      <c r="I80" s="25" t="n"/>
    </row>
    <row r="81">
      <c r="I81" s="25" t="n"/>
    </row>
    <row r="82">
      <c r="I82" s="25" t="n"/>
    </row>
    <row r="83">
      <c r="I83" s="25" t="n"/>
    </row>
    <row r="84">
      <c r="I84" s="25" t="n"/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/>
  </sheetPr>
  <dimension ref="A1:AL64"/>
  <sheetViews>
    <sheetView zoomScale="70" zoomScaleNormal="70" workbookViewId="0">
      <pane xSplit="1" topLeftCell="M1" activePane="topRight" state="frozen"/>
      <selection activeCell="I36" sqref="I36"/>
      <selection pane="topRight" activeCell="I36" sqref="I36"/>
    </sheetView>
  </sheetViews>
  <sheetFormatPr baseColWidth="8" defaultRowHeight="15"/>
  <cols>
    <col width="39.140625" bestFit="1" customWidth="1" min="1" max="1"/>
    <col width="13.140625" bestFit="1" customWidth="1" min="2" max="2"/>
    <col width="14.140625" bestFit="1" customWidth="1" min="3" max="3"/>
    <col width="13.42578125" bestFit="1" customWidth="1" min="4" max="4"/>
    <col width="11.140625" bestFit="1" customWidth="1" min="5" max="5"/>
    <col width="12.28515625" bestFit="1" customWidth="1" min="6" max="6"/>
    <col width="14.140625" bestFit="1" customWidth="1" min="7" max="7"/>
    <col width="12.28515625" bestFit="1" customWidth="1" min="8" max="8"/>
    <col width="11" bestFit="1" customWidth="1" min="9" max="9"/>
    <col width="14.140625" bestFit="1" customWidth="1" min="10" max="10"/>
    <col width="13.42578125" bestFit="1" customWidth="1" min="11" max="12"/>
    <col width="12.28515625" bestFit="1" customWidth="1" min="13" max="13"/>
    <col width="14.140625" bestFit="1" customWidth="1" min="14" max="14"/>
    <col width="12.28515625" bestFit="1" customWidth="1" min="15" max="15"/>
    <col width="11" bestFit="1" customWidth="1" min="16" max="16"/>
    <col width="14.140625" bestFit="1" customWidth="1" min="17" max="17"/>
    <col width="13.42578125" bestFit="1" customWidth="1" min="18" max="18"/>
    <col width="10.7109375" bestFit="1" customWidth="1" min="19" max="19"/>
    <col width="12.28515625" bestFit="1" customWidth="1" min="20" max="20"/>
    <col width="14.140625" bestFit="1" customWidth="1" min="21" max="21"/>
    <col width="12.28515625" bestFit="1" customWidth="1" min="22" max="22"/>
    <col width="13.42578125" bestFit="1" customWidth="1" min="23" max="23"/>
    <col width="14.140625" bestFit="1" customWidth="1" min="24" max="24"/>
    <col width="12.28515625" bestFit="1" customWidth="1" min="25" max="25"/>
    <col width="13.42578125" bestFit="1" customWidth="1" min="26" max="26"/>
    <col width="12.28515625" bestFit="1" customWidth="1" min="27" max="27"/>
    <col width="14.140625" bestFit="1" customWidth="1" min="28" max="28"/>
    <col width="12.28515625" bestFit="1" customWidth="1" min="29" max="29"/>
    <col width="11" bestFit="1" customWidth="1" min="30" max="30"/>
    <col width="14.140625" bestFit="1" customWidth="1" min="31" max="31"/>
    <col width="12.28515625" bestFit="1" customWidth="1" min="32" max="33"/>
    <col width="13.42578125" bestFit="1" customWidth="1" min="34" max="34"/>
    <col width="9.42578125" bestFit="1" customWidth="1" min="35" max="35"/>
    <col width="35.28515625" bestFit="1" customWidth="1" min="37" max="37"/>
    <col width="9.42578125" bestFit="1" customWidth="1" min="38" max="38"/>
  </cols>
  <sheetData>
    <row r="1" hidden="1">
      <c r="A1" s="1" t="n"/>
      <c r="B1" s="2" t="inlineStr">
        <is>
          <t>November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  <c r="AE1" s="1" t="n"/>
      <c r="AF1" s="1" t="n"/>
      <c r="AG1" s="1" t="n"/>
    </row>
    <row r="2" hidden="1" ht="15.75" customHeight="1">
      <c r="A2" s="1" t="n"/>
      <c r="B2" s="2" t="inlineStr">
        <is>
          <t>Friday</t>
        </is>
      </c>
      <c r="C2" s="2" t="inlineStr">
        <is>
          <t>Saturday</t>
        </is>
      </c>
      <c r="D2" s="2" t="inlineStr">
        <is>
          <t>Sunday</t>
        </is>
      </c>
      <c r="E2" s="2" t="inlineStr">
        <is>
          <t>Monday</t>
        </is>
      </c>
      <c r="F2" s="2" t="inlineStr">
        <is>
          <t>Tuesday</t>
        </is>
      </c>
      <c r="G2" s="2" t="inlineStr">
        <is>
          <t>Wednesday</t>
        </is>
      </c>
      <c r="H2" s="2" t="inlineStr">
        <is>
          <t>Thursday</t>
        </is>
      </c>
      <c r="I2" s="2" t="inlineStr">
        <is>
          <t>Friday</t>
        </is>
      </c>
      <c r="J2" s="2" t="inlineStr">
        <is>
          <t>Saturday</t>
        </is>
      </c>
      <c r="K2" s="2" t="inlineStr">
        <is>
          <t>Sunday</t>
        </is>
      </c>
      <c r="L2" s="2" t="inlineStr">
        <is>
          <t>Monday</t>
        </is>
      </c>
      <c r="M2" s="2" t="inlineStr">
        <is>
          <t>Tuesday</t>
        </is>
      </c>
      <c r="N2" s="2" t="inlineStr">
        <is>
          <t>Wednesday</t>
        </is>
      </c>
      <c r="O2" s="2" t="inlineStr">
        <is>
          <t>Thursday</t>
        </is>
      </c>
      <c r="P2" s="2" t="inlineStr">
        <is>
          <t>Friday</t>
        </is>
      </c>
      <c r="Q2" s="2" t="inlineStr">
        <is>
          <t>Saturday</t>
        </is>
      </c>
      <c r="R2" s="2" t="inlineStr">
        <is>
          <t>Sunday</t>
        </is>
      </c>
      <c r="S2" s="2" t="inlineStr">
        <is>
          <t>Monday</t>
        </is>
      </c>
      <c r="T2" s="2" t="inlineStr">
        <is>
          <t>Tuesday</t>
        </is>
      </c>
      <c r="U2" s="2" t="inlineStr">
        <is>
          <t>Wednesday</t>
        </is>
      </c>
      <c r="V2" s="2" t="inlineStr">
        <is>
          <t>Thursday</t>
        </is>
      </c>
      <c r="W2" s="2" t="inlineStr">
        <is>
          <t>Friday</t>
        </is>
      </c>
      <c r="X2" s="2" t="inlineStr">
        <is>
          <t>Saturday</t>
        </is>
      </c>
      <c r="Y2" s="2" t="inlineStr">
        <is>
          <t>Sunday</t>
        </is>
      </c>
      <c r="Z2" s="2" t="inlineStr">
        <is>
          <t>Monday</t>
        </is>
      </c>
      <c r="AA2" s="2" t="inlineStr">
        <is>
          <t>Tuesday</t>
        </is>
      </c>
      <c r="AB2" s="2" t="inlineStr">
        <is>
          <t>Wednesday</t>
        </is>
      </c>
      <c r="AC2" s="2" t="inlineStr">
        <is>
          <t>Thursday</t>
        </is>
      </c>
      <c r="AD2" s="2" t="inlineStr">
        <is>
          <t>Friday</t>
        </is>
      </c>
      <c r="AE2" s="2" t="inlineStr">
        <is>
          <t>Saturday</t>
        </is>
      </c>
      <c r="AF2" s="9" t="n"/>
      <c r="AG2" s="2" t="inlineStr">
        <is>
          <t>Total</t>
        </is>
      </c>
    </row>
    <row r="3" hidden="1" ht="15.75" customHeight="1">
      <c r="A3" s="1" t="n"/>
      <c r="B3" s="6" t="inlineStr">
        <is>
          <t>1st</t>
        </is>
      </c>
      <c r="C3" s="6" t="inlineStr">
        <is>
          <t>2nd</t>
        </is>
      </c>
      <c r="D3" s="6" t="inlineStr">
        <is>
          <t>3rd</t>
        </is>
      </c>
      <c r="E3" s="3" t="inlineStr">
        <is>
          <t>4th</t>
        </is>
      </c>
      <c r="F3" s="3" t="inlineStr">
        <is>
          <t>5th</t>
        </is>
      </c>
      <c r="G3" s="3" t="inlineStr">
        <is>
          <t>6th</t>
        </is>
      </c>
      <c r="H3" s="3" t="inlineStr">
        <is>
          <t>7th</t>
        </is>
      </c>
      <c r="I3" s="3" t="inlineStr">
        <is>
          <t>8th</t>
        </is>
      </c>
      <c r="J3" s="3" t="inlineStr">
        <is>
          <t>9th</t>
        </is>
      </c>
      <c r="K3" s="3" t="inlineStr">
        <is>
          <t>10th</t>
        </is>
      </c>
      <c r="L3" s="4" t="inlineStr">
        <is>
          <t>11th</t>
        </is>
      </c>
      <c r="M3" s="4" t="inlineStr">
        <is>
          <t>12th</t>
        </is>
      </c>
      <c r="N3" s="4" t="inlineStr">
        <is>
          <t>13th</t>
        </is>
      </c>
      <c r="O3" s="4" t="inlineStr">
        <is>
          <t>14th</t>
        </is>
      </c>
      <c r="P3" s="4" t="inlineStr">
        <is>
          <t>15th</t>
        </is>
      </c>
      <c r="Q3" s="4" t="inlineStr">
        <is>
          <t>16th</t>
        </is>
      </c>
      <c r="R3" s="4" t="inlineStr">
        <is>
          <t>17th</t>
        </is>
      </c>
      <c r="S3" s="5" t="inlineStr">
        <is>
          <t>18th</t>
        </is>
      </c>
      <c r="T3" s="5" t="inlineStr">
        <is>
          <t>19th</t>
        </is>
      </c>
      <c r="U3" s="5" t="inlineStr">
        <is>
          <t>20th</t>
        </is>
      </c>
      <c r="V3" s="5" t="inlineStr">
        <is>
          <t>21st</t>
        </is>
      </c>
      <c r="W3" s="5" t="inlineStr">
        <is>
          <t>22nd</t>
        </is>
      </c>
      <c r="X3" s="5" t="inlineStr">
        <is>
          <t>23rd</t>
        </is>
      </c>
      <c r="Y3" s="5" t="inlineStr">
        <is>
          <t>24th</t>
        </is>
      </c>
      <c r="Z3" s="6" t="inlineStr">
        <is>
          <t>25th</t>
        </is>
      </c>
      <c r="AA3" s="6" t="inlineStr">
        <is>
          <t>26th</t>
        </is>
      </c>
      <c r="AB3" s="6" t="inlineStr">
        <is>
          <t>27th</t>
        </is>
      </c>
      <c r="AC3" s="6" t="inlineStr">
        <is>
          <t>28th</t>
        </is>
      </c>
      <c r="AD3" s="6" t="inlineStr">
        <is>
          <t>29th</t>
        </is>
      </c>
      <c r="AE3" s="6" t="inlineStr">
        <is>
          <t>30th</t>
        </is>
      </c>
      <c r="AF3" s="9" t="n"/>
      <c r="AG3" s="1" t="n"/>
    </row>
    <row r="4" hidden="1" ht="15.75" customHeight="1">
      <c r="A4" s="8" t="inlineStr">
        <is>
          <t>B-HAM CITY COUNCIL-200790-70489166</t>
        </is>
      </c>
      <c r="B4" s="12" t="n"/>
      <c r="C4" s="12" t="n"/>
      <c r="D4" s="12" t="n"/>
      <c r="E4" s="12" t="n">
        <v>62841.32</v>
      </c>
      <c r="F4" s="12" t="n"/>
      <c r="G4" s="12" t="n"/>
      <c r="H4" s="12" t="n"/>
      <c r="I4" s="12" t="n"/>
      <c r="J4" s="12" t="n"/>
      <c r="K4" s="12" t="n"/>
      <c r="L4" s="12" t="n"/>
      <c r="M4" s="12" t="n"/>
      <c r="N4" s="12" t="n"/>
      <c r="O4" s="12" t="n"/>
      <c r="P4" s="12" t="n"/>
      <c r="Q4" s="12" t="n"/>
      <c r="R4" s="12" t="n"/>
      <c r="S4" s="12" t="n"/>
      <c r="T4" s="12" t="n"/>
      <c r="U4" s="12" t="n">
        <v>5075.22</v>
      </c>
      <c r="V4" s="12" t="n"/>
      <c r="W4" s="12" t="n"/>
      <c r="X4" s="12" t="n"/>
      <c r="Y4" s="12" t="n"/>
      <c r="Z4" s="12" t="n"/>
      <c r="AA4" s="12" t="n"/>
      <c r="AB4" s="12" t="n"/>
      <c r="AC4" s="12" t="n"/>
      <c r="AD4" s="12" t="n"/>
      <c r="AE4" s="12" t="n"/>
      <c r="AF4" s="12" t="n"/>
      <c r="AG4" s="12" t="n"/>
      <c r="AH4" s="13">
        <f>SUM(B4:AG4)</f>
        <v/>
      </c>
      <c r="AI4" s="99" t="n"/>
      <c r="AK4" t="inlineStr">
        <is>
          <t xml:space="preserve">Wolverhampton </t>
        </is>
      </c>
      <c r="AL4" s="99">
        <f>AI21+AI8+AI9</f>
        <v/>
      </c>
    </row>
    <row r="5" hidden="1" ht="15.75" customHeight="1">
      <c r="A5" s="8" t="inlineStr">
        <is>
          <t>Buckingham</t>
        </is>
      </c>
      <c r="B5" s="12" t="n"/>
      <c r="C5" s="9" t="n"/>
      <c r="D5" s="9" t="n"/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12" t="n"/>
      <c r="O5" s="9" t="n"/>
      <c r="P5" s="9" t="n"/>
      <c r="Q5" s="9" t="n"/>
      <c r="R5" s="9" t="n"/>
      <c r="S5" s="9" t="n"/>
      <c r="T5" s="9" t="n"/>
      <c r="U5" s="12" t="n"/>
      <c r="V5" s="9" t="n"/>
      <c r="W5" s="12" t="n">
        <v>5134.44</v>
      </c>
      <c r="X5" s="12" t="n"/>
      <c r="Y5" s="9" t="n"/>
      <c r="Z5" s="12" t="n"/>
      <c r="AA5" s="12" t="n"/>
      <c r="AB5" s="9" t="n"/>
      <c r="AC5" s="12" t="n"/>
      <c r="AD5" s="9" t="n"/>
      <c r="AE5" s="12" t="n"/>
      <c r="AF5" s="12" t="n"/>
      <c r="AG5" s="12" t="n"/>
      <c r="AH5" s="13">
        <f>SUM(B5:AG5)</f>
        <v/>
      </c>
      <c r="AI5" s="99" t="n"/>
      <c r="AK5" t="inlineStr">
        <is>
          <t>Sandwell</t>
        </is>
      </c>
      <c r="AL5" s="99">
        <f>AI18+AI17+AI6+AI7</f>
        <v/>
      </c>
    </row>
    <row r="6" hidden="1" ht="15.75" customHeight="1">
      <c r="A6" s="8" t="inlineStr">
        <is>
          <t>Sandwell Respite</t>
        </is>
      </c>
      <c r="B6" s="12" t="n"/>
      <c r="C6" s="9" t="n"/>
      <c r="D6" s="9" t="n"/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12" t="n"/>
      <c r="AA6" s="9" t="n"/>
      <c r="AB6" s="9" t="n"/>
      <c r="AC6" s="9" t="n"/>
      <c r="AD6" s="12" t="n"/>
      <c r="AE6" s="12" t="n"/>
      <c r="AF6" s="12" t="n"/>
      <c r="AG6" s="9" t="n">
        <v>7000</v>
      </c>
      <c r="AH6" s="13">
        <f>SUM(B6:AG6)</f>
        <v/>
      </c>
      <c r="AI6" s="99" t="n"/>
      <c r="AK6" t="inlineStr">
        <is>
          <t>Walsall</t>
        </is>
      </c>
      <c r="AL6" s="99">
        <f>AI20+AI11+AI10</f>
        <v/>
      </c>
    </row>
    <row r="7" hidden="1" ht="15.75" customHeight="1">
      <c r="A7" s="8" t="inlineStr">
        <is>
          <t>Sandwell Daycare</t>
        </is>
      </c>
      <c r="B7" s="12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12" t="n"/>
      <c r="W7" s="9" t="n"/>
      <c r="X7" s="9" t="n"/>
      <c r="Y7" s="9" t="n"/>
      <c r="Z7" s="12" t="n"/>
      <c r="AA7" s="9" t="n"/>
      <c r="AB7" s="9" t="n"/>
      <c r="AC7" s="9" t="n"/>
      <c r="AD7" s="12" t="n"/>
      <c r="AE7" s="12" t="n"/>
      <c r="AF7" s="12" t="n"/>
      <c r="AG7" s="9" t="n">
        <v>10645.32</v>
      </c>
      <c r="AH7" s="13">
        <f>SUM(B7:AG7)</f>
        <v/>
      </c>
      <c r="AI7" s="99" t="n"/>
      <c r="AK7" t="inlineStr">
        <is>
          <t>Birmingham</t>
        </is>
      </c>
      <c r="AL7" s="99">
        <f>AI4</f>
        <v/>
      </c>
    </row>
    <row r="8" hidden="1" ht="15.75" customHeight="1">
      <c r="A8" s="8" t="inlineStr">
        <is>
          <t xml:space="preserve">Wolverhampton Respite </t>
        </is>
      </c>
      <c r="B8" s="12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12" t="n"/>
      <c r="O8" s="12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12" t="n"/>
      <c r="AE8" s="12" t="n"/>
      <c r="AF8" s="12" t="n"/>
      <c r="AG8" s="9" t="n">
        <v>11000</v>
      </c>
      <c r="AH8" s="13">
        <f>SUM(B8:AG8)</f>
        <v/>
      </c>
      <c r="AI8" s="99" t="n"/>
      <c r="AK8" t="inlineStr">
        <is>
          <t>Other Authorities</t>
        </is>
      </c>
      <c r="AL8" s="99">
        <f>AI5+AI13+AI14+AI15+AI16+AI19+AI22+AI23+AI24</f>
        <v/>
      </c>
    </row>
    <row r="9" hidden="1" ht="15.75" customHeight="1">
      <c r="A9" s="8" t="inlineStr">
        <is>
          <t>Wolverhampton Daycare</t>
        </is>
      </c>
      <c r="B9" s="12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12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12" t="n"/>
      <c r="AE9" s="12" t="n"/>
      <c r="AF9" s="9" t="n"/>
      <c r="AG9" s="9" t="n">
        <v>31240</v>
      </c>
      <c r="AH9" s="13">
        <f>SUM(B9:AG9)</f>
        <v/>
      </c>
      <c r="AI9" s="99" t="n"/>
      <c r="AK9" t="inlineStr">
        <is>
          <t>Housing benefit and Service charge</t>
        </is>
      </c>
      <c r="AL9" s="99">
        <f>AI25</f>
        <v/>
      </c>
    </row>
    <row r="10" hidden="1" ht="15.75" customHeight="1">
      <c r="A10" s="8" t="inlineStr">
        <is>
          <t>Walsall Respite</t>
        </is>
      </c>
      <c r="B10" s="12" t="n"/>
      <c r="C10" s="9" t="n"/>
      <c r="D10" s="9" t="n"/>
      <c r="E10" s="12" t="n"/>
      <c r="F10" s="12" t="n"/>
      <c r="G10" s="9" t="n"/>
      <c r="H10" s="9" t="n"/>
      <c r="I10" s="9" t="n"/>
      <c r="J10" s="9" t="n"/>
      <c r="K10" s="9" t="n"/>
      <c r="L10" s="9" t="n"/>
      <c r="M10" s="9" t="n"/>
      <c r="N10" s="12" t="n"/>
      <c r="O10" s="9" t="n"/>
      <c r="P10" s="9" t="n"/>
      <c r="Q10" s="9" t="n"/>
      <c r="R10" s="9" t="n"/>
      <c r="S10" s="9" t="n"/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12" t="n"/>
      <c r="AE10" s="12" t="n"/>
      <c r="AF10" s="12" t="n"/>
      <c r="AG10" s="9" t="n">
        <v>15130.4</v>
      </c>
      <c r="AH10" s="13">
        <f>SUM(B10:AG10)</f>
        <v/>
      </c>
      <c r="AI10" s="99" t="n"/>
      <c r="AL10" s="99" t="n"/>
    </row>
    <row r="11" hidden="1" ht="15.75" customHeight="1">
      <c r="A11" s="8" t="inlineStr">
        <is>
          <t>Walsall Daycare</t>
        </is>
      </c>
      <c r="B11" s="12" t="n">
        <v>3040</v>
      </c>
      <c r="C11" s="9" t="n"/>
      <c r="D11" s="9" t="n"/>
      <c r="E11" s="12" t="n"/>
      <c r="F11" s="12" t="n"/>
      <c r="G11" s="9" t="n"/>
      <c r="H11" s="9" t="n"/>
      <c r="I11" s="9" t="n"/>
      <c r="J11" s="9" t="n"/>
      <c r="K11" s="9" t="n"/>
      <c r="L11" s="9" t="n"/>
      <c r="M11" s="9" t="n"/>
      <c r="N11" s="12" t="n"/>
      <c r="O11" s="9" t="n"/>
      <c r="P11" s="9" t="n"/>
      <c r="Q11" s="9" t="n"/>
      <c r="R11" s="9" t="n"/>
      <c r="S11" s="9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12" t="n"/>
      <c r="AE11" s="12" t="n"/>
      <c r="AF11" s="12" t="n"/>
      <c r="AG11" s="9" t="n"/>
      <c r="AH11" s="13">
        <f>SUM(B11:AG11)</f>
        <v/>
      </c>
      <c r="AI11" s="99" t="n"/>
    </row>
    <row r="12" hidden="1" ht="18.75" customHeight="1">
      <c r="A12" s="8" t="inlineStr">
        <is>
          <t>Ideal for All Ltd</t>
        </is>
      </c>
      <c r="B12" s="12" t="n"/>
      <c r="C12" s="12" t="n"/>
      <c r="D12" s="12" t="n"/>
      <c r="E12" s="12" t="n"/>
      <c r="F12" s="9" t="n"/>
      <c r="G12" s="12" t="n"/>
      <c r="H12" s="12" t="n"/>
      <c r="I12" s="12" t="n"/>
      <c r="J12" s="11" t="n"/>
      <c r="K12" s="11" t="n"/>
      <c r="L12" s="9" t="n"/>
      <c r="M12" s="9" t="n"/>
      <c r="N12" s="12" t="n"/>
      <c r="O12" s="9" t="n"/>
      <c r="P12" s="9" t="n"/>
      <c r="Q12" s="9" t="n"/>
      <c r="R12" s="9" t="n"/>
      <c r="S12" s="9" t="n"/>
      <c r="T12" s="9" t="n"/>
      <c r="U12" s="9" t="n"/>
      <c r="V12" s="9" t="n"/>
      <c r="W12" s="12" t="n"/>
      <c r="X12" s="9" t="n"/>
      <c r="Y12" s="9" t="n"/>
      <c r="Z12" s="12" t="n"/>
      <c r="AA12" s="12" t="n"/>
      <c r="AB12" s="9" t="n"/>
      <c r="AC12" s="12" t="n"/>
      <c r="AD12" s="9" t="n"/>
      <c r="AE12" s="12" t="n"/>
      <c r="AF12" s="12" t="n"/>
      <c r="AG12" s="12" t="n"/>
      <c r="AH12" s="13">
        <f>SUM(B12:AG12)</f>
        <v/>
      </c>
      <c r="AI12" s="99" t="n"/>
    </row>
    <row r="13" hidden="1" ht="15.75" customHeight="1">
      <c r="A13" s="8" t="inlineStr">
        <is>
          <t>KIRKLEES COUNCIL-204312-63046958</t>
        </is>
      </c>
      <c r="B13" s="12" t="n"/>
      <c r="C13" s="12" t="n"/>
      <c r="D13" s="9" t="n"/>
      <c r="E13" s="9" t="n"/>
      <c r="F13" s="9" t="n"/>
      <c r="G13" s="9" t="n"/>
      <c r="H13" s="9" t="n"/>
      <c r="I13" s="9" t="n"/>
      <c r="J13" s="12" t="n"/>
      <c r="K13" s="12" t="n"/>
      <c r="L13" s="12" t="n"/>
      <c r="M13" s="12" t="n"/>
      <c r="N13" s="12" t="n"/>
      <c r="O13" s="9" t="n"/>
      <c r="P13" s="12" t="n"/>
      <c r="Q13" s="9" t="n"/>
      <c r="R13" s="12" t="n"/>
      <c r="S13" s="12" t="n">
        <v>5888.14</v>
      </c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12" t="n"/>
      <c r="AE13" s="12" t="n"/>
      <c r="AF13" s="12" t="n"/>
      <c r="AG13" s="12" t="n"/>
      <c r="AH13" s="13">
        <f>SUM(B13:AG13)</f>
        <v/>
      </c>
      <c r="AI13" s="99" t="n"/>
    </row>
    <row r="14" hidden="1" ht="15.75" customHeight="1">
      <c r="A14" s="8" t="inlineStr">
        <is>
          <t>LBH PAYMENTS BACS-602210-72430192</t>
        </is>
      </c>
      <c r="B14" s="12" t="n">
        <v>5203.8</v>
      </c>
      <c r="C14" s="9" t="n"/>
      <c r="D14" s="12" t="n"/>
      <c r="E14" s="12" t="n"/>
      <c r="F14" s="12" t="n">
        <v>5203.8</v>
      </c>
      <c r="G14" s="12" t="n"/>
      <c r="H14" s="9" t="n"/>
      <c r="I14" s="9" t="n"/>
      <c r="J14" s="9" t="n"/>
      <c r="K14" s="9" t="n"/>
      <c r="L14" s="12" t="n"/>
      <c r="M14" s="12" t="n"/>
      <c r="N14" s="12" t="n"/>
      <c r="O14" s="9" t="n"/>
      <c r="P14" s="12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12" t="n"/>
      <c r="AF14" s="12" t="n"/>
      <c r="AG14" s="12" t="n"/>
      <c r="AH14" s="13">
        <f>SUM(B14:AG14)</f>
        <v/>
      </c>
      <c r="AI14" s="99" t="n"/>
    </row>
    <row r="15" hidden="1" ht="15.75" customHeight="1">
      <c r="A15" s="8" t="inlineStr">
        <is>
          <t>NHS BIRMINGHAM &amp; S-607080-10017097</t>
        </is>
      </c>
      <c r="B15" s="12" t="n"/>
      <c r="C15" s="12" t="n"/>
      <c r="D15" s="12" t="n"/>
      <c r="E15" s="9" t="n"/>
      <c r="F15" s="12" t="n"/>
      <c r="G15" s="9" t="n"/>
      <c r="H15" s="9" t="n"/>
      <c r="I15" s="9" t="n"/>
      <c r="J15" s="9" t="n"/>
      <c r="K15" s="9" t="n"/>
      <c r="L15" s="12" t="n"/>
      <c r="M15" s="12" t="n"/>
      <c r="N15" s="12" t="n"/>
      <c r="O15" s="12" t="n"/>
      <c r="P15" s="12" t="n"/>
      <c r="Q15" s="9" t="n"/>
      <c r="R15" s="9" t="n"/>
      <c r="S15" s="9" t="n"/>
      <c r="T15" s="12" t="n"/>
      <c r="U15" s="12" t="n"/>
      <c r="V15" s="9" t="n"/>
      <c r="W15" s="9" t="n"/>
      <c r="X15" s="9" t="n"/>
      <c r="Y15" s="12" t="n"/>
      <c r="Z15" s="9" t="n">
        <v>742.08</v>
      </c>
      <c r="AA15" s="9" t="n"/>
      <c r="AB15" s="9" t="n"/>
      <c r="AC15" s="9" t="n"/>
      <c r="AD15" s="9" t="n"/>
      <c r="AE15" s="12" t="n"/>
      <c r="AF15" s="12" t="n"/>
      <c r="AG15" s="12" t="n"/>
      <c r="AH15" s="13">
        <f>SUM(B15:AG15)</f>
        <v/>
      </c>
      <c r="AI15" s="99" t="n"/>
    </row>
    <row r="16" hidden="1" ht="15.75" customHeight="1">
      <c r="A16" s="8" t="inlineStr">
        <is>
          <t>NHS BLACK COUNTRY-607080-10015272</t>
        </is>
      </c>
      <c r="B16" s="12" t="n"/>
      <c r="C16" s="12" t="n"/>
      <c r="D16" s="12" t="n"/>
      <c r="E16" s="12" t="n"/>
      <c r="F16" s="12" t="n">
        <v>2261.76</v>
      </c>
      <c r="G16" s="12" t="n"/>
      <c r="H16" s="9" t="n"/>
      <c r="I16" s="12" t="n"/>
      <c r="J16" s="12" t="n"/>
      <c r="K16" s="12" t="n"/>
      <c r="L16" s="12" t="n"/>
      <c r="M16" s="12" t="n"/>
      <c r="N16" s="12" t="n"/>
      <c r="O16" s="12" t="n"/>
      <c r="P16" s="12" t="n"/>
      <c r="Q16" s="9" t="n"/>
      <c r="R16" s="12" t="n"/>
      <c r="S16" s="12" t="n"/>
      <c r="T16" s="12" t="n">
        <v>1100</v>
      </c>
      <c r="U16" s="12" t="n"/>
      <c r="V16" s="9" t="n"/>
      <c r="W16" s="9" t="n"/>
      <c r="X16" s="9" t="n"/>
      <c r="Y16" s="9" t="n"/>
      <c r="Z16" s="9" t="n">
        <v>4850.08</v>
      </c>
      <c r="AA16" s="9" t="n"/>
      <c r="AB16" s="12" t="n">
        <v>4802.22</v>
      </c>
      <c r="AC16" s="12" t="n"/>
      <c r="AD16" s="12" t="n"/>
      <c r="AE16" s="12" t="n"/>
      <c r="AF16" s="12" t="n"/>
      <c r="AG16" s="12" t="n"/>
      <c r="AH16" s="13">
        <f>SUM(B16:AG16)</f>
        <v/>
      </c>
      <c r="AI16" s="99" t="n"/>
    </row>
    <row r="17" hidden="1" ht="15.75" customHeight="1">
      <c r="A17" s="14" t="inlineStr">
        <is>
          <t>SANDWELL MBC  BEN-601539-69624151</t>
        </is>
      </c>
      <c r="B17" s="12" t="n"/>
      <c r="C17" s="9" t="n"/>
      <c r="D17" s="12" t="n"/>
      <c r="E17" s="9" t="n"/>
      <c r="F17" s="9" t="n"/>
      <c r="G17" s="12" t="n"/>
      <c r="H17" s="12" t="n"/>
      <c r="I17" s="9" t="n"/>
      <c r="J17" s="9" t="n"/>
      <c r="K17" s="9" t="n"/>
      <c r="L17" s="9" t="n"/>
      <c r="M17" s="12" t="n">
        <v>2660</v>
      </c>
      <c r="N17" s="12" t="n"/>
      <c r="O17" s="12" t="n"/>
      <c r="P17" s="9" t="n"/>
      <c r="Q17" s="9" t="n"/>
      <c r="R17" s="9" t="n"/>
      <c r="S17" s="12" t="n"/>
      <c r="T17" s="9" t="n"/>
      <c r="U17" s="9" t="n"/>
      <c r="V17" s="9" t="n"/>
      <c r="W17" s="12" t="n"/>
      <c r="X17" s="9" t="n"/>
      <c r="Y17" s="9" t="n"/>
      <c r="Z17" s="9" t="n"/>
      <c r="AA17" s="12" t="n"/>
      <c r="AB17" s="12" t="n"/>
      <c r="AC17" s="12" t="n"/>
      <c r="AD17" s="12" t="n"/>
      <c r="AE17" s="12" t="n"/>
      <c r="AF17" s="12" t="n"/>
      <c r="AG17" s="12" t="n"/>
      <c r="AH17" s="13">
        <f>SUM(B17:AG17)</f>
        <v/>
      </c>
      <c r="AI17" s="99" t="n"/>
    </row>
    <row r="18" hidden="1" ht="15.75" customHeight="1">
      <c r="A18" s="14" t="inlineStr">
        <is>
          <t>SANDWELL MBC-601539-69624135</t>
        </is>
      </c>
      <c r="B18" s="9" t="n"/>
      <c r="C18" s="9" t="n"/>
      <c r="D18" s="9" t="n"/>
      <c r="E18" s="9" t="n"/>
      <c r="F18" s="12" t="n"/>
      <c r="G18" s="9" t="n"/>
      <c r="H18" s="9" t="n"/>
      <c r="I18" s="9" t="n"/>
      <c r="J18" s="9" t="n"/>
      <c r="K18" s="9" t="n"/>
      <c r="L18" s="12" t="n">
        <v>110546.24</v>
      </c>
      <c r="M18" s="9" t="n"/>
      <c r="N18" s="9" t="n"/>
      <c r="O18" s="12" t="n"/>
      <c r="P18" s="12" t="n"/>
      <c r="Q18" s="12" t="n"/>
      <c r="R18" s="12" t="n"/>
      <c r="S18" s="12" t="n"/>
      <c r="T18" s="9" t="n"/>
      <c r="U18" s="9" t="n"/>
      <c r="V18" s="9" t="n"/>
      <c r="W18" s="12" t="n"/>
      <c r="X18" s="9" t="n"/>
      <c r="Y18" s="74" t="n"/>
      <c r="Z18" s="12" t="n">
        <v>110546.24</v>
      </c>
      <c r="AA18" s="9" t="n"/>
      <c r="AB18" s="12" t="n"/>
      <c r="AC18" s="12" t="n"/>
      <c r="AD18" s="12" t="n"/>
      <c r="AE18" s="12" t="n"/>
      <c r="AF18" s="12" t="n"/>
      <c r="AG18" s="12" t="n"/>
      <c r="AH18" s="13">
        <f>SUM(B18:AG18)</f>
        <v/>
      </c>
      <c r="AI18" s="99" t="n"/>
    </row>
    <row r="19" hidden="1" ht="15.75" customHeight="1">
      <c r="A19" s="15" t="inlineStr">
        <is>
          <t>SOLIHULL MBC EXP.-200771-00561525</t>
        </is>
      </c>
      <c r="B19" s="12" t="n"/>
      <c r="C19" s="12" t="n"/>
      <c r="D19" s="12" t="n"/>
      <c r="E19" s="12" t="n"/>
      <c r="F19" s="12" t="n">
        <v>32010.44</v>
      </c>
      <c r="G19" s="12" t="n"/>
      <c r="H19" s="12" t="n"/>
      <c r="I19" s="12" t="n"/>
      <c r="J19" s="12" t="n"/>
      <c r="K19" s="12" t="n"/>
      <c r="L19" s="12" t="n"/>
      <c r="M19" s="12" t="n"/>
      <c r="N19" s="12" t="n"/>
      <c r="O19" s="12" t="n"/>
      <c r="P19" s="12" t="n"/>
      <c r="Q19" s="12" t="n"/>
      <c r="R19" s="12" t="n"/>
      <c r="S19" s="12" t="n"/>
      <c r="T19" s="12" t="n"/>
      <c r="U19" s="12" t="n"/>
      <c r="V19" s="12" t="n"/>
      <c r="W19" s="12" t="n"/>
      <c r="X19" s="12" t="n"/>
      <c r="Y19" s="12" t="n"/>
      <c r="Z19" s="12" t="n"/>
      <c r="AA19" s="12" t="n"/>
      <c r="AB19" s="12" t="n"/>
      <c r="AC19" s="12" t="n"/>
      <c r="AD19" s="12" t="n"/>
      <c r="AE19" s="12" t="n"/>
      <c r="AF19" s="12" t="n"/>
      <c r="AG19" s="12" t="n"/>
      <c r="AH19" s="13">
        <f>SUM(B19:AG19)</f>
        <v/>
      </c>
      <c r="AI19" s="99" t="n"/>
    </row>
    <row r="20" hidden="1" ht="15.75" customHeight="1">
      <c r="A20" s="15" t="inlineStr">
        <is>
          <t>WALSALL MBC BARC-209073-10731692</t>
        </is>
      </c>
      <c r="B20" s="9" t="n"/>
      <c r="C20" s="12" t="n"/>
      <c r="D20" s="12" t="n"/>
      <c r="E20" s="12" t="n"/>
      <c r="F20" s="12" t="n"/>
      <c r="G20" s="12" t="n"/>
      <c r="H20" s="12" t="n"/>
      <c r="I20" s="12" t="n"/>
      <c r="J20" s="12" t="n"/>
      <c r="K20" s="12" t="n"/>
      <c r="L20" s="12" t="n"/>
      <c r="M20" s="12" t="n"/>
      <c r="N20" s="12" t="n"/>
      <c r="O20" s="12" t="n"/>
      <c r="P20" s="12" t="n"/>
      <c r="Q20" s="12" t="n"/>
      <c r="R20" s="12" t="n"/>
      <c r="S20" s="12" t="n"/>
      <c r="T20" s="12" t="n"/>
      <c r="U20" s="12" t="n"/>
      <c r="V20" s="12" t="n">
        <v>207187.37</v>
      </c>
      <c r="W20" s="9" t="n"/>
      <c r="X20" s="12" t="n"/>
      <c r="Y20" s="12" t="n"/>
      <c r="Z20" s="12" t="n"/>
      <c r="AA20" s="12" t="n"/>
      <c r="AB20" s="12" t="n"/>
      <c r="AC20" s="12" t="n"/>
      <c r="AD20" s="12" t="n"/>
      <c r="AE20" s="12" t="n"/>
      <c r="AF20" s="12" t="n"/>
      <c r="AG20" s="12" t="n"/>
      <c r="AH20" s="13">
        <f>SUM(B20:AG20)</f>
        <v/>
      </c>
      <c r="AI20" s="99" t="n"/>
    </row>
    <row r="21" hidden="1" ht="15.75" customHeight="1">
      <c r="A21" s="15" t="inlineStr">
        <is>
          <t>WOLVERHAMPTON CC-560069-44470320</t>
        </is>
      </c>
      <c r="B21" s="12" t="n"/>
      <c r="C21" s="12" t="n"/>
      <c r="D21" s="9" t="n"/>
      <c r="E21" s="12" t="n"/>
      <c r="F21" s="12" t="n"/>
      <c r="G21" s="12" t="n"/>
      <c r="H21" s="9" t="n">
        <v>115569.52</v>
      </c>
      <c r="I21" s="12" t="n"/>
      <c r="J21" s="12" t="n"/>
      <c r="K21" s="9" t="n"/>
      <c r="L21" s="12" t="n"/>
      <c r="M21" s="12" t="n"/>
      <c r="N21" s="12" t="n"/>
      <c r="O21" s="12" t="n">
        <v>113095.04</v>
      </c>
      <c r="P21" s="12" t="n"/>
      <c r="Q21" s="12" t="n"/>
      <c r="R21" s="9" t="n"/>
      <c r="S21" s="12" t="n"/>
      <c r="T21" s="12" t="n"/>
      <c r="U21" s="12" t="n"/>
      <c r="V21" s="12" t="n">
        <v>113095.04</v>
      </c>
      <c r="W21" s="12" t="n"/>
      <c r="X21" s="12" t="n"/>
      <c r="Y21" s="10" t="n"/>
      <c r="Z21" s="12" t="n"/>
      <c r="AA21" s="12" t="n"/>
      <c r="AB21" s="12" t="n"/>
      <c r="AC21" s="12" t="n">
        <v>113095.54</v>
      </c>
      <c r="AD21" s="12" t="n"/>
      <c r="AE21" s="12" t="n"/>
      <c r="AF21" s="9" t="n"/>
      <c r="AG21" s="9" t="n"/>
      <c r="AH21" s="13">
        <f>SUM(B21:AG21)</f>
        <v/>
      </c>
      <c r="AI21" s="99" t="n"/>
    </row>
    <row r="22" hidden="1" ht="15.75" customHeight="1">
      <c r="A22" s="15" t="inlineStr">
        <is>
          <t>Portsmouth</t>
        </is>
      </c>
      <c r="B22" s="12" t="n"/>
      <c r="C22" s="12" t="n"/>
      <c r="D22" s="12" t="n"/>
      <c r="E22" s="12" t="n">
        <v>5247.86</v>
      </c>
      <c r="F22" s="12" t="n"/>
      <c r="G22" s="12" t="n"/>
      <c r="H22" s="12" t="n"/>
      <c r="I22" s="12" t="n"/>
      <c r="J22" s="12" t="n"/>
      <c r="K22" s="12" t="n"/>
      <c r="L22" s="12" t="n"/>
      <c r="M22" s="12" t="n"/>
      <c r="N22" s="12" t="n"/>
      <c r="O22" s="12" t="n"/>
      <c r="P22" s="12" t="n"/>
      <c r="Q22" s="12" t="n"/>
      <c r="R22" s="12" t="n"/>
      <c r="S22" s="12" t="n"/>
      <c r="T22" s="12" t="n"/>
      <c r="U22" s="12" t="n"/>
      <c r="V22" s="12" t="n"/>
      <c r="W22" s="12" t="n"/>
      <c r="X22" s="12" t="n"/>
      <c r="Y22" s="12" t="n"/>
      <c r="Z22" s="12" t="n"/>
      <c r="AA22" s="12" t="n"/>
      <c r="AB22" s="12" t="n"/>
      <c r="AC22" s="12" t="n"/>
      <c r="AD22" s="9" t="n"/>
      <c r="AE22" s="12" t="n"/>
      <c r="AF22" s="12" t="n"/>
      <c r="AG22" s="12" t="n"/>
      <c r="AH22" s="13">
        <f>SUM(B22:AG22)</f>
        <v/>
      </c>
      <c r="AI22" s="99" t="n"/>
    </row>
    <row r="23" hidden="1" ht="15.75" customHeight="1">
      <c r="A23" s="15" t="inlineStr">
        <is>
          <t>People Plus</t>
        </is>
      </c>
      <c r="B23" s="9" t="n"/>
      <c r="C23" s="12" t="n"/>
      <c r="D23" s="12" t="n"/>
      <c r="E23" s="12" t="n"/>
      <c r="F23" s="12" t="n"/>
      <c r="G23" s="12" t="n"/>
      <c r="H23" s="12" t="n"/>
      <c r="I23" s="12" t="n"/>
      <c r="J23" s="12" t="n"/>
      <c r="K23" s="12" t="n"/>
      <c r="L23" s="12" t="n"/>
      <c r="M23" s="12" t="n"/>
      <c r="N23" s="12" t="n"/>
      <c r="O23" s="12" t="n"/>
      <c r="P23" s="12" t="n"/>
      <c r="Q23" s="12" t="n"/>
      <c r="R23" s="12" t="n"/>
      <c r="S23" s="12" t="n"/>
      <c r="T23" s="12" t="n"/>
      <c r="U23" s="12" t="n"/>
      <c r="V23" s="12" t="n"/>
      <c r="W23" s="12" t="n"/>
      <c r="X23" s="12" t="n"/>
      <c r="Y23" s="12" t="n"/>
      <c r="Z23" s="12" t="n"/>
      <c r="AA23" s="12" t="n"/>
      <c r="AB23" s="12" t="n"/>
      <c r="AC23" s="12" t="n"/>
      <c r="AD23" s="9" t="n"/>
      <c r="AE23" s="12" t="n"/>
      <c r="AF23" s="12" t="n"/>
      <c r="AG23" s="12" t="n">
        <v>5681.8</v>
      </c>
      <c r="AH23" s="13">
        <f>SUM(B23:AG23)</f>
        <v/>
      </c>
      <c r="AI23" s="99" t="n"/>
    </row>
    <row r="24" hidden="1" ht="15.75" customHeight="1">
      <c r="A24" s="15" t="inlineStr">
        <is>
          <t>CHASING</t>
        </is>
      </c>
      <c r="B24" s="12" t="n">
        <v>2439.36</v>
      </c>
      <c r="C24" s="12" t="n"/>
      <c r="D24" s="12" t="n"/>
      <c r="E24" s="12" t="n"/>
      <c r="F24" s="12" t="n"/>
      <c r="G24" s="12" t="n"/>
      <c r="H24" s="12" t="n"/>
      <c r="I24" s="12" t="n"/>
      <c r="J24" s="12" t="n"/>
      <c r="K24" s="12" t="n"/>
      <c r="L24" s="12" t="n"/>
      <c r="M24" s="12" t="n"/>
      <c r="N24" s="12" t="n"/>
      <c r="O24" s="12" t="n"/>
      <c r="P24" s="12" t="n"/>
      <c r="Q24" s="12" t="n"/>
      <c r="R24" s="12" t="n"/>
      <c r="S24" s="74" t="n"/>
      <c r="T24" s="12" t="n"/>
      <c r="U24" s="12" t="n"/>
      <c r="V24" s="12" t="n"/>
      <c r="W24" s="12" t="n"/>
      <c r="X24" s="12" t="n"/>
      <c r="Y24" s="12" t="n"/>
      <c r="Z24" s="12" t="n"/>
      <c r="AA24" s="12" t="n"/>
      <c r="AB24" s="12" t="n"/>
      <c r="AC24" s="12" t="n"/>
      <c r="AD24" s="9" t="n"/>
      <c r="AE24" s="12" t="n"/>
      <c r="AF24" s="12" t="n"/>
      <c r="AG24" s="74" t="n"/>
      <c r="AH24" s="13">
        <f>SUM(B24:AG24)</f>
        <v/>
      </c>
      <c r="AI24" s="99" t="n"/>
    </row>
    <row r="25" hidden="1" ht="15.75" customHeight="1">
      <c r="A25" s="15" t="inlineStr">
        <is>
          <t>HB SC</t>
        </is>
      </c>
      <c r="B25" s="10" t="n">
        <v>3300</v>
      </c>
      <c r="C25" s="10" t="n">
        <v>3300</v>
      </c>
      <c r="D25" s="10" t="n">
        <v>3300</v>
      </c>
      <c r="E25" s="10" t="n">
        <v>3300</v>
      </c>
      <c r="F25" s="10" t="n">
        <v>3300</v>
      </c>
      <c r="G25" s="10" t="n">
        <v>3300</v>
      </c>
      <c r="H25" s="10" t="n">
        <v>3300</v>
      </c>
      <c r="I25" s="10" t="n">
        <v>3300</v>
      </c>
      <c r="J25" s="10" t="n">
        <v>3300</v>
      </c>
      <c r="K25" s="10" t="n">
        <v>3300</v>
      </c>
      <c r="L25" s="10" t="n">
        <v>3300</v>
      </c>
      <c r="M25" s="10" t="n">
        <v>3300</v>
      </c>
      <c r="N25" s="10" t="n">
        <v>3300</v>
      </c>
      <c r="O25" s="10" t="n">
        <v>3300</v>
      </c>
      <c r="P25" s="10" t="n">
        <v>3300</v>
      </c>
      <c r="Q25" s="10" t="n">
        <v>3300</v>
      </c>
      <c r="R25" s="10" t="n">
        <v>3300</v>
      </c>
      <c r="S25" s="10" t="n">
        <v>3300</v>
      </c>
      <c r="T25" s="10" t="n">
        <v>3300</v>
      </c>
      <c r="U25" s="10" t="n">
        <v>3300</v>
      </c>
      <c r="V25" s="10" t="n">
        <v>3300</v>
      </c>
      <c r="W25" s="10" t="n">
        <v>3300</v>
      </c>
      <c r="X25" s="10" t="n">
        <v>3300</v>
      </c>
      <c r="Y25" s="10" t="n">
        <v>3300</v>
      </c>
      <c r="Z25" s="10" t="n">
        <v>3300</v>
      </c>
      <c r="AA25" s="10" t="n">
        <v>3300</v>
      </c>
      <c r="AB25" s="10" t="n">
        <v>3300</v>
      </c>
      <c r="AC25" s="10" t="n">
        <v>3300</v>
      </c>
      <c r="AD25" s="10" t="n">
        <v>3300</v>
      </c>
      <c r="AE25" s="10" t="n">
        <v>3300</v>
      </c>
      <c r="AF25" s="10" t="n"/>
      <c r="AG25" s="10" t="n"/>
      <c r="AH25" s="13">
        <f>SUM(B25:AF25)</f>
        <v/>
      </c>
      <c r="AI25" s="99" t="n"/>
    </row>
    <row r="26" hidden="1" ht="15.75" customHeight="1">
      <c r="AH26" s="13">
        <f>SUM(AH4:AH25)</f>
        <v/>
      </c>
    </row>
    <row r="28">
      <c r="A28" s="1" t="n"/>
      <c r="B28" s="2" t="inlineStr">
        <is>
          <t>November</t>
        </is>
      </c>
      <c r="C28" s="2" t="n"/>
      <c r="D28" s="2" t="n"/>
      <c r="E28" s="2" t="n"/>
      <c r="F28" s="2" t="n"/>
      <c r="G28" s="2" t="n"/>
      <c r="H28" s="2" t="n"/>
      <c r="I28" s="2" t="n"/>
      <c r="J28" s="2" t="n"/>
      <c r="K28" s="2" t="n"/>
      <c r="L28" s="2" t="n"/>
      <c r="M28" s="2" t="n"/>
      <c r="N28" s="2" t="n"/>
      <c r="O28" s="2" t="n"/>
      <c r="P28" s="2" t="n"/>
      <c r="Q28" s="2" t="n"/>
      <c r="R28" s="2" t="n"/>
      <c r="S28" s="2" t="n"/>
      <c r="T28" s="2" t="n"/>
      <c r="U28" s="2" t="n"/>
      <c r="V28" s="2" t="n"/>
      <c r="W28" s="2" t="n"/>
      <c r="X28" s="2" t="n"/>
      <c r="Y28" s="2" t="n"/>
      <c r="Z28" s="2" t="n"/>
      <c r="AA28" s="2" t="n"/>
      <c r="AB28" s="2" t="n"/>
      <c r="AC28" s="2" t="n"/>
      <c r="AD28" s="2" t="n"/>
      <c r="AE28" s="1" t="n"/>
      <c r="AF28" s="1" t="n"/>
      <c r="AG28" s="1" t="n"/>
    </row>
    <row r="29">
      <c r="A29" s="1" t="n"/>
      <c r="B29" s="2" t="inlineStr">
        <is>
          <t>Friday</t>
        </is>
      </c>
      <c r="C29" s="2" t="inlineStr">
        <is>
          <t>Saturday</t>
        </is>
      </c>
      <c r="D29" s="2" t="inlineStr">
        <is>
          <t>Sunday</t>
        </is>
      </c>
      <c r="E29" s="2" t="inlineStr">
        <is>
          <t>Monday</t>
        </is>
      </c>
      <c r="F29" s="2" t="inlineStr">
        <is>
          <t>Tuesday</t>
        </is>
      </c>
      <c r="G29" s="2" t="inlineStr">
        <is>
          <t>Wednesday</t>
        </is>
      </c>
      <c r="H29" s="2" t="inlineStr">
        <is>
          <t>Thursday</t>
        </is>
      </c>
      <c r="I29" s="2" t="inlineStr">
        <is>
          <t>Friday</t>
        </is>
      </c>
      <c r="J29" s="2" t="inlineStr">
        <is>
          <t>Saturday</t>
        </is>
      </c>
      <c r="K29" s="2" t="inlineStr">
        <is>
          <t>Sunday</t>
        </is>
      </c>
      <c r="L29" s="2" t="inlineStr">
        <is>
          <t>Monday</t>
        </is>
      </c>
      <c r="M29" s="2" t="inlineStr">
        <is>
          <t>Tuesday</t>
        </is>
      </c>
      <c r="N29" s="2" t="inlineStr">
        <is>
          <t>Wednesday</t>
        </is>
      </c>
      <c r="O29" s="2" t="inlineStr">
        <is>
          <t>Thursday</t>
        </is>
      </c>
      <c r="P29" s="2" t="inlineStr">
        <is>
          <t>Friday</t>
        </is>
      </c>
      <c r="Q29" s="2" t="inlineStr">
        <is>
          <t>Saturday</t>
        </is>
      </c>
      <c r="R29" s="2" t="inlineStr">
        <is>
          <t>Sunday</t>
        </is>
      </c>
      <c r="S29" s="2" t="inlineStr">
        <is>
          <t>Monday</t>
        </is>
      </c>
      <c r="T29" s="2" t="inlineStr">
        <is>
          <t>Tuesday</t>
        </is>
      </c>
      <c r="U29" s="2" t="inlineStr">
        <is>
          <t>Wednesday</t>
        </is>
      </c>
      <c r="V29" s="2" t="inlineStr">
        <is>
          <t>Thursday</t>
        </is>
      </c>
      <c r="W29" s="2" t="inlineStr">
        <is>
          <t>Friday</t>
        </is>
      </c>
      <c r="X29" s="2" t="inlineStr">
        <is>
          <t>Saturday</t>
        </is>
      </c>
      <c r="Y29" s="2" t="inlineStr">
        <is>
          <t>Sunday</t>
        </is>
      </c>
      <c r="Z29" s="2" t="inlineStr">
        <is>
          <t>Monday</t>
        </is>
      </c>
      <c r="AA29" s="2" t="inlineStr">
        <is>
          <t>Tuesday</t>
        </is>
      </c>
      <c r="AB29" s="2" t="inlineStr">
        <is>
          <t>Wednesday</t>
        </is>
      </c>
      <c r="AC29" s="2" t="inlineStr">
        <is>
          <t>Thursday</t>
        </is>
      </c>
      <c r="AD29" s="2" t="inlineStr">
        <is>
          <t>Friday</t>
        </is>
      </c>
      <c r="AE29" s="2" t="inlineStr">
        <is>
          <t>Saturday</t>
        </is>
      </c>
      <c r="AF29" s="2" t="inlineStr">
        <is>
          <t>Total</t>
        </is>
      </c>
    </row>
    <row r="30">
      <c r="A30" s="1" t="n"/>
      <c r="B30" s="6" t="inlineStr">
        <is>
          <t>1st</t>
        </is>
      </c>
      <c r="C30" s="6" t="inlineStr">
        <is>
          <t>2nd</t>
        </is>
      </c>
      <c r="D30" s="6" t="inlineStr">
        <is>
          <t>3rd</t>
        </is>
      </c>
      <c r="E30" s="3" t="inlineStr">
        <is>
          <t>4th</t>
        </is>
      </c>
      <c r="F30" s="3" t="inlineStr">
        <is>
          <t>5th</t>
        </is>
      </c>
      <c r="G30" s="3" t="inlineStr">
        <is>
          <t>6th</t>
        </is>
      </c>
      <c r="H30" s="3" t="inlineStr">
        <is>
          <t>7th</t>
        </is>
      </c>
      <c r="I30" s="3" t="inlineStr">
        <is>
          <t>8th</t>
        </is>
      </c>
      <c r="J30" s="3" t="inlineStr">
        <is>
          <t>9th</t>
        </is>
      </c>
      <c r="K30" s="3" t="inlineStr">
        <is>
          <t>10th</t>
        </is>
      </c>
      <c r="L30" s="4" t="inlineStr">
        <is>
          <t>11th</t>
        </is>
      </c>
      <c r="M30" s="4" t="inlineStr">
        <is>
          <t>12th</t>
        </is>
      </c>
      <c r="N30" s="4" t="inlineStr">
        <is>
          <t>13th</t>
        </is>
      </c>
      <c r="O30" s="4" t="inlineStr">
        <is>
          <t>14th</t>
        </is>
      </c>
      <c r="P30" s="4" t="inlineStr">
        <is>
          <t>15th</t>
        </is>
      </c>
      <c r="Q30" s="4" t="inlineStr">
        <is>
          <t>16th</t>
        </is>
      </c>
      <c r="R30" s="4" t="inlineStr">
        <is>
          <t>17th</t>
        </is>
      </c>
      <c r="S30" s="5" t="inlineStr">
        <is>
          <t>18th</t>
        </is>
      </c>
      <c r="T30" s="5" t="inlineStr">
        <is>
          <t>19th</t>
        </is>
      </c>
      <c r="U30" s="5" t="inlineStr">
        <is>
          <t>20th</t>
        </is>
      </c>
      <c r="V30" s="5" t="inlineStr">
        <is>
          <t>21st</t>
        </is>
      </c>
      <c r="W30" s="5" t="inlineStr">
        <is>
          <t>22nd</t>
        </is>
      </c>
      <c r="X30" s="5" t="inlineStr">
        <is>
          <t>23rd</t>
        </is>
      </c>
      <c r="Y30" s="5" t="inlineStr">
        <is>
          <t>24th</t>
        </is>
      </c>
      <c r="Z30" s="6" t="inlineStr">
        <is>
          <t>25th</t>
        </is>
      </c>
      <c r="AA30" s="6" t="inlineStr">
        <is>
          <t>26th</t>
        </is>
      </c>
      <c r="AB30" s="6" t="inlineStr">
        <is>
          <t>27th</t>
        </is>
      </c>
      <c r="AC30" s="6" t="inlineStr">
        <is>
          <t>28th</t>
        </is>
      </c>
      <c r="AD30" s="6" t="inlineStr">
        <is>
          <t>29th</t>
        </is>
      </c>
      <c r="AE30" s="6" t="inlineStr">
        <is>
          <t>30th</t>
        </is>
      </c>
      <c r="AF30" s="1" t="n"/>
    </row>
    <row r="31" ht="15.75" customHeight="1">
      <c r="A31" s="8" t="inlineStr">
        <is>
          <t>B-HAM CITY COUNCIL-200790-70489166</t>
        </is>
      </c>
      <c r="B31" s="31" t="n"/>
      <c r="C31" s="31" t="n"/>
      <c r="D31" s="31" t="n"/>
      <c r="E31" s="31" t="n"/>
      <c r="F31" s="31" t="n">
        <v>62841.32</v>
      </c>
      <c r="G31" s="31" t="n"/>
      <c r="H31" s="31" t="n"/>
      <c r="I31" s="31" t="n"/>
      <c r="J31" s="31" t="n"/>
      <c r="K31" s="31" t="n"/>
      <c r="L31" s="31" t="n"/>
      <c r="M31" s="31" t="n"/>
      <c r="N31" s="31" t="n"/>
      <c r="O31" s="31" t="n"/>
      <c r="P31" s="31" t="n"/>
      <c r="Q31" s="31" t="n"/>
      <c r="R31" s="31" t="n"/>
      <c r="S31" s="31" t="n"/>
      <c r="T31" s="31" t="n"/>
      <c r="U31" s="31" t="n"/>
      <c r="V31" s="31" t="n"/>
      <c r="W31" s="31" t="n"/>
      <c r="X31" s="31" t="n"/>
      <c r="Y31" s="31" t="n"/>
      <c r="Z31" s="31" t="n"/>
      <c r="AA31" s="31" t="n"/>
      <c r="AB31" s="31" t="n">
        <v>3721.83</v>
      </c>
      <c r="AC31" s="31" t="n"/>
      <c r="AD31" s="31" t="n"/>
      <c r="AE31" s="31" t="n"/>
      <c r="AF31" s="12" t="n"/>
      <c r="AH31" s="13">
        <f>SUM(B31:AF31)</f>
        <v/>
      </c>
      <c r="AI31" s="99" t="n"/>
      <c r="AL31" s="99" t="n"/>
    </row>
    <row r="32" ht="15.75" customHeight="1">
      <c r="A32" s="8" t="inlineStr">
        <is>
          <t>Buckingham</t>
        </is>
      </c>
      <c r="B32" s="31" t="n"/>
      <c r="C32" s="26" t="n"/>
      <c r="D32" s="26" t="n"/>
      <c r="E32" s="26" t="n"/>
      <c r="F32" s="26" t="n"/>
      <c r="G32" s="26" t="n"/>
      <c r="H32" s="26" t="n"/>
      <c r="I32" s="26" t="n"/>
      <c r="J32" s="26" t="n"/>
      <c r="K32" s="26" t="n"/>
      <c r="L32" s="26" t="n"/>
      <c r="M32" s="26" t="n"/>
      <c r="N32" s="31" t="n"/>
      <c r="O32" s="26" t="n"/>
      <c r="P32" s="26" t="n"/>
      <c r="Q32" s="26" t="n"/>
      <c r="R32" s="26" t="n"/>
      <c r="S32" s="26" t="n"/>
      <c r="T32" s="26" t="n"/>
      <c r="U32" s="31" t="n"/>
      <c r="V32" s="26" t="n"/>
      <c r="W32" s="31" t="n">
        <v>5134.44</v>
      </c>
      <c r="X32" s="31" t="n"/>
      <c r="Y32" s="26" t="n"/>
      <c r="Z32" s="31" t="n"/>
      <c r="AA32" s="31" t="n"/>
      <c r="AB32" s="26" t="n"/>
      <c r="AC32" s="31" t="n"/>
      <c r="AD32" s="26" t="n"/>
      <c r="AE32" s="31" t="n"/>
      <c r="AF32" s="12" t="n"/>
      <c r="AH32" s="13">
        <f>SUM(B32:AF32)</f>
        <v/>
      </c>
      <c r="AI32" s="99" t="n"/>
      <c r="AL32" s="99" t="n"/>
    </row>
    <row r="33" ht="15.75" customHeight="1">
      <c r="A33" s="8" t="inlineStr">
        <is>
          <t>Sandwell Respite</t>
        </is>
      </c>
      <c r="B33" s="31" t="n"/>
      <c r="C33" s="26" t="n"/>
      <c r="D33" s="26" t="n"/>
      <c r="E33" s="26" t="n"/>
      <c r="F33" s="26" t="n"/>
      <c r="G33" s="26" t="n"/>
      <c r="H33" s="100" t="n">
        <v>13314.4</v>
      </c>
      <c r="I33" s="26" t="n"/>
      <c r="J33" s="26" t="n"/>
      <c r="K33" s="26" t="n"/>
      <c r="L33" s="26" t="n"/>
      <c r="M33" s="26" t="n"/>
      <c r="N33" s="26" t="n"/>
      <c r="O33" s="26" t="n"/>
      <c r="P33" s="26" t="n"/>
      <c r="Q33" s="26" t="n"/>
      <c r="R33" s="26" t="n"/>
      <c r="S33" s="26" t="n"/>
      <c r="T33" s="26" t="n"/>
      <c r="U33" s="26" t="n"/>
      <c r="V33" s="26" t="n"/>
      <c r="W33" s="26" t="n"/>
      <c r="X33" s="26" t="n"/>
      <c r="Y33" s="26" t="n"/>
      <c r="Z33" s="31" t="n"/>
      <c r="AA33" s="26" t="n"/>
      <c r="AB33" s="26" t="n"/>
      <c r="AC33" s="31" t="n"/>
      <c r="AD33" s="31" t="n"/>
      <c r="AE33" s="31" t="n"/>
      <c r="AF33" s="9" t="n"/>
      <c r="AH33" s="13">
        <f>SUM(B33:AF33)</f>
        <v/>
      </c>
      <c r="AI33" s="99" t="n"/>
      <c r="AL33" s="99" t="n"/>
    </row>
    <row r="34" ht="15.75" customHeight="1">
      <c r="A34" s="8" t="inlineStr">
        <is>
          <t>Sandwell Daycare</t>
        </is>
      </c>
      <c r="B34" s="31" t="n"/>
      <c r="C34" s="26" t="n"/>
      <c r="D34" s="26" t="n"/>
      <c r="E34" s="26" t="n"/>
      <c r="F34" s="26" t="n"/>
      <c r="G34" s="26" t="n"/>
      <c r="H34" s="26" t="n"/>
      <c r="I34" s="26" t="n"/>
      <c r="J34" s="26" t="n"/>
      <c r="K34" s="26" t="n"/>
      <c r="L34" s="26" t="n"/>
      <c r="M34" s="26" t="n"/>
      <c r="N34" s="26" t="n"/>
      <c r="O34" s="26" t="n"/>
      <c r="P34" s="26" t="n"/>
      <c r="Q34" s="26" t="n"/>
      <c r="R34" s="26" t="n"/>
      <c r="S34" s="26" t="n"/>
      <c r="T34" s="26" t="n"/>
      <c r="U34" s="26" t="n"/>
      <c r="V34" s="31" t="n"/>
      <c r="W34" s="26" t="n"/>
      <c r="X34" s="26" t="n"/>
      <c r="Y34" s="26" t="n"/>
      <c r="Z34" s="31" t="n"/>
      <c r="AA34" s="26" t="n"/>
      <c r="AB34" s="26" t="n"/>
      <c r="AC34" s="26" t="n"/>
      <c r="AD34" s="31" t="n"/>
      <c r="AE34" s="31" t="n"/>
      <c r="AF34" s="9" t="n"/>
      <c r="AH34" s="13">
        <f>SUM(B34:AF34)</f>
        <v/>
      </c>
      <c r="AI34" s="99" t="n"/>
      <c r="AL34" s="99" t="n"/>
    </row>
    <row r="35" ht="15.75" customHeight="1">
      <c r="A35" s="8" t="inlineStr">
        <is>
          <t xml:space="preserve">Wolverhampton Respite </t>
        </is>
      </c>
      <c r="B35" s="31" t="n"/>
      <c r="C35" s="26" t="n"/>
      <c r="D35" s="26" t="n"/>
      <c r="E35" s="26" t="n"/>
      <c r="F35" s="26" t="n"/>
      <c r="G35" s="26" t="n"/>
      <c r="H35" s="26" t="n"/>
      <c r="I35" s="31" t="n"/>
      <c r="J35" s="26" t="n"/>
      <c r="K35" s="26" t="n"/>
      <c r="L35" s="31" t="n">
        <v>11400</v>
      </c>
      <c r="M35" s="26" t="n"/>
      <c r="N35" s="31" t="n"/>
      <c r="O35" s="31" t="n"/>
      <c r="P35" s="26" t="n"/>
      <c r="Q35" s="26" t="n"/>
      <c r="R35" s="26" t="n"/>
      <c r="S35" s="26" t="n"/>
      <c r="T35" s="26" t="n"/>
      <c r="U35" s="26" t="n"/>
      <c r="V35" s="26" t="n"/>
      <c r="W35" s="26" t="n"/>
      <c r="X35" s="26" t="n"/>
      <c r="Y35" s="26" t="n"/>
      <c r="Z35" s="26" t="n"/>
      <c r="AA35" s="26" t="n"/>
      <c r="AB35" s="26" t="n"/>
      <c r="AC35" s="26" t="n"/>
      <c r="AD35" s="31" t="n"/>
      <c r="AE35" s="31" t="n"/>
      <c r="AF35" s="9" t="n"/>
      <c r="AH35" s="13">
        <f>SUM(B35:AF35)</f>
        <v/>
      </c>
      <c r="AI35" s="99" t="n"/>
      <c r="AL35" s="99" t="n"/>
    </row>
    <row r="36" ht="15.75" customHeight="1">
      <c r="A36" s="8" t="inlineStr">
        <is>
          <t>Wolverhampton Daycare</t>
        </is>
      </c>
      <c r="B36" s="31" t="n"/>
      <c r="C36" s="26" t="n"/>
      <c r="D36" s="26" t="n"/>
      <c r="E36" s="26" t="n"/>
      <c r="F36" s="26" t="n"/>
      <c r="G36" s="26" t="n"/>
      <c r="H36" s="26" t="n"/>
      <c r="I36" s="16" t="n">
        <v>6003.94</v>
      </c>
      <c r="J36" s="26" t="n"/>
      <c r="K36" s="26" t="n"/>
      <c r="L36" s="26" t="n"/>
      <c r="M36" s="26" t="n"/>
      <c r="N36" s="31" t="n"/>
      <c r="O36" s="16" t="n">
        <v>6003.94</v>
      </c>
      <c r="P36" s="26" t="n"/>
      <c r="Q36" s="26" t="n"/>
      <c r="R36" s="26" t="n"/>
      <c r="S36" s="26" t="n"/>
      <c r="T36" s="31" t="n"/>
      <c r="U36" s="26" t="n"/>
      <c r="V36" s="16" t="n">
        <v>5800.66</v>
      </c>
      <c r="W36" s="26" t="n"/>
      <c r="X36" s="26" t="n"/>
      <c r="Y36" s="26" t="n"/>
      <c r="Z36" s="26" t="n"/>
      <c r="AA36" s="26" t="n"/>
      <c r="AB36" s="26" t="n"/>
      <c r="AC36" s="26" t="n"/>
      <c r="AD36" s="31" t="n"/>
      <c r="AE36" s="31" t="n"/>
      <c r="AF36" s="10" t="n"/>
      <c r="AH36" s="13">
        <f>SUM(B36:AF36)</f>
        <v/>
      </c>
      <c r="AI36" s="99" t="n"/>
      <c r="AL36" s="99" t="n"/>
    </row>
    <row r="37" ht="15.75" customHeight="1">
      <c r="A37" s="8" t="inlineStr">
        <is>
          <t>Walsall Respite</t>
        </is>
      </c>
      <c r="B37" s="31" t="n"/>
      <c r="C37" s="26" t="n"/>
      <c r="D37" s="26" t="n"/>
      <c r="E37" s="31" t="n"/>
      <c r="F37" s="31" t="n"/>
      <c r="G37" s="26" t="n"/>
      <c r="H37" s="26" t="n"/>
      <c r="I37" s="26" t="n"/>
      <c r="J37" s="26" t="n"/>
      <c r="K37" s="26" t="n"/>
      <c r="L37" s="26" t="n"/>
      <c r="M37" s="31" t="n"/>
      <c r="N37" s="31" t="n"/>
      <c r="O37" s="26" t="n"/>
      <c r="P37" s="26" t="n"/>
      <c r="Q37" s="26" t="n"/>
      <c r="R37" s="26" t="n"/>
      <c r="S37" s="31" t="n"/>
      <c r="T37" s="26" t="n">
        <v>16058.4</v>
      </c>
      <c r="U37" s="26" t="n"/>
      <c r="V37" s="26" t="n"/>
      <c r="W37" s="26" t="n"/>
      <c r="X37" s="26" t="n"/>
      <c r="Y37" s="26" t="n"/>
      <c r="Z37" s="26" t="n"/>
      <c r="AA37" s="26" t="n"/>
      <c r="AB37" s="26" t="n"/>
      <c r="AC37" s="26" t="n"/>
      <c r="AD37" s="31" t="n"/>
      <c r="AE37" s="31" t="n"/>
      <c r="AH37" s="13">
        <f>SUM(B37:AF37)</f>
        <v/>
      </c>
      <c r="AI37" s="99" t="n"/>
      <c r="AL37" s="99" t="n"/>
    </row>
    <row r="38" ht="15.75" customHeight="1">
      <c r="A38" s="8" t="inlineStr">
        <is>
          <t>Walsall Daycare</t>
        </is>
      </c>
      <c r="B38" s="31" t="n">
        <v>3040</v>
      </c>
      <c r="C38" s="26" t="n"/>
      <c r="D38" s="26" t="n"/>
      <c r="E38" s="31" t="n"/>
      <c r="F38" s="31" t="n"/>
      <c r="G38" s="26" t="n"/>
      <c r="H38" s="26" t="n"/>
      <c r="I38" s="26" t="n"/>
      <c r="J38" s="26" t="n"/>
      <c r="K38" s="26" t="n"/>
      <c r="L38" s="26" t="n"/>
      <c r="M38" s="26" t="n"/>
      <c r="N38" s="31" t="n"/>
      <c r="O38" s="26" t="n"/>
      <c r="P38" s="26" t="n"/>
      <c r="Q38" s="26" t="n"/>
      <c r="R38" s="26" t="n"/>
      <c r="S38" s="26" t="n"/>
      <c r="T38" s="31" t="n"/>
      <c r="U38" s="26" t="n"/>
      <c r="V38" s="26" t="n"/>
      <c r="W38" s="26" t="n"/>
      <c r="X38" s="26" t="n"/>
      <c r="Y38" s="26" t="n"/>
      <c r="Z38" s="26" t="n"/>
      <c r="AA38" s="26" t="n"/>
      <c r="AB38" s="26" t="n"/>
      <c r="AC38" s="26" t="n"/>
      <c r="AD38" s="31" t="n"/>
      <c r="AE38" s="31" t="n"/>
      <c r="AF38" s="9" t="n"/>
      <c r="AH38" s="13">
        <f>SUM(B38:AF38)</f>
        <v/>
      </c>
      <c r="AI38" s="99" t="n"/>
    </row>
    <row r="39" ht="18.75" customHeight="1">
      <c r="A39" s="8" t="inlineStr">
        <is>
          <t>Ideal for All Ltd</t>
        </is>
      </c>
      <c r="B39" s="31" t="n"/>
      <c r="C39" s="31" t="n"/>
      <c r="D39" s="31" t="n"/>
      <c r="E39" s="31" t="n"/>
      <c r="F39" s="26" t="n"/>
      <c r="G39" s="31" t="n"/>
      <c r="H39" s="31" t="n"/>
      <c r="I39" s="31" t="n"/>
      <c r="J39" s="76" t="n"/>
      <c r="K39" s="76" t="n"/>
      <c r="L39" s="26" t="n"/>
      <c r="M39" s="26" t="n"/>
      <c r="N39" s="31" t="n"/>
      <c r="O39" s="26" t="n"/>
      <c r="P39" s="26" t="n"/>
      <c r="Q39" s="26" t="n"/>
      <c r="R39" s="26" t="n"/>
      <c r="S39" s="26" t="n"/>
      <c r="T39" s="26" t="n"/>
      <c r="U39" s="26" t="n"/>
      <c r="V39" s="26" t="n"/>
      <c r="W39" s="31" t="n"/>
      <c r="X39" s="26" t="n"/>
      <c r="Y39" s="26" t="n"/>
      <c r="Z39" s="31" t="n"/>
      <c r="AA39" s="31" t="n"/>
      <c r="AB39" s="26" t="n"/>
      <c r="AC39" s="31" t="n"/>
      <c r="AD39" s="26" t="n"/>
      <c r="AE39" s="31" t="n"/>
      <c r="AF39" s="12" t="n"/>
      <c r="AH39" s="13">
        <f>SUM(B39:AF39)</f>
        <v/>
      </c>
      <c r="AI39" s="99" t="n"/>
    </row>
    <row r="40" ht="15.75" customHeight="1">
      <c r="A40" s="8" t="inlineStr">
        <is>
          <t>KIRKLEES COUNCIL-204312-63046958</t>
        </is>
      </c>
      <c r="B40" s="31" t="n"/>
      <c r="C40" s="31" t="n"/>
      <c r="D40" s="26" t="n"/>
      <c r="E40" s="26" t="n"/>
      <c r="F40" s="26" t="n"/>
      <c r="G40" s="26" t="n"/>
      <c r="H40" s="26" t="n"/>
      <c r="I40" s="26" t="n"/>
      <c r="J40" s="31" t="n"/>
      <c r="K40" s="31" t="n"/>
      <c r="L40" s="31" t="n"/>
      <c r="M40" s="31" t="n"/>
      <c r="N40" s="31" t="n"/>
      <c r="O40" s="26" t="n"/>
      <c r="P40" s="31" t="n"/>
      <c r="Q40" s="26" t="n"/>
      <c r="R40" s="31" t="n"/>
      <c r="S40" s="31" t="n"/>
      <c r="T40" s="26" t="n"/>
      <c r="U40" s="26" t="n"/>
      <c r="V40" s="26" t="n"/>
      <c r="W40" s="26" t="n"/>
      <c r="X40" s="26" t="n"/>
      <c r="Y40" s="26" t="n"/>
      <c r="Z40" s="31" t="n"/>
      <c r="AA40" s="26" t="n"/>
      <c r="AB40" s="26" t="n"/>
      <c r="AC40" s="31" t="n"/>
      <c r="AD40" s="31" t="n"/>
      <c r="AE40" s="31" t="n"/>
      <c r="AF40" s="12" t="n"/>
      <c r="AH40" s="13">
        <f>SUM(B40:AF40)</f>
        <v/>
      </c>
      <c r="AI40" s="99" t="n"/>
    </row>
    <row r="41" ht="15.75" customHeight="1">
      <c r="A41" s="8" t="inlineStr">
        <is>
          <t>LBH PAYMENTS BACS-602210-72430192</t>
        </is>
      </c>
      <c r="B41" s="31" t="n">
        <v>5203.8</v>
      </c>
      <c r="C41" s="26" t="n"/>
      <c r="D41" s="31" t="n"/>
      <c r="E41" s="31" t="n"/>
      <c r="F41" s="31" t="n"/>
      <c r="G41" s="31" t="n"/>
      <c r="H41" s="31" t="n"/>
      <c r="I41" s="26" t="n"/>
      <c r="J41" s="26" t="n"/>
      <c r="K41" s="26" t="n"/>
      <c r="L41" s="31" t="n"/>
      <c r="M41" s="31" t="n"/>
      <c r="N41" s="31" t="n"/>
      <c r="O41" s="31" t="n"/>
      <c r="P41" s="31" t="n"/>
      <c r="Q41" s="26" t="n"/>
      <c r="R41" s="26" t="n"/>
      <c r="S41" s="26" t="n"/>
      <c r="T41" s="26" t="n"/>
      <c r="U41" s="26" t="n"/>
      <c r="V41" s="31" t="n"/>
      <c r="W41" s="26" t="n"/>
      <c r="X41" s="26" t="n"/>
      <c r="Y41" s="26" t="n"/>
      <c r="Z41" s="26" t="n"/>
      <c r="AA41" s="26" t="n"/>
      <c r="AB41" s="26" t="n"/>
      <c r="AC41" s="31" t="n">
        <v>5203.8</v>
      </c>
      <c r="AD41" s="31" t="n"/>
      <c r="AE41" s="31" t="n"/>
      <c r="AF41" s="12" t="n"/>
      <c r="AH41" s="13">
        <f>SUM(B41:AF41)</f>
        <v/>
      </c>
      <c r="AI41" s="99" t="n"/>
    </row>
    <row r="42" ht="15.75" customHeight="1">
      <c r="A42" s="8" t="inlineStr">
        <is>
          <t>NHS BIRMINGHAM &amp; S-607080-10017097</t>
        </is>
      </c>
      <c r="B42" s="31" t="n"/>
      <c r="C42" s="31" t="n"/>
      <c r="D42" s="31" t="n"/>
      <c r="E42" s="26" t="n"/>
      <c r="F42" s="31" t="n"/>
      <c r="G42" s="26" t="n"/>
      <c r="H42" s="31" t="n"/>
      <c r="I42" s="26" t="n"/>
      <c r="J42" s="26" t="n"/>
      <c r="K42" s="26" t="n"/>
      <c r="L42" s="31" t="n"/>
      <c r="M42" s="31" t="n"/>
      <c r="N42" s="31" t="n"/>
      <c r="O42" s="31" t="n"/>
      <c r="P42" s="31" t="n">
        <v>7442.08</v>
      </c>
      <c r="Q42" s="26" t="n"/>
      <c r="R42" s="26" t="n"/>
      <c r="S42" s="26" t="n"/>
      <c r="T42" s="31" t="n"/>
      <c r="U42" s="31" t="n"/>
      <c r="V42" s="26" t="n"/>
      <c r="W42" s="26" t="n"/>
      <c r="X42" s="26" t="n"/>
      <c r="Y42" s="31" t="n"/>
      <c r="Z42" s="26" t="n"/>
      <c r="AA42" s="26" t="n"/>
      <c r="AB42" s="26" t="n"/>
      <c r="AC42" s="26" t="n"/>
      <c r="AD42" s="26" t="n"/>
      <c r="AE42" s="31" t="n"/>
      <c r="AF42" s="12" t="n"/>
      <c r="AH42" s="13">
        <f>SUM(B42:AF42)</f>
        <v/>
      </c>
      <c r="AI42" s="99" t="n"/>
    </row>
    <row r="43" ht="15.75" customHeight="1">
      <c r="A43" s="8" t="inlineStr">
        <is>
          <t>NHS BLACK COUNTRY-607080-10015272</t>
        </is>
      </c>
      <c r="B43" s="31" t="n"/>
      <c r="C43" s="31" t="n"/>
      <c r="D43" s="31" t="n"/>
      <c r="E43" s="31" t="n"/>
      <c r="F43" s="31" t="n"/>
      <c r="G43" s="31" t="n"/>
      <c r="H43" s="31" t="n"/>
      <c r="I43" s="31" t="n"/>
      <c r="J43" s="31" t="n"/>
      <c r="K43" s="31" t="n"/>
      <c r="L43" s="31" t="n"/>
      <c r="M43" s="31" t="n"/>
      <c r="N43" s="31" t="n">
        <v>17364.38</v>
      </c>
      <c r="O43" s="31" t="n"/>
      <c r="P43" s="31" t="n"/>
      <c r="Q43" s="26" t="n"/>
      <c r="R43" s="31" t="n"/>
      <c r="S43" s="31" t="n"/>
      <c r="T43" s="31" t="n">
        <v>1100</v>
      </c>
      <c r="U43" s="31" t="n"/>
      <c r="V43" s="26" t="n"/>
      <c r="W43" s="26" t="n"/>
      <c r="X43" s="26" t="n"/>
      <c r="Y43" s="26" t="n"/>
      <c r="Z43" s="31" t="n">
        <v>4832.16</v>
      </c>
      <c r="AA43" s="26" t="n"/>
      <c r="AB43" s="31" t="n"/>
      <c r="AC43" s="31" t="n">
        <v>5458.75</v>
      </c>
      <c r="AD43" s="31" t="n"/>
      <c r="AE43" s="31" t="n"/>
      <c r="AF43" s="12" t="n"/>
      <c r="AH43" s="13">
        <f>SUM(B43:AF43)</f>
        <v/>
      </c>
      <c r="AI43" s="99" t="n"/>
    </row>
    <row r="44" ht="15.75" customHeight="1">
      <c r="A44" s="14" t="inlineStr">
        <is>
          <t>SANDWELL MBC  BEN-601539-69624151</t>
        </is>
      </c>
      <c r="B44" s="31" t="n"/>
      <c r="C44" s="26" t="n"/>
      <c r="D44" s="31" t="n"/>
      <c r="E44" s="26" t="n"/>
      <c r="F44" s="26" t="n"/>
      <c r="G44" s="31" t="n"/>
      <c r="H44" s="31" t="n"/>
      <c r="I44" s="26" t="n"/>
      <c r="J44" s="26" t="n"/>
      <c r="K44" s="26" t="n"/>
      <c r="L44" s="31" t="n">
        <v>2660</v>
      </c>
      <c r="M44" s="31" t="n"/>
      <c r="N44" s="31" t="n"/>
      <c r="O44" s="31" t="n"/>
      <c r="P44" s="26" t="n"/>
      <c r="Q44" s="26" t="n"/>
      <c r="R44" s="26" t="n"/>
      <c r="S44" s="31" t="n"/>
      <c r="T44" s="26" t="n"/>
      <c r="U44" s="26" t="n"/>
      <c r="V44" s="26" t="n"/>
      <c r="W44" s="31" t="n"/>
      <c r="X44" s="26" t="n"/>
      <c r="Y44" s="26" t="n"/>
      <c r="Z44" s="26" t="n"/>
      <c r="AA44" s="31" t="n"/>
      <c r="AB44" s="31" t="n"/>
      <c r="AC44" s="31" t="n"/>
      <c r="AD44" s="31" t="n"/>
      <c r="AE44" s="31" t="n"/>
      <c r="AF44" s="12" t="n"/>
      <c r="AH44" s="13">
        <f>SUM(B44:AF44)</f>
        <v/>
      </c>
      <c r="AI44" s="99" t="n"/>
    </row>
    <row r="45" ht="15.75" customHeight="1">
      <c r="A45" s="14" t="inlineStr">
        <is>
          <t>SANDWELL MBC-601539-69624135</t>
        </is>
      </c>
      <c r="B45" s="26" t="n"/>
      <c r="C45" s="26" t="n"/>
      <c r="D45" s="26" t="n"/>
      <c r="E45" s="26" t="n"/>
      <c r="F45" s="31" t="n"/>
      <c r="G45" s="26" t="n"/>
      <c r="H45" s="26" t="n"/>
      <c r="I45" s="101">
        <f>152586.56-I51</f>
        <v/>
      </c>
      <c r="J45" s="26" t="n"/>
      <c r="K45" s="26" t="n"/>
      <c r="L45" s="31" t="n"/>
      <c r="M45" s="26" t="n"/>
      <c r="N45" s="26" t="n"/>
      <c r="O45" s="31" t="n"/>
      <c r="P45" s="31" t="n"/>
      <c r="Q45" s="31" t="n"/>
      <c r="R45" s="31" t="n"/>
      <c r="S45" s="31" t="n"/>
      <c r="T45" s="26" t="n"/>
      <c r="U45" s="26" t="n"/>
      <c r="V45" s="26" t="n"/>
      <c r="W45" s="31" t="n"/>
      <c r="X45" s="26" t="n"/>
      <c r="Y45" s="75" t="n"/>
      <c r="Z45" s="100" t="n">
        <v>122274.88</v>
      </c>
      <c r="AA45" s="26" t="n"/>
      <c r="AB45" s="31" t="n"/>
      <c r="AC45" s="31" t="n"/>
      <c r="AD45" s="31" t="n"/>
      <c r="AE45" s="31" t="n"/>
      <c r="AF45" s="12" t="n"/>
      <c r="AH45" s="13">
        <f>SUM(B45:AF45)</f>
        <v/>
      </c>
      <c r="AI45" s="99" t="n"/>
    </row>
    <row r="46" ht="15.75" customHeight="1">
      <c r="A46" s="15" t="inlineStr">
        <is>
          <t>SOLIHULL MBC EXP.-200771-00561525</t>
        </is>
      </c>
      <c r="B46" s="31" t="n"/>
      <c r="C46" s="31" t="n"/>
      <c r="D46" s="31" t="n"/>
      <c r="E46" s="31" t="n">
        <v>32010.44</v>
      </c>
      <c r="F46" s="31" t="n"/>
      <c r="G46" s="31" t="n"/>
      <c r="H46" s="31" t="n"/>
      <c r="I46" s="31" t="n"/>
      <c r="J46" s="31" t="n"/>
      <c r="K46" s="31" t="n"/>
      <c r="L46" s="31" t="n"/>
      <c r="M46" s="31" t="n"/>
      <c r="N46" s="31" t="n"/>
      <c r="O46" s="31" t="n"/>
      <c r="P46" s="31" t="n"/>
      <c r="Q46" s="31" t="n"/>
      <c r="R46" s="31" t="n"/>
      <c r="S46" s="31" t="n"/>
      <c r="T46" s="31" t="n"/>
      <c r="U46" s="31" t="n"/>
      <c r="V46" s="31" t="n"/>
      <c r="W46" s="31" t="n"/>
      <c r="X46" s="31" t="n"/>
      <c r="Y46" s="31" t="n"/>
      <c r="Z46" s="31" t="n"/>
      <c r="AA46" s="31" t="n"/>
      <c r="AB46" s="31" t="n"/>
      <c r="AC46" s="31" t="n"/>
      <c r="AD46" s="31" t="n"/>
      <c r="AE46" s="31" t="n"/>
      <c r="AF46" s="12" t="n"/>
      <c r="AH46" s="13">
        <f>SUM(B46:AF46)</f>
        <v/>
      </c>
      <c r="AI46" s="99" t="n"/>
    </row>
    <row r="47" ht="15.75" customHeight="1">
      <c r="A47" s="15" t="inlineStr">
        <is>
          <t>WALSALL MBC BARC-209073-10731692</t>
        </is>
      </c>
      <c r="B47" s="26" t="n"/>
      <c r="C47" s="31" t="n"/>
      <c r="D47" s="31" t="n"/>
      <c r="E47" s="31" t="n"/>
      <c r="F47" s="31" t="n"/>
      <c r="G47" s="31" t="n"/>
      <c r="H47" s="31" t="n"/>
      <c r="I47" s="31" t="n"/>
      <c r="J47" s="31" t="n"/>
      <c r="K47" s="31" t="n"/>
      <c r="L47" s="31" t="n"/>
      <c r="M47" s="31" t="n"/>
      <c r="N47" s="31" t="n"/>
      <c r="O47" s="31" t="n"/>
      <c r="P47" s="31" t="n"/>
      <c r="Q47" s="31" t="n"/>
      <c r="R47" s="31" t="n"/>
      <c r="S47" s="31" t="n"/>
      <c r="T47" s="31" t="n">
        <v>203477.11</v>
      </c>
      <c r="U47" s="31" t="n"/>
      <c r="V47" s="31" t="n"/>
      <c r="W47" s="26" t="n"/>
      <c r="X47" s="31" t="n"/>
      <c r="Y47" s="31" t="n"/>
      <c r="Z47" s="31" t="n"/>
      <c r="AA47" s="31" t="n"/>
      <c r="AB47" s="31" t="n"/>
      <c r="AC47" s="31" t="n"/>
      <c r="AD47" s="31" t="n"/>
      <c r="AE47" s="31" t="n"/>
      <c r="AF47" s="12" t="n"/>
      <c r="AH47" s="13">
        <f>SUM(B47:AF47)</f>
        <v/>
      </c>
      <c r="AI47" s="99" t="n"/>
    </row>
    <row r="48" ht="15.75" customHeight="1">
      <c r="A48" s="15" t="inlineStr">
        <is>
          <t>WOLVERHAMPTON CC-560069-44470320</t>
        </is>
      </c>
      <c r="B48" s="31" t="n"/>
      <c r="C48" s="31" t="n"/>
      <c r="D48" s="26" t="n"/>
      <c r="E48" s="31" t="n"/>
      <c r="F48" s="31" t="n"/>
      <c r="G48" s="31" t="n">
        <v>2439.36</v>
      </c>
      <c r="H48" s="26" t="n">
        <v>110419.76</v>
      </c>
      <c r="I48" s="75" t="n">
        <v>2710.4</v>
      </c>
      <c r="J48" s="31" t="n"/>
      <c r="K48" s="26" t="n"/>
      <c r="L48" s="31" t="n"/>
      <c r="M48" s="31" t="n"/>
      <c r="N48" s="31" t="n"/>
      <c r="O48" s="31" t="n">
        <v>113095.04</v>
      </c>
      <c r="P48" s="31" t="n"/>
      <c r="Q48" s="31" t="n"/>
      <c r="R48" s="26" t="n"/>
      <c r="S48" s="31" t="n"/>
      <c r="T48" s="31" t="n"/>
      <c r="U48" s="31" t="n"/>
      <c r="V48" s="31" t="n">
        <v>115604.64</v>
      </c>
      <c r="W48" s="31" t="n"/>
      <c r="X48" s="31" t="n"/>
      <c r="Y48" s="16" t="n"/>
      <c r="Z48" s="31" t="n"/>
      <c r="AA48" s="31" t="n"/>
      <c r="AB48" s="31" t="n"/>
      <c r="AC48" s="31" t="n"/>
      <c r="AD48" s="31" t="n">
        <v>110419.76</v>
      </c>
      <c r="AE48" s="31" t="n"/>
      <c r="AF48" s="9" t="n"/>
      <c r="AH48" s="13">
        <f>SUM(B48:AF48)</f>
        <v/>
      </c>
      <c r="AI48" s="99" t="n"/>
    </row>
    <row r="49" ht="15.75" customHeight="1">
      <c r="A49" s="15" t="inlineStr">
        <is>
          <t>Portsmouth</t>
        </is>
      </c>
      <c r="B49" s="31" t="n"/>
      <c r="C49" s="31" t="n"/>
      <c r="D49" s="31" t="n"/>
      <c r="E49" s="31" t="n"/>
      <c r="F49" s="31" t="n"/>
      <c r="G49" s="31" t="n"/>
      <c r="H49" s="31" t="n"/>
      <c r="I49" s="31" t="n">
        <v>5078.57</v>
      </c>
      <c r="J49" s="31" t="n"/>
      <c r="K49" s="31" t="n"/>
      <c r="L49" s="31" t="n"/>
      <c r="M49" s="31" t="n"/>
      <c r="N49" s="31" t="n"/>
      <c r="O49" s="31" t="n"/>
      <c r="P49" s="31" t="n"/>
      <c r="Q49" s="31" t="n"/>
      <c r="R49" s="31" t="n"/>
      <c r="S49" s="31" t="n"/>
      <c r="T49" s="31" t="n"/>
      <c r="U49" s="31" t="n"/>
      <c r="V49" s="31" t="n"/>
      <c r="W49" s="31" t="n"/>
      <c r="X49" s="31" t="n"/>
      <c r="Y49" s="31" t="n"/>
      <c r="Z49" s="31" t="n"/>
      <c r="AA49" s="31" t="n"/>
      <c r="AB49" s="31" t="n"/>
      <c r="AC49" s="31" t="n"/>
      <c r="AD49" s="26" t="n"/>
      <c r="AE49" s="31" t="n"/>
      <c r="AF49" s="12" t="n"/>
      <c r="AH49" s="13">
        <f>SUM(B49:AF49)</f>
        <v/>
      </c>
      <c r="AI49" s="99" t="n"/>
    </row>
    <row r="50" ht="15.75" customHeight="1">
      <c r="A50" s="15" t="inlineStr">
        <is>
          <t>People Plus</t>
        </is>
      </c>
      <c r="B50" s="26" t="n"/>
      <c r="C50" s="31" t="n"/>
      <c r="D50" s="31" t="n"/>
      <c r="E50" s="31" t="n"/>
      <c r="F50" s="31" t="n"/>
      <c r="G50" s="31" t="n"/>
      <c r="H50" s="31" t="n"/>
      <c r="I50" s="31" t="n"/>
      <c r="J50" s="31" t="n"/>
      <c r="K50" s="31" t="n"/>
      <c r="L50" s="31" t="n"/>
      <c r="M50" s="31" t="n"/>
      <c r="N50" s="31" t="n"/>
      <c r="O50" s="31" t="n"/>
      <c r="P50" s="31" t="n"/>
      <c r="Q50" s="31" t="n"/>
      <c r="R50" s="31" t="n"/>
      <c r="S50" s="31" t="n"/>
      <c r="T50" s="31" t="n"/>
      <c r="U50" s="31" t="n"/>
      <c r="V50" s="31" t="n"/>
      <c r="W50" s="31" t="n">
        <v>6067.6</v>
      </c>
      <c r="X50" s="31" t="n"/>
      <c r="Y50" s="31" t="n"/>
      <c r="Z50" s="31" t="n"/>
      <c r="AA50" s="31" t="n"/>
      <c r="AB50" s="31" t="n"/>
      <c r="AC50" s="31" t="n"/>
      <c r="AD50" s="26" t="n"/>
      <c r="AE50" s="31" t="n"/>
      <c r="AF50" s="12" t="n"/>
      <c r="AH50" s="13">
        <f>SUM(B50:AF50)</f>
        <v/>
      </c>
      <c r="AI50" s="99" t="n"/>
    </row>
    <row r="51" ht="15.75" customHeight="1">
      <c r="A51" s="15" t="inlineStr">
        <is>
          <t>CHASING</t>
        </is>
      </c>
      <c r="B51" s="31" t="n">
        <v>2439.36</v>
      </c>
      <c r="C51" s="31" t="n"/>
      <c r="D51" s="31" t="n"/>
      <c r="E51" s="31" t="n"/>
      <c r="F51" s="31" t="n"/>
      <c r="G51" s="31" t="n"/>
      <c r="H51" s="31" t="n"/>
      <c r="I51" s="102" t="n">
        <v>30000</v>
      </c>
      <c r="J51" s="31" t="n"/>
      <c r="K51" s="31" t="n"/>
      <c r="L51" s="31" t="n"/>
      <c r="M51" s="31" t="n"/>
      <c r="N51" s="31" t="n"/>
      <c r="O51" s="31" t="n"/>
      <c r="P51" s="31" t="n"/>
      <c r="Q51" s="31" t="n"/>
      <c r="R51" s="31" t="n"/>
      <c r="S51" s="75" t="n"/>
      <c r="T51" s="31" t="n"/>
      <c r="U51" s="31" t="n"/>
      <c r="V51" s="31" t="n"/>
      <c r="W51" s="31">
        <f>11086.56</f>
        <v/>
      </c>
      <c r="X51" s="31" t="n"/>
      <c r="Y51" s="31" t="n"/>
      <c r="Z51" s="31" t="n">
        <v>10645.32</v>
      </c>
      <c r="AA51" s="31" t="n"/>
      <c r="AB51" s="31" t="n"/>
      <c r="AC51" s="31" t="n">
        <v>8511.059999999999</v>
      </c>
      <c r="AD51" s="26" t="n"/>
      <c r="AE51" s="31" t="n"/>
      <c r="AF51" s="74" t="n"/>
      <c r="AH51" s="13">
        <f>SUM(B51:AF51)</f>
        <v/>
      </c>
      <c r="AI51" s="99" t="n"/>
    </row>
    <row r="52" ht="15.75" customHeight="1">
      <c r="A52" s="15" t="inlineStr">
        <is>
          <t>HB SC</t>
        </is>
      </c>
      <c r="B52" s="16" t="n">
        <v>5139.770000000001</v>
      </c>
      <c r="C52" s="16" t="n">
        <v>207.69</v>
      </c>
      <c r="D52" s="16" t="n">
        <v>442.4</v>
      </c>
      <c r="E52" s="16" t="n">
        <v>14894.49</v>
      </c>
      <c r="F52" s="16" t="n">
        <v>2656.349999999999</v>
      </c>
      <c r="G52" s="16" t="n">
        <v>5237.07</v>
      </c>
      <c r="H52" s="16" t="n">
        <v>1511.519999999999</v>
      </c>
      <c r="I52" s="16" t="n">
        <v>3993.350000000013</v>
      </c>
      <c r="J52" s="16" t="n">
        <v>590</v>
      </c>
      <c r="K52" s="16" t="n">
        <v>200</v>
      </c>
      <c r="L52" s="16" t="n">
        <v>5050.16</v>
      </c>
      <c r="M52" s="16" t="n">
        <v>1004.01</v>
      </c>
      <c r="N52" s="16" t="n">
        <v>2600.959999999999</v>
      </c>
      <c r="O52" s="16" t="n">
        <v>2528.259999999995</v>
      </c>
      <c r="P52" s="16" t="n">
        <v>5388.27</v>
      </c>
      <c r="Q52" s="16" t="n">
        <v>200</v>
      </c>
      <c r="R52" s="16" t="n">
        <v>0</v>
      </c>
      <c r="S52" s="16" t="n">
        <v>5657.759999999999</v>
      </c>
      <c r="T52" s="16" t="n">
        <v>2134.380000000005</v>
      </c>
      <c r="U52" s="16" t="n">
        <v>1661.31</v>
      </c>
      <c r="V52" s="16" t="n">
        <v>2116.899999999994</v>
      </c>
      <c r="W52" s="31" t="n">
        <v>4521.859999999999</v>
      </c>
      <c r="X52" s="16" t="n">
        <v>0</v>
      </c>
      <c r="Y52" s="16" t="n">
        <v>0</v>
      </c>
      <c r="Z52" s="16" t="n">
        <v>9600.870000000004</v>
      </c>
      <c r="AA52" s="16" t="n">
        <v>2568.91</v>
      </c>
      <c r="AB52" s="16" t="n">
        <v>2389.200000000028</v>
      </c>
      <c r="AC52" s="16" t="n">
        <v>4316.440000000001</v>
      </c>
      <c r="AD52" s="16" t="n">
        <v>11606.97</v>
      </c>
      <c r="AE52" s="16" t="n">
        <v>0</v>
      </c>
      <c r="AF52" s="10" t="n"/>
      <c r="AH52" s="13">
        <f>SUM(B52:AF52)</f>
        <v/>
      </c>
      <c r="AI52" s="99" t="n"/>
    </row>
    <row r="53" ht="16.5" customHeight="1" thickBot="1">
      <c r="A53" s="15" t="inlineStr">
        <is>
          <t xml:space="preserve">Total </t>
        </is>
      </c>
      <c r="B53" s="67">
        <f>SUM(B31:B52)</f>
        <v/>
      </c>
      <c r="C53" s="67">
        <f>SUM(C31:C52)</f>
        <v/>
      </c>
      <c r="D53" s="67">
        <f>SUM(D31:D52)</f>
        <v/>
      </c>
      <c r="E53" s="67">
        <f>SUM(E31:E52)</f>
        <v/>
      </c>
      <c r="F53" s="67">
        <f>SUM(F31:F52)</f>
        <v/>
      </c>
      <c r="G53" s="67">
        <f>SUM(G31:G52)</f>
        <v/>
      </c>
      <c r="H53" s="67">
        <f>SUM(H31:H52)</f>
        <v/>
      </c>
      <c r="I53" s="67">
        <f>SUM(I31:I52)</f>
        <v/>
      </c>
      <c r="J53" s="67">
        <f>SUM(J31:J52)</f>
        <v/>
      </c>
      <c r="K53" s="67">
        <f>SUM(K31:K52)</f>
        <v/>
      </c>
      <c r="L53" s="67">
        <f>SUM(L31:L52)</f>
        <v/>
      </c>
      <c r="M53" s="67">
        <f>SUM(M31:M52)</f>
        <v/>
      </c>
      <c r="N53" s="67">
        <f>SUM(N31:N52)</f>
        <v/>
      </c>
      <c r="O53" s="67">
        <f>SUM(O31:O52)</f>
        <v/>
      </c>
      <c r="P53" s="67">
        <f>SUM(P31:P52)</f>
        <v/>
      </c>
      <c r="Q53" s="67">
        <f>SUM(Q31:Q52)</f>
        <v/>
      </c>
      <c r="R53" s="67">
        <f>SUM(R31:R52)</f>
        <v/>
      </c>
      <c r="S53" s="67">
        <f>SUM(S31:S52)</f>
        <v/>
      </c>
      <c r="T53" s="67">
        <f>SUM(T31:T52)</f>
        <v/>
      </c>
      <c r="U53" s="67">
        <f>SUM(U31:U52)</f>
        <v/>
      </c>
      <c r="V53" s="67">
        <f>SUM(V31:V52)</f>
        <v/>
      </c>
      <c r="W53" s="67">
        <f>SUM(W31:W52)</f>
        <v/>
      </c>
      <c r="X53" s="67">
        <f>SUM(X31:X52)</f>
        <v/>
      </c>
      <c r="Y53" s="67">
        <f>SUM(Y31:Y52)</f>
        <v/>
      </c>
      <c r="Z53" s="67">
        <f>SUM(Z31:Z52)</f>
        <v/>
      </c>
      <c r="AA53" s="67">
        <f>SUM(AA31:AA52)</f>
        <v/>
      </c>
      <c r="AB53" s="67">
        <f>SUM(AB31:AB52)</f>
        <v/>
      </c>
      <c r="AC53" s="67">
        <f>SUM(AC31:AC52)</f>
        <v/>
      </c>
      <c r="AD53" s="67">
        <f>SUM(AD31:AD52)</f>
        <v/>
      </c>
      <c r="AE53" s="67">
        <f>SUM(AE31:AE52)</f>
        <v/>
      </c>
      <c r="AF53" s="67">
        <f>SUM(AF31:AF52)</f>
        <v/>
      </c>
      <c r="AG53" s="67" t="n"/>
      <c r="AH53" s="22">
        <f>SUM(AH31:AH52)</f>
        <v/>
      </c>
    </row>
    <row r="54" ht="16.5" customHeight="1" thickBot="1" thickTop="1">
      <c r="A54" s="15" t="inlineStr">
        <is>
          <t>Running Total</t>
        </is>
      </c>
      <c r="B54" s="69">
        <f>B53</f>
        <v/>
      </c>
      <c r="C54" s="69">
        <f>C53+B54</f>
        <v/>
      </c>
      <c r="D54" s="69">
        <f>D53+C54</f>
        <v/>
      </c>
      <c r="E54" s="69">
        <f>E53+D54</f>
        <v/>
      </c>
      <c r="F54" s="69">
        <f>F53+E54</f>
        <v/>
      </c>
      <c r="G54" s="69">
        <f>G53+F54</f>
        <v/>
      </c>
      <c r="H54" s="69">
        <f>H53+G54</f>
        <v/>
      </c>
      <c r="I54" s="69">
        <f>I53+H54</f>
        <v/>
      </c>
      <c r="J54" s="69">
        <f>J53+I54</f>
        <v/>
      </c>
      <c r="K54" s="69">
        <f>K53+J54</f>
        <v/>
      </c>
      <c r="L54" s="69">
        <f>L53+K54</f>
        <v/>
      </c>
      <c r="M54" s="69">
        <f>M53+L54</f>
        <v/>
      </c>
      <c r="N54" s="69">
        <f>N53+M54</f>
        <v/>
      </c>
      <c r="O54" s="69">
        <f>O53+N54</f>
        <v/>
      </c>
      <c r="P54" s="69">
        <f>P53+O54</f>
        <v/>
      </c>
      <c r="Q54" s="69">
        <f>Q53+P54</f>
        <v/>
      </c>
      <c r="R54" s="69">
        <f>R53+Q54</f>
        <v/>
      </c>
      <c r="S54" s="69">
        <f>S53+R54</f>
        <v/>
      </c>
      <c r="T54" s="69">
        <f>T53+S54</f>
        <v/>
      </c>
      <c r="U54" s="69">
        <f>U53+T54</f>
        <v/>
      </c>
      <c r="V54" s="69">
        <f>V53+U54</f>
        <v/>
      </c>
      <c r="W54" s="69">
        <f>W53+V54</f>
        <v/>
      </c>
      <c r="X54" s="69">
        <f>X53+W54</f>
        <v/>
      </c>
      <c r="Y54" s="69">
        <f>Y53+X54</f>
        <v/>
      </c>
      <c r="Z54" s="69">
        <f>Z53+Y54</f>
        <v/>
      </c>
      <c r="AA54" s="69">
        <f>AA53+Z54</f>
        <v/>
      </c>
      <c r="AB54" s="69">
        <f>AB53+AA54</f>
        <v/>
      </c>
      <c r="AC54" s="69">
        <f>AC53+AB54</f>
        <v/>
      </c>
      <c r="AD54" s="69">
        <f>AD53+AC54</f>
        <v/>
      </c>
      <c r="AE54" s="69">
        <f>AE53+AD54</f>
        <v/>
      </c>
      <c r="AF54" s="69">
        <f>AF53+AE54</f>
        <v/>
      </c>
      <c r="AG54" s="69" t="n"/>
    </row>
    <row r="55" ht="15.75" customHeight="1" thickTop="1"/>
    <row r="56">
      <c r="A56" s="96" t="inlineStr">
        <is>
          <t xml:space="preserve">Chasing </t>
        </is>
      </c>
    </row>
    <row r="57">
      <c r="A57" s="15" t="inlineStr">
        <is>
          <t>Birmingham</t>
        </is>
      </c>
      <c r="B57" t="n">
        <v>10361.51</v>
      </c>
    </row>
    <row r="58">
      <c r="A58" s="15" t="inlineStr">
        <is>
          <t>Sandwell</t>
        </is>
      </c>
      <c r="B58">
        <f>81735.2-30000</f>
        <v/>
      </c>
    </row>
    <row r="59">
      <c r="A59" s="15" t="inlineStr">
        <is>
          <t>NHS Black country</t>
        </is>
      </c>
      <c r="B59" t="n">
        <v>3740</v>
      </c>
    </row>
    <row r="60">
      <c r="A60" s="15" t="inlineStr">
        <is>
          <t>NHS Black Country TRUST</t>
        </is>
      </c>
      <c r="B60" t="n">
        <v>8784</v>
      </c>
    </row>
    <row r="61">
      <c r="A61" s="15" t="inlineStr">
        <is>
          <t xml:space="preserve">NHS Birmingham </t>
        </is>
      </c>
      <c r="B61" t="n">
        <v>7442.08</v>
      </c>
    </row>
    <row r="62">
      <c r="A62" s="15" t="inlineStr">
        <is>
          <t>Wolverhampton</t>
        </is>
      </c>
      <c r="B62" s="25" t="n">
        <v>1669.36</v>
      </c>
      <c r="I62" s="25" t="n"/>
    </row>
    <row r="63">
      <c r="A63" s="15" t="inlineStr">
        <is>
          <t>Walsall</t>
        </is>
      </c>
      <c r="B63" t="n">
        <v>14986.08</v>
      </c>
      <c r="I63" s="25" t="n"/>
    </row>
    <row r="64" ht="15.75" customHeight="1" thickBot="1">
      <c r="A64" s="53" t="inlineStr">
        <is>
          <t>Total</t>
        </is>
      </c>
      <c r="B64" s="29">
        <f>SUM(B57:B63)</f>
        <v/>
      </c>
    </row>
    <row r="65" ht="15.75" customHeight="1" thickTop="1"/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/>
  </sheetPr>
  <dimension ref="A3:AL68"/>
  <sheetViews>
    <sheetView topLeftCell="A33" zoomScale="70" zoomScaleNormal="70" workbookViewId="0">
      <pane xSplit="1" topLeftCell="M1" activePane="topRight" state="frozen"/>
      <selection activeCell="I36" sqref="I36"/>
      <selection pane="topRight" activeCell="I36" sqref="I36"/>
    </sheetView>
  </sheetViews>
  <sheetFormatPr baseColWidth="8" defaultRowHeight="15"/>
  <cols>
    <col width="39.140625" bestFit="1" customWidth="1" min="1" max="1"/>
    <col width="13.140625" bestFit="1" customWidth="1" min="2" max="2"/>
    <col width="12.28515625" bestFit="1" customWidth="1" min="3" max="4"/>
    <col width="14.140625" bestFit="1" customWidth="1" min="5" max="5"/>
    <col width="13.42578125" bestFit="1" customWidth="1" min="6" max="6"/>
    <col width="14.140625" bestFit="1" customWidth="1" min="7" max="7"/>
    <col width="13.42578125" bestFit="1" customWidth="1" min="8" max="11"/>
    <col width="14.140625" bestFit="1" customWidth="1" min="12" max="12"/>
    <col width="13.42578125" bestFit="1" customWidth="1" min="13" max="13"/>
    <col width="14.140625" bestFit="1" customWidth="1" min="14" max="14"/>
    <col width="13.42578125" bestFit="1" customWidth="1" min="15" max="18"/>
    <col width="14.140625" bestFit="1" customWidth="1" min="19" max="19"/>
    <col width="13.42578125" bestFit="1" customWidth="1" min="20" max="20"/>
    <col width="14.140625" bestFit="1" customWidth="1" min="21" max="21"/>
    <col width="13.42578125" bestFit="1" customWidth="1" min="22" max="25"/>
    <col width="14.140625" bestFit="1" customWidth="1" min="26" max="26"/>
    <col width="14.5703125" bestFit="1" customWidth="1" min="27" max="32"/>
    <col width="14.5703125" bestFit="1" customWidth="1" min="34" max="34"/>
  </cols>
  <sheetData>
    <row r="1" hidden="1"/>
    <row r="2" hidden="1"/>
    <row r="3" hidden="1">
      <c r="A3" s="1" t="n"/>
      <c r="B3" s="2" t="inlineStr">
        <is>
          <t>Dec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1" t="n"/>
      <c r="AF3" s="1" t="n"/>
      <c r="AG3" s="1" t="n"/>
    </row>
    <row r="4" hidden="1">
      <c r="A4" s="1" t="n"/>
      <c r="B4" s="2" t="inlineStr">
        <is>
          <t>Sunday</t>
        </is>
      </c>
      <c r="C4" s="2" t="inlineStr">
        <is>
          <t>Monday</t>
        </is>
      </c>
      <c r="D4" s="2" t="inlineStr">
        <is>
          <t>Tuesday</t>
        </is>
      </c>
      <c r="E4" s="2" t="inlineStr">
        <is>
          <t>Wednesday</t>
        </is>
      </c>
      <c r="F4" s="2" t="inlineStr">
        <is>
          <t>Thursday</t>
        </is>
      </c>
      <c r="G4" s="2" t="inlineStr">
        <is>
          <t>Friday</t>
        </is>
      </c>
      <c r="H4" s="2" t="inlineStr">
        <is>
          <t>Saturday</t>
        </is>
      </c>
      <c r="I4" s="2" t="inlineStr">
        <is>
          <t>Sunday</t>
        </is>
      </c>
      <c r="J4" s="2" t="inlineStr">
        <is>
          <t>Monday</t>
        </is>
      </c>
      <c r="K4" s="2" t="inlineStr">
        <is>
          <t>Tuesday</t>
        </is>
      </c>
      <c r="L4" s="2" t="inlineStr">
        <is>
          <t>Wednesday</t>
        </is>
      </c>
      <c r="M4" s="2" t="inlineStr">
        <is>
          <t>Thursday</t>
        </is>
      </c>
      <c r="N4" s="2" t="inlineStr">
        <is>
          <t>Friday</t>
        </is>
      </c>
      <c r="O4" s="2" t="inlineStr">
        <is>
          <t>Saturday</t>
        </is>
      </c>
      <c r="P4" s="2" t="inlineStr">
        <is>
          <t>Sunday</t>
        </is>
      </c>
      <c r="Q4" s="2" t="inlineStr">
        <is>
          <t>Monday</t>
        </is>
      </c>
      <c r="R4" s="2" t="inlineStr">
        <is>
          <t>Tuesday</t>
        </is>
      </c>
      <c r="S4" s="2" t="inlineStr">
        <is>
          <t>Wednesday</t>
        </is>
      </c>
      <c r="T4" s="2" t="inlineStr">
        <is>
          <t>Thursday</t>
        </is>
      </c>
      <c r="U4" s="2" t="inlineStr">
        <is>
          <t>Friday</t>
        </is>
      </c>
      <c r="V4" s="2" t="inlineStr">
        <is>
          <t>Saturday</t>
        </is>
      </c>
      <c r="W4" s="2" t="inlineStr">
        <is>
          <t>Sunday</t>
        </is>
      </c>
      <c r="X4" s="2" t="inlineStr">
        <is>
          <t>Monday</t>
        </is>
      </c>
      <c r="Y4" s="2" t="inlineStr">
        <is>
          <t>Tuesday</t>
        </is>
      </c>
      <c r="Z4" s="2" t="inlineStr">
        <is>
          <t>Wednesday</t>
        </is>
      </c>
      <c r="AA4" s="2" t="inlineStr">
        <is>
          <t>Thursday</t>
        </is>
      </c>
      <c r="AB4" s="2" t="inlineStr">
        <is>
          <t>Friday</t>
        </is>
      </c>
      <c r="AC4" s="2" t="inlineStr">
        <is>
          <t>Saturday</t>
        </is>
      </c>
      <c r="AD4" s="2" t="inlineStr">
        <is>
          <t>Sunday</t>
        </is>
      </c>
      <c r="AE4" s="2" t="inlineStr">
        <is>
          <t>Monday</t>
        </is>
      </c>
      <c r="AF4" s="2" t="inlineStr">
        <is>
          <t>Tuesday</t>
        </is>
      </c>
    </row>
    <row r="5" hidden="1">
      <c r="A5" s="1" t="n"/>
      <c r="B5" s="6" t="inlineStr">
        <is>
          <t>1st</t>
        </is>
      </c>
      <c r="C5" s="4" t="inlineStr">
        <is>
          <t>2nd</t>
        </is>
      </c>
      <c r="D5" s="4" t="inlineStr">
        <is>
          <t>3rd</t>
        </is>
      </c>
      <c r="E5" s="4" t="inlineStr">
        <is>
          <t>4th</t>
        </is>
      </c>
      <c r="F5" s="4" t="inlineStr">
        <is>
          <t>5th</t>
        </is>
      </c>
      <c r="G5" s="4" t="inlineStr">
        <is>
          <t>6th</t>
        </is>
      </c>
      <c r="H5" s="4" t="inlineStr">
        <is>
          <t>7th</t>
        </is>
      </c>
      <c r="I5" s="4" t="inlineStr">
        <is>
          <t>8th</t>
        </is>
      </c>
      <c r="J5" s="5" t="inlineStr">
        <is>
          <t>9th</t>
        </is>
      </c>
      <c r="K5" s="5" t="inlineStr">
        <is>
          <t>10th</t>
        </is>
      </c>
      <c r="L5" s="5" t="inlineStr">
        <is>
          <t>11th</t>
        </is>
      </c>
      <c r="M5" s="5" t="inlineStr">
        <is>
          <t>12th</t>
        </is>
      </c>
      <c r="N5" s="5" t="inlineStr">
        <is>
          <t>13th</t>
        </is>
      </c>
      <c r="O5" s="5" t="inlineStr">
        <is>
          <t>14th</t>
        </is>
      </c>
      <c r="P5" s="5" t="inlineStr">
        <is>
          <t>15th</t>
        </is>
      </c>
      <c r="Q5" s="57" t="inlineStr">
        <is>
          <t>16th</t>
        </is>
      </c>
      <c r="R5" s="57" t="inlineStr">
        <is>
          <t>17th</t>
        </is>
      </c>
      <c r="S5" s="57" t="inlineStr">
        <is>
          <t>18th</t>
        </is>
      </c>
      <c r="T5" s="57" t="inlineStr">
        <is>
          <t>19th</t>
        </is>
      </c>
      <c r="U5" s="57" t="inlineStr">
        <is>
          <t>20th</t>
        </is>
      </c>
      <c r="V5" s="57" t="inlineStr">
        <is>
          <t>21st</t>
        </is>
      </c>
      <c r="W5" s="57" t="inlineStr">
        <is>
          <t>22nd</t>
        </is>
      </c>
      <c r="X5" s="7" t="inlineStr">
        <is>
          <t>23rd</t>
        </is>
      </c>
      <c r="Y5" s="7" t="inlineStr">
        <is>
          <t>24th</t>
        </is>
      </c>
      <c r="Z5" s="7" t="inlineStr">
        <is>
          <t>25th</t>
        </is>
      </c>
      <c r="AA5" s="7" t="inlineStr">
        <is>
          <t>26th</t>
        </is>
      </c>
      <c r="AB5" s="7" t="inlineStr">
        <is>
          <t>27th</t>
        </is>
      </c>
      <c r="AC5" s="7" t="inlineStr">
        <is>
          <t>28th</t>
        </is>
      </c>
      <c r="AD5" s="7" t="inlineStr">
        <is>
          <t>29th</t>
        </is>
      </c>
      <c r="AE5" s="6" t="inlineStr">
        <is>
          <t>30th</t>
        </is>
      </c>
      <c r="AF5" s="6" t="inlineStr">
        <is>
          <t>31st</t>
        </is>
      </c>
    </row>
    <row r="6" hidden="1" ht="15.75" customHeight="1">
      <c r="A6" s="8" t="inlineStr">
        <is>
          <t>B-HAM CITY COUNCIL-200790-70489166</t>
        </is>
      </c>
      <c r="B6" s="12" t="n"/>
      <c r="C6" s="12" t="n"/>
      <c r="D6" s="12" t="n"/>
      <c r="E6" s="12" t="n"/>
      <c r="F6" s="12" t="n"/>
      <c r="G6" s="12" t="n"/>
      <c r="H6" s="12" t="n"/>
      <c r="I6" s="12" t="n"/>
      <c r="J6" s="12" t="n">
        <v>62841.32</v>
      </c>
      <c r="K6" s="12" t="n"/>
      <c r="L6" s="12" t="n"/>
      <c r="M6" s="12" t="n"/>
      <c r="N6" s="12" t="n"/>
      <c r="O6" s="12" t="n"/>
      <c r="P6" s="12" t="n"/>
      <c r="Q6" s="12" t="n"/>
      <c r="R6" s="12" t="n"/>
      <c r="S6" s="12" t="n"/>
      <c r="T6" s="12" t="n"/>
      <c r="U6" s="12" t="n"/>
      <c r="V6" s="12" t="n"/>
      <c r="W6" s="12" t="n"/>
      <c r="X6" s="33" t="n"/>
      <c r="Y6" s="33" t="n"/>
      <c r="Z6" s="33" t="n"/>
      <c r="AA6" s="33" t="n"/>
      <c r="AB6" s="33" t="n"/>
      <c r="AC6" s="33" t="n"/>
      <c r="AD6" s="33" t="n"/>
      <c r="AE6" s="33" t="n">
        <v>3721.83</v>
      </c>
      <c r="AF6" s="33" t="n"/>
      <c r="AH6" s="13">
        <f>SUM(B6:AD6)</f>
        <v/>
      </c>
      <c r="AI6" s="99" t="n"/>
      <c r="AL6" s="99" t="n"/>
    </row>
    <row r="7" hidden="1" ht="15.75" customHeight="1">
      <c r="A7" s="8" t="inlineStr">
        <is>
          <t>Buckingham</t>
        </is>
      </c>
      <c r="B7" s="12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12" t="n"/>
      <c r="O7" s="9" t="n"/>
      <c r="P7" s="9" t="n"/>
      <c r="Q7" s="9" t="n"/>
      <c r="R7" s="9" t="n"/>
      <c r="S7" s="9" t="n"/>
      <c r="T7" s="9" t="n"/>
      <c r="U7" s="12" t="n"/>
      <c r="V7" s="9" t="n"/>
      <c r="W7" s="12" t="n"/>
      <c r="X7" s="33" t="n"/>
      <c r="Y7" s="32" t="n"/>
      <c r="Z7" s="33" t="n"/>
      <c r="AA7" s="33" t="n"/>
      <c r="AB7" s="32" t="n"/>
      <c r="AC7" s="33" t="n"/>
      <c r="AD7" s="32" t="n"/>
      <c r="AE7" s="33" t="n"/>
      <c r="AF7" s="33" t="n"/>
      <c r="AH7" s="13">
        <f>SUM(B7:AF7)</f>
        <v/>
      </c>
      <c r="AI7" s="99" t="n"/>
      <c r="AL7" s="99" t="n"/>
    </row>
    <row r="8" hidden="1" ht="15.75" customHeight="1">
      <c r="A8" s="8" t="inlineStr">
        <is>
          <t>Sandwell Respite</t>
        </is>
      </c>
      <c r="B8" s="12" t="n"/>
      <c r="C8" s="9" t="n"/>
      <c r="D8" s="9" t="n"/>
      <c r="E8" s="9" t="n"/>
      <c r="F8" s="9" t="n">
        <v>7000</v>
      </c>
      <c r="G8" s="9" t="n"/>
      <c r="H8" s="108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>
        <v>7000</v>
      </c>
      <c r="U8" s="9" t="n"/>
      <c r="V8" s="9" t="n"/>
      <c r="W8" s="9" t="n"/>
      <c r="X8" s="32" t="n"/>
      <c r="Y8" s="32" t="n"/>
      <c r="Z8" s="33" t="n"/>
      <c r="AA8" s="32" t="n"/>
      <c r="AB8" s="32" t="n"/>
      <c r="AC8" s="33" t="n"/>
      <c r="AD8" s="33" t="n"/>
      <c r="AE8" s="33" t="n"/>
      <c r="AG8" s="32" t="n"/>
      <c r="AH8" s="13">
        <f>SUM(B8:AF8)</f>
        <v/>
      </c>
      <c r="AI8" s="99" t="n"/>
      <c r="AL8" s="99" t="n"/>
    </row>
    <row r="9" hidden="1" ht="15.75" customHeight="1">
      <c r="A9" s="8" t="inlineStr">
        <is>
          <t>Sandwell Daycare</t>
        </is>
      </c>
      <c r="B9" s="12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12" t="n"/>
      <c r="W9" s="9" t="n"/>
      <c r="X9" s="32" t="n"/>
      <c r="Y9" s="32" t="n"/>
      <c r="Z9" s="33" t="n"/>
      <c r="AA9" s="32" t="n"/>
      <c r="AB9" s="32" t="n"/>
      <c r="AC9" s="32" t="n"/>
      <c r="AD9" s="33" t="n"/>
      <c r="AE9" s="33" t="n"/>
      <c r="AG9" s="32" t="n"/>
      <c r="AH9" s="13">
        <f>SUM(B9:AF9)</f>
        <v/>
      </c>
      <c r="AI9" s="99" t="n"/>
      <c r="AL9" s="99" t="n"/>
    </row>
    <row r="10" hidden="1" ht="15.75" customHeight="1">
      <c r="A10" s="8" t="inlineStr">
        <is>
          <t xml:space="preserve">Wolverhampton Respite </t>
        </is>
      </c>
      <c r="B10" s="12" t="n"/>
      <c r="C10" s="9" t="n"/>
      <c r="D10" s="9" t="n"/>
      <c r="E10" s="9" t="n"/>
      <c r="F10" s="9" t="n"/>
      <c r="G10" s="9" t="n"/>
      <c r="H10" s="9" t="n"/>
      <c r="I10" s="12" t="n"/>
      <c r="J10" s="9" t="n"/>
      <c r="K10" s="9" t="n"/>
      <c r="L10" s="12" t="n"/>
      <c r="M10" s="9" t="n"/>
      <c r="N10" s="12" t="n"/>
      <c r="O10" s="12" t="n"/>
      <c r="P10" s="9" t="n"/>
      <c r="Q10" s="9" t="n"/>
      <c r="R10" s="9" t="n"/>
      <c r="S10" s="9" t="n"/>
      <c r="T10" s="9" t="n"/>
      <c r="U10" s="9" t="n"/>
      <c r="V10" s="9" t="n"/>
      <c r="W10" s="9" t="n"/>
      <c r="X10" s="32" t="n"/>
      <c r="Y10" s="32" t="n"/>
      <c r="Z10" s="32" t="n"/>
      <c r="AA10" s="32" t="n"/>
      <c r="AB10" s="32" t="n"/>
      <c r="AC10" s="32" t="n"/>
      <c r="AD10" s="33" t="n"/>
      <c r="AE10" s="33" t="n"/>
      <c r="AG10" s="26" t="n">
        <v>11400</v>
      </c>
      <c r="AH10" s="13">
        <f>SUM(B10:AG10)</f>
        <v/>
      </c>
      <c r="AI10" s="99" t="n"/>
      <c r="AL10" s="99" t="n"/>
    </row>
    <row r="11" hidden="1" ht="15.75" customHeight="1">
      <c r="A11" s="8" t="inlineStr">
        <is>
          <t>Wolverhampton Daycare</t>
        </is>
      </c>
      <c r="B11" s="12" t="n"/>
      <c r="C11" s="9" t="n"/>
      <c r="D11" s="9" t="n"/>
      <c r="E11" s="9" t="n"/>
      <c r="F11" s="9" t="n">
        <v>6000</v>
      </c>
      <c r="G11" s="9" t="n"/>
      <c r="H11" s="9" t="n"/>
      <c r="I11" s="10" t="n"/>
      <c r="J11" s="9" t="n"/>
      <c r="K11" s="9" t="n"/>
      <c r="L11" s="9" t="n"/>
      <c r="M11" s="9" t="n">
        <v>6000</v>
      </c>
      <c r="N11" s="12" t="n"/>
      <c r="O11" s="10" t="n"/>
      <c r="P11" s="9" t="n"/>
      <c r="Q11" s="9" t="n"/>
      <c r="R11" s="9" t="n"/>
      <c r="S11" s="9" t="n"/>
      <c r="T11" s="12" t="n">
        <v>6000</v>
      </c>
      <c r="U11" s="9" t="n"/>
      <c r="V11" s="10" t="n"/>
      <c r="W11" s="9" t="n"/>
      <c r="X11" s="32" t="n"/>
      <c r="Y11" s="32" t="n"/>
      <c r="Z11" s="32" t="n"/>
      <c r="AB11" s="9" t="n">
        <v>6000</v>
      </c>
      <c r="AC11" s="32" t="n"/>
      <c r="AD11" s="33" t="n"/>
      <c r="AE11" s="33" t="n"/>
      <c r="AF11" s="35" t="n"/>
      <c r="AH11" s="13">
        <f>SUM(B11:AF11)</f>
        <v/>
      </c>
      <c r="AI11" s="99" t="n"/>
      <c r="AL11" s="99" t="n"/>
    </row>
    <row r="12" hidden="1" ht="15.75" customHeight="1">
      <c r="A12" s="8" t="inlineStr">
        <is>
          <t>Walsall Respite</t>
        </is>
      </c>
      <c r="B12" s="12" t="n"/>
      <c r="C12" s="9" t="n"/>
      <c r="D12" s="9" t="n"/>
      <c r="E12" s="12" t="n"/>
      <c r="F12" s="12" t="n"/>
      <c r="G12" s="9" t="n"/>
      <c r="H12" s="9" t="n"/>
      <c r="I12" s="9" t="n"/>
      <c r="J12" s="9" t="n"/>
      <c r="K12" s="9" t="n"/>
      <c r="L12" s="9" t="n"/>
      <c r="M12" s="12" t="n"/>
      <c r="N12" s="12" t="n"/>
      <c r="O12" s="9" t="n"/>
      <c r="P12" s="9" t="n"/>
      <c r="Q12" s="9" t="n"/>
      <c r="R12" s="9" t="n">
        <v>18000</v>
      </c>
      <c r="S12" s="12" t="n"/>
      <c r="T12" s="9" t="n"/>
      <c r="U12" s="9" t="n"/>
      <c r="V12" s="9" t="n"/>
      <c r="W12" s="9" t="n"/>
      <c r="X12" s="32" t="n"/>
      <c r="Y12" s="32" t="n"/>
      <c r="Z12" s="32" t="n"/>
      <c r="AA12" s="32" t="n"/>
      <c r="AB12" s="32" t="n"/>
      <c r="AC12" s="32" t="n"/>
      <c r="AD12" s="33" t="n"/>
      <c r="AE12" s="33" t="n"/>
      <c r="AF12" s="33" t="n"/>
      <c r="AH12" s="13">
        <f>SUM(B12:AF12)</f>
        <v/>
      </c>
      <c r="AI12" s="99" t="n"/>
      <c r="AL12" s="99" t="n"/>
    </row>
    <row r="13" hidden="1" ht="15.75" customHeight="1">
      <c r="A13" s="8" t="inlineStr">
        <is>
          <t>Walsall Daycare</t>
        </is>
      </c>
      <c r="B13" s="12" t="n"/>
      <c r="C13" s="9" t="n"/>
      <c r="D13" s="9" t="n"/>
      <c r="E13" s="12" t="n"/>
      <c r="F13" s="12" t="n"/>
      <c r="G13" s="9" t="n"/>
      <c r="H13" s="9" t="n"/>
      <c r="I13" s="9" t="n"/>
      <c r="J13" s="9" t="n"/>
      <c r="K13" s="9" t="n"/>
      <c r="L13" s="9" t="n"/>
      <c r="M13" s="9" t="n"/>
      <c r="N13" s="12" t="n"/>
      <c r="O13" s="9" t="n"/>
      <c r="P13" s="9" t="n"/>
      <c r="Q13" s="9" t="n"/>
      <c r="R13" s="9" t="n"/>
      <c r="S13" s="9" t="n"/>
      <c r="T13" s="12" t="n">
        <v>3040</v>
      </c>
      <c r="U13" s="9" t="n"/>
      <c r="V13" s="9" t="n"/>
      <c r="W13" s="9" t="n"/>
      <c r="X13" s="32" t="n"/>
      <c r="Y13" s="32" t="n"/>
      <c r="Z13" s="32" t="n"/>
      <c r="AA13" s="32" t="n"/>
      <c r="AB13" s="32" t="n"/>
      <c r="AC13" s="32" t="n"/>
      <c r="AD13" s="33" t="n"/>
      <c r="AE13" s="33" t="n"/>
      <c r="AF13" s="32" t="n"/>
      <c r="AH13" s="13">
        <f>SUM(B13:AF13)</f>
        <v/>
      </c>
      <c r="AI13" s="99" t="n"/>
    </row>
    <row r="14" hidden="1" ht="18.75" customHeight="1">
      <c r="A14" s="103" t="inlineStr">
        <is>
          <t>Ideal for All Ltd</t>
        </is>
      </c>
      <c r="B14" s="79" t="n"/>
      <c r="C14" s="79" t="n"/>
      <c r="D14" s="79" t="n"/>
      <c r="E14" s="79" t="n"/>
      <c r="F14" s="80" t="n"/>
      <c r="G14" s="79" t="n"/>
      <c r="H14" s="79" t="n"/>
      <c r="I14" s="79" t="n"/>
      <c r="J14" s="109" t="n"/>
      <c r="K14" s="109" t="n"/>
      <c r="L14" s="80" t="n"/>
      <c r="M14" s="80" t="n"/>
      <c r="N14" s="79" t="n"/>
      <c r="O14" s="80" t="n"/>
      <c r="P14" s="80" t="n"/>
      <c r="Q14" s="80" t="n"/>
      <c r="R14" s="80" t="n"/>
      <c r="S14" s="80" t="n"/>
      <c r="T14" s="80" t="n"/>
      <c r="U14" s="80" t="n"/>
      <c r="V14" s="80" t="n"/>
      <c r="W14" s="79" t="n"/>
      <c r="X14" s="77" t="n"/>
      <c r="Y14" s="77" t="n"/>
      <c r="Z14" s="78" t="n"/>
      <c r="AA14" s="78" t="n"/>
      <c r="AB14" s="77" t="n"/>
      <c r="AC14" s="78" t="n"/>
      <c r="AD14" s="77" t="n"/>
      <c r="AE14" s="78" t="n"/>
      <c r="AF14" s="78" t="n"/>
      <c r="AG14" s="81" t="n"/>
      <c r="AH14" s="13">
        <f>SUM(B14:AF14)</f>
        <v/>
      </c>
      <c r="AI14" s="99" t="n"/>
    </row>
    <row r="15" hidden="1" ht="15.75" customHeight="1">
      <c r="A15" s="8" t="inlineStr">
        <is>
          <t>KIRKLEES COUNCIL-204312-63046958</t>
        </is>
      </c>
      <c r="B15" s="12" t="n"/>
      <c r="C15" s="12" t="n">
        <v>5698.2</v>
      </c>
      <c r="D15" s="9" t="n"/>
      <c r="E15" s="9" t="n"/>
      <c r="F15" s="9" t="n"/>
      <c r="G15" s="9" t="n"/>
      <c r="H15" s="9" t="n"/>
      <c r="I15" s="9" t="n"/>
      <c r="J15" s="12" t="n"/>
      <c r="K15" s="12" t="n"/>
      <c r="L15" s="12" t="n"/>
      <c r="M15" s="12" t="n"/>
      <c r="N15" s="12" t="n"/>
      <c r="O15" s="9" t="n"/>
      <c r="P15" s="12" t="n"/>
      <c r="Q15" s="9" t="n"/>
      <c r="R15" s="12" t="n"/>
      <c r="S15" s="12" t="n"/>
      <c r="T15" s="9" t="n"/>
      <c r="U15" s="9" t="n"/>
      <c r="V15" s="9" t="n"/>
      <c r="W15" s="9" t="n"/>
      <c r="X15" s="32" t="n"/>
      <c r="Y15" s="32" t="n"/>
      <c r="Z15" s="33" t="n"/>
      <c r="AA15" s="32" t="n"/>
      <c r="AB15" s="32" t="n"/>
      <c r="AC15" s="33" t="n"/>
      <c r="AD15" s="33" t="n"/>
      <c r="AE15" s="33" t="n"/>
      <c r="AF15" s="33" t="n"/>
      <c r="AH15" s="13">
        <f>SUM(B15:AF15)</f>
        <v/>
      </c>
      <c r="AI15" s="99" t="n"/>
    </row>
    <row r="16" hidden="1" ht="15.75" customHeight="1">
      <c r="A16" s="8" t="inlineStr">
        <is>
          <t>LBH PAYMENTS BACS-602210-72430192</t>
        </is>
      </c>
      <c r="B16" s="12" t="n"/>
      <c r="C16" s="9" t="n"/>
      <c r="D16" s="12" t="n"/>
      <c r="E16" s="12" t="n"/>
      <c r="F16" s="12" t="n"/>
      <c r="G16" s="12" t="n"/>
      <c r="H16" s="12" t="n"/>
      <c r="I16" s="9" t="n"/>
      <c r="J16" s="9" t="n"/>
      <c r="K16" s="9" t="n"/>
      <c r="L16" s="12" t="n"/>
      <c r="M16" s="12" t="n"/>
      <c r="N16" s="12" t="n"/>
      <c r="O16" s="12" t="n"/>
      <c r="P16" s="12" t="n"/>
      <c r="Q16" s="9" t="n"/>
      <c r="R16" s="9" t="n"/>
      <c r="S16" s="9" t="n"/>
      <c r="T16" s="9" t="n"/>
      <c r="U16" s="9" t="n"/>
      <c r="V16" s="12" t="n"/>
      <c r="W16" s="9" t="n"/>
      <c r="X16" s="32" t="n"/>
      <c r="Y16" s="32" t="n"/>
      <c r="Z16" s="32" t="n"/>
      <c r="AA16" s="32" t="n"/>
      <c r="AB16" s="33" t="n">
        <v>5203.8</v>
      </c>
      <c r="AC16" s="33" t="n"/>
      <c r="AD16" s="33" t="n"/>
      <c r="AE16" s="33" t="n"/>
      <c r="AF16" s="33" t="n"/>
      <c r="AH16" s="13">
        <f>SUM(B16:W16)</f>
        <v/>
      </c>
      <c r="AI16" s="99" t="n"/>
    </row>
    <row r="17" hidden="1" ht="15.75" customHeight="1">
      <c r="A17" s="8" t="inlineStr">
        <is>
          <t>NHS BIRMINGHAM &amp; S-607080-10017097</t>
        </is>
      </c>
      <c r="B17" s="12" t="n"/>
      <c r="C17" s="12" t="n"/>
      <c r="D17" s="12" t="n"/>
      <c r="E17" s="9" t="n"/>
      <c r="F17" s="12" t="n"/>
      <c r="G17" s="9" t="n"/>
      <c r="H17" s="12" t="n"/>
      <c r="I17" s="9" t="n"/>
      <c r="J17" s="12" t="n"/>
      <c r="K17" s="12" t="n"/>
      <c r="L17" s="12" t="n"/>
      <c r="M17" s="12" t="n"/>
      <c r="N17" s="12" t="n">
        <v>7442.08</v>
      </c>
      <c r="O17" s="9" t="n"/>
      <c r="P17" s="9" t="n"/>
      <c r="Q17" s="9" t="n"/>
      <c r="R17" s="12" t="n"/>
      <c r="S17" s="12" t="n"/>
      <c r="T17" s="9" t="n"/>
      <c r="U17" s="9" t="n"/>
      <c r="V17" s="9" t="n"/>
      <c r="W17" s="12" t="n"/>
      <c r="X17" s="32" t="n"/>
      <c r="Y17" s="32" t="n"/>
      <c r="Z17" s="32" t="n"/>
      <c r="AA17" s="32" t="n"/>
      <c r="AB17" s="32" t="n"/>
      <c r="AC17" s="32" t="n"/>
      <c r="AD17" s="32" t="n"/>
      <c r="AE17" s="33" t="n"/>
      <c r="AF17" s="33" t="n"/>
      <c r="AH17" s="13">
        <f>SUM(B17:W17)</f>
        <v/>
      </c>
      <c r="AI17" s="99" t="n"/>
    </row>
    <row r="18" hidden="1" ht="15.75" customHeight="1">
      <c r="A18" s="8" t="inlineStr">
        <is>
          <t>NHS BLACK COUNTRY-607080-10015272</t>
        </is>
      </c>
      <c r="B18" s="12" t="n"/>
      <c r="C18" s="12" t="n"/>
      <c r="D18" s="12" t="n"/>
      <c r="E18" s="12" t="n"/>
      <c r="F18" s="12" t="n"/>
      <c r="G18" s="12" t="n"/>
      <c r="H18" s="12" t="n"/>
      <c r="I18" s="12" t="n"/>
      <c r="J18" s="12" t="n"/>
      <c r="K18" s="12" t="n"/>
      <c r="L18" s="12" t="n">
        <v>17364.38</v>
      </c>
      <c r="M18" s="12" t="n"/>
      <c r="N18" s="12" t="n"/>
      <c r="O18" s="9" t="n"/>
      <c r="P18" s="12" t="n"/>
      <c r="Q18" s="12" t="n"/>
      <c r="R18" s="12" t="n">
        <v>1100</v>
      </c>
      <c r="S18" s="12" t="n"/>
      <c r="T18" s="9" t="n"/>
      <c r="U18" s="9" t="n"/>
      <c r="V18" s="9" t="n"/>
      <c r="W18" s="9" t="n"/>
      <c r="X18" s="33" t="n">
        <v>4832.16</v>
      </c>
      <c r="Y18" s="32" t="n"/>
      <c r="Z18" s="33" t="n"/>
      <c r="AA18" s="33" t="n">
        <v>5458.75</v>
      </c>
      <c r="AB18" s="33" t="n"/>
      <c r="AC18" s="33" t="n"/>
      <c r="AD18" s="33" t="n"/>
      <c r="AE18" s="33" t="n"/>
      <c r="AF18" s="33" t="n"/>
      <c r="AH18" s="13">
        <f>SUM(B18:W18)</f>
        <v/>
      </c>
      <c r="AI18" s="99" t="n"/>
    </row>
    <row r="19" hidden="1" ht="15.75" customHeight="1">
      <c r="A19" s="14" t="inlineStr">
        <is>
          <t>SANDWELL MBC  BEN-601539-69624151</t>
        </is>
      </c>
      <c r="B19" s="12" t="n"/>
      <c r="C19" s="9" t="n"/>
      <c r="D19" s="12" t="n"/>
      <c r="E19" s="9" t="n"/>
      <c r="F19" s="9" t="n"/>
      <c r="G19" s="12" t="n"/>
      <c r="H19" s="12" t="n"/>
      <c r="I19" s="9" t="n"/>
      <c r="J19" s="12" t="n">
        <v>2660</v>
      </c>
      <c r="K19" s="12" t="n"/>
      <c r="L19" s="12" t="n"/>
      <c r="M19" s="12" t="n"/>
      <c r="N19" s="9" t="n"/>
      <c r="O19" s="9" t="n"/>
      <c r="P19" s="9" t="n"/>
      <c r="Q19" s="12" t="n"/>
      <c r="R19" s="9" t="n"/>
      <c r="S19" s="9" t="n"/>
      <c r="T19" s="9" t="n"/>
      <c r="U19" s="12" t="n"/>
      <c r="V19" s="9" t="n"/>
      <c r="W19" s="9" t="n"/>
      <c r="X19" s="32" t="n"/>
      <c r="Y19" s="33" t="n"/>
      <c r="Z19" s="33" t="n"/>
      <c r="AA19" s="33" t="n"/>
      <c r="AB19" s="33" t="n"/>
      <c r="AC19" s="33" t="n"/>
      <c r="AD19" s="33" t="n"/>
      <c r="AE19" s="33" t="n"/>
      <c r="AF19" s="33" t="n"/>
      <c r="AH19" s="13">
        <f>SUM(B19:AF19)</f>
        <v/>
      </c>
      <c r="AI19" s="99" t="n"/>
    </row>
    <row r="20" hidden="1" ht="15.75" customHeight="1">
      <c r="A20" s="14" t="inlineStr">
        <is>
          <t>SANDWELL MBC-601539-69624135</t>
        </is>
      </c>
      <c r="B20" s="9" t="n"/>
      <c r="C20" s="9" t="n"/>
      <c r="D20" s="9" t="n"/>
      <c r="E20" s="9" t="n"/>
      <c r="F20" s="108" t="n">
        <v>122274.88</v>
      </c>
      <c r="G20" s="9" t="n"/>
      <c r="H20" s="9" t="n"/>
      <c r="I20" s="9" t="n"/>
      <c r="J20" s="9" t="n"/>
      <c r="K20" s="9" t="n"/>
      <c r="L20" s="12" t="n"/>
      <c r="M20" s="9" t="n"/>
      <c r="N20" s="9" t="n"/>
      <c r="O20" s="12" t="n"/>
      <c r="P20" s="12" t="n"/>
      <c r="Q20" s="12" t="n"/>
      <c r="R20" s="12" t="n"/>
      <c r="S20" s="12" t="n"/>
      <c r="T20" s="108" t="n">
        <v>122274.88</v>
      </c>
      <c r="U20" s="9" t="n"/>
      <c r="V20" s="9" t="n"/>
      <c r="W20" s="12" t="n"/>
      <c r="X20" s="32" t="n"/>
      <c r="Y20" s="106" t="n"/>
      <c r="Z20" s="107" t="n"/>
      <c r="AA20" s="32" t="n"/>
      <c r="AB20" s="33" t="n"/>
      <c r="AC20" s="33" t="n"/>
      <c r="AD20" s="33" t="n"/>
      <c r="AE20" s="33" t="n"/>
      <c r="AF20" s="33" t="n"/>
      <c r="AH20" s="13">
        <f>SUM(B20:AF20)</f>
        <v/>
      </c>
      <c r="AI20" s="99" t="n"/>
    </row>
    <row r="21" hidden="1" ht="15.75" customHeight="1">
      <c r="A21" s="15" t="inlineStr">
        <is>
          <t>SOLIHULL MBC EXP.-200771-00561525</t>
        </is>
      </c>
      <c r="B21" s="12" t="n"/>
      <c r="C21" s="12" t="n">
        <v>32010.44</v>
      </c>
      <c r="D21" s="12" t="n"/>
      <c r="E21" s="12" t="n"/>
      <c r="F21" s="12" t="n"/>
      <c r="G21" s="12" t="n"/>
      <c r="H21" s="12" t="n"/>
      <c r="I21" s="9" t="n"/>
      <c r="J21" s="12" t="n"/>
      <c r="K21" s="12" t="n"/>
      <c r="L21" s="12" t="n"/>
      <c r="M21" s="12" t="n"/>
      <c r="N21" s="12" t="n"/>
      <c r="O21" s="12" t="n"/>
      <c r="P21" s="12" t="n"/>
      <c r="Q21" s="12" t="n"/>
      <c r="R21" s="12" t="n"/>
      <c r="S21" s="12" t="n"/>
      <c r="T21" s="12" t="n"/>
      <c r="U21" s="12" t="n"/>
      <c r="V21" s="12" t="n"/>
      <c r="W21" s="12" t="n"/>
      <c r="X21" s="33" t="n"/>
      <c r="Y21" s="33" t="n"/>
      <c r="Z21" s="33" t="n"/>
      <c r="AA21" s="33" t="n"/>
      <c r="AB21" s="33" t="n"/>
      <c r="AC21" s="33" t="n"/>
      <c r="AD21" s="33" t="n"/>
      <c r="AE21" s="33" t="n"/>
      <c r="AF21" s="33" t="n"/>
      <c r="AH21" s="13">
        <f>SUM(B21:AF21)</f>
        <v/>
      </c>
      <c r="AI21" s="99" t="n"/>
    </row>
    <row r="22" hidden="1" ht="15.75" customHeight="1">
      <c r="A22" s="15" t="inlineStr">
        <is>
          <t>WALSALL MBC BARC-209073-10731692</t>
        </is>
      </c>
      <c r="B22" s="9" t="n"/>
      <c r="C22" s="12" t="n"/>
      <c r="D22" s="12" t="n"/>
      <c r="E22" s="12" t="n"/>
      <c r="F22" s="12" t="n"/>
      <c r="G22" s="12" t="n"/>
      <c r="H22" s="12" t="n"/>
      <c r="I22" s="9" t="n"/>
      <c r="J22" s="12" t="n"/>
      <c r="K22" s="12" t="n"/>
      <c r="L22" s="12" t="n"/>
      <c r="M22" s="12" t="n"/>
      <c r="N22" s="12" t="n"/>
      <c r="O22" s="12" t="n"/>
      <c r="P22" s="12" t="n"/>
      <c r="Q22" s="12" t="n"/>
      <c r="R22" s="12" t="n">
        <v>203477.11</v>
      </c>
      <c r="S22" s="12" t="n"/>
      <c r="T22" s="12" t="n"/>
      <c r="U22" s="12" t="n"/>
      <c r="V22" s="12" t="n"/>
      <c r="W22" s="9" t="n"/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H22" s="13">
        <f>SUM(B22:AF22)</f>
        <v/>
      </c>
      <c r="AI22" s="99" t="n"/>
    </row>
    <row r="23" hidden="1" ht="15.75" customHeight="1">
      <c r="A23" s="15" t="inlineStr">
        <is>
          <t>WOLVERHAMPTON CC-560069-44470320</t>
        </is>
      </c>
      <c r="B23" s="12" t="n"/>
      <c r="C23" s="12" t="n"/>
      <c r="D23" s="9" t="n"/>
      <c r="E23" s="12" t="n"/>
      <c r="F23" s="9" t="n">
        <v>110419.76</v>
      </c>
      <c r="G23" s="12" t="n"/>
      <c r="H23" s="9" t="n"/>
      <c r="I23" s="9" t="n"/>
      <c r="J23" s="12" t="n"/>
      <c r="K23" s="9" t="n"/>
      <c r="L23" s="12" t="n"/>
      <c r="M23" s="9" t="n">
        <v>110419.76</v>
      </c>
      <c r="N23" s="12" t="n"/>
      <c r="O23" s="12" t="n"/>
      <c r="P23" s="12" t="n"/>
      <c r="Q23" s="12" t="n"/>
      <c r="R23" s="9" t="n"/>
      <c r="S23" s="12" t="n"/>
      <c r="T23" s="9" t="n">
        <v>110419.76</v>
      </c>
      <c r="U23" s="12" t="n"/>
      <c r="V23" s="12" t="n"/>
      <c r="W23" s="12" t="n"/>
      <c r="X23" s="33" t="n"/>
      <c r="Y23" s="35" t="n"/>
      <c r="Z23" s="33" t="n"/>
      <c r="AB23" s="9" t="n">
        <v>110419.76</v>
      </c>
      <c r="AC23" s="33" t="n"/>
      <c r="AD23" s="33" t="n"/>
      <c r="AE23" s="33" t="n"/>
      <c r="AF23" s="32" t="n"/>
      <c r="AH23" s="13">
        <f>SUM(B23:AF23)</f>
        <v/>
      </c>
      <c r="AI23" s="99" t="n"/>
    </row>
    <row r="24" hidden="1" ht="15.75" customHeight="1">
      <c r="A24" s="105" t="inlineStr">
        <is>
          <t>Portsmouth</t>
        </is>
      </c>
      <c r="B24" s="79" t="n"/>
      <c r="C24" s="79" t="n"/>
      <c r="D24" s="79" t="n"/>
      <c r="E24" s="79" t="n"/>
      <c r="F24" s="79" t="n"/>
      <c r="G24" s="79" t="n"/>
      <c r="H24" s="79" t="n"/>
      <c r="I24" s="80" t="n"/>
      <c r="J24" s="79" t="n"/>
      <c r="K24" s="79" t="n"/>
      <c r="L24" s="79" t="n"/>
      <c r="M24" s="79" t="n"/>
      <c r="N24" s="79" t="n"/>
      <c r="O24" s="79" t="n"/>
      <c r="P24" s="79" t="n"/>
      <c r="Q24" s="79" t="n"/>
      <c r="R24" s="79" t="n"/>
      <c r="S24" s="79" t="n"/>
      <c r="T24" s="79" t="n"/>
      <c r="U24" s="79" t="n"/>
      <c r="V24" s="79" t="n"/>
      <c r="W24" s="79" t="n"/>
      <c r="X24" s="78" t="n"/>
      <c r="Y24" s="78" t="n"/>
      <c r="Z24" s="78" t="n"/>
      <c r="AA24" s="78" t="n"/>
      <c r="AB24" s="78" t="n"/>
      <c r="AC24" s="78" t="n"/>
      <c r="AD24" s="77" t="n"/>
      <c r="AE24" s="78" t="n"/>
      <c r="AF24" s="78" t="n"/>
      <c r="AG24" s="81" t="n"/>
      <c r="AH24" s="13">
        <f>SUM(B24:AF24)</f>
        <v/>
      </c>
      <c r="AI24" s="99" t="n"/>
    </row>
    <row r="25" hidden="1" ht="15.75" customHeight="1">
      <c r="A25" s="15" t="inlineStr">
        <is>
          <t>People Plus</t>
        </is>
      </c>
      <c r="B25" s="9" t="n"/>
      <c r="C25" s="12" t="n"/>
      <c r="D25" s="12" t="n"/>
      <c r="E25" s="12" t="n"/>
      <c r="F25" s="12" t="n"/>
      <c r="G25" s="12" t="n"/>
      <c r="H25" s="12" t="n"/>
      <c r="I25" s="9" t="n"/>
      <c r="J25" s="12" t="n"/>
      <c r="K25" s="12" t="n"/>
      <c r="L25" s="12" t="n"/>
      <c r="M25" s="12" t="n"/>
      <c r="N25" s="12" t="n"/>
      <c r="O25" s="12" t="n"/>
      <c r="P25" s="12" t="n"/>
      <c r="Q25" s="12" t="n"/>
      <c r="R25" s="12" t="n"/>
      <c r="S25" s="12" t="n"/>
      <c r="T25" s="12" t="n"/>
      <c r="U25" s="12" t="n">
        <v>6067.6</v>
      </c>
      <c r="V25" s="12" t="n"/>
      <c r="W25" s="12" t="n"/>
      <c r="X25" s="33" t="n"/>
      <c r="Y25" s="33" t="n"/>
      <c r="Z25" s="33" t="n"/>
      <c r="AA25" s="33" t="n"/>
      <c r="AB25" s="33" t="n"/>
      <c r="AC25" s="33" t="n"/>
      <c r="AD25" s="32" t="n"/>
      <c r="AE25" s="33" t="n"/>
      <c r="AF25" s="33" t="n"/>
      <c r="AH25" s="13">
        <f>SUM(B25:AF25)</f>
        <v/>
      </c>
      <c r="AI25" s="99" t="n"/>
    </row>
    <row r="26" hidden="1" ht="15.75" customHeight="1">
      <c r="A26" s="15" t="inlineStr">
        <is>
          <t xml:space="preserve">Middlesbrough council </t>
        </is>
      </c>
      <c r="B26" s="9" t="n"/>
      <c r="C26" s="12" t="n"/>
      <c r="D26" s="12" t="n"/>
      <c r="E26" s="12" t="n"/>
      <c r="F26" s="12" t="n"/>
      <c r="G26" s="12" t="n"/>
      <c r="H26" s="12" t="n"/>
      <c r="I26" s="9" t="n"/>
      <c r="J26" s="12" t="n"/>
      <c r="K26" s="12" t="n"/>
      <c r="L26" s="12" t="n"/>
      <c r="M26" s="12" t="n"/>
      <c r="N26" s="12" t="n"/>
      <c r="O26" s="12" t="n"/>
      <c r="P26" s="12" t="n"/>
      <c r="Q26" s="12" t="n">
        <v>10296</v>
      </c>
      <c r="R26" s="12" t="n"/>
      <c r="S26" s="12" t="n"/>
      <c r="T26" s="12" t="n"/>
      <c r="U26" s="12" t="n"/>
      <c r="V26" s="12" t="n"/>
      <c r="W26" s="12" t="n"/>
      <c r="X26" s="33" t="n"/>
      <c r="Y26" s="33" t="n"/>
      <c r="Z26" s="33" t="n"/>
      <c r="AA26" s="33" t="n"/>
      <c r="AB26" s="33" t="n"/>
      <c r="AC26" s="33" t="n"/>
      <c r="AD26" s="32" t="n"/>
      <c r="AE26" s="33" t="n"/>
      <c r="AF26" s="33" t="n"/>
      <c r="AH26" s="13">
        <f>SUM(B26:AF26)</f>
        <v/>
      </c>
      <c r="AI26" s="99" t="n"/>
    </row>
    <row r="27" hidden="1" ht="15.75" customHeight="1">
      <c r="A27" s="15" t="inlineStr">
        <is>
          <t>CHASING</t>
        </is>
      </c>
      <c r="B27" s="12" t="n"/>
      <c r="C27" s="12" t="n"/>
      <c r="D27" s="12" t="n"/>
      <c r="E27" s="12" t="n"/>
      <c r="F27" s="12" t="n"/>
      <c r="G27" s="12" t="n"/>
      <c r="H27" s="12" t="n"/>
      <c r="I27" s="12" t="n"/>
      <c r="J27" s="12" t="n"/>
      <c r="K27" s="12" t="n"/>
      <c r="L27" s="12" t="n"/>
      <c r="M27" s="12" t="n"/>
      <c r="N27" s="12" t="n"/>
      <c r="O27" s="12" t="n"/>
      <c r="P27" s="12" t="n"/>
      <c r="Q27" s="12" t="n"/>
      <c r="R27" s="12" t="n">
        <v>4404.96</v>
      </c>
      <c r="S27" s="12" t="n"/>
      <c r="T27" s="12" t="n"/>
      <c r="U27" s="12" t="n"/>
      <c r="V27" s="12" t="n"/>
      <c r="W27" s="12" t="n"/>
      <c r="X27" s="12" t="n">
        <v>11712</v>
      </c>
      <c r="Y27" s="33" t="n"/>
      <c r="Z27" s="33" t="n"/>
      <c r="AA27" s="33" t="n"/>
      <c r="AB27" s="33" t="n"/>
      <c r="AC27" s="33" t="n"/>
      <c r="AD27" s="33" t="n"/>
      <c r="AE27" s="33" t="n"/>
      <c r="AF27" s="33" t="n"/>
      <c r="AG27" s="12" t="n">
        <v>24000</v>
      </c>
      <c r="AH27" s="13">
        <f>SUM(B27:AG27)</f>
        <v/>
      </c>
      <c r="AI27" s="99" t="n"/>
    </row>
    <row r="28" hidden="1" ht="15.75" customHeight="1">
      <c r="A28" s="15" t="inlineStr">
        <is>
          <t>HB SC</t>
        </is>
      </c>
      <c r="B28" s="12" t="n">
        <v>3300</v>
      </c>
      <c r="C28" s="12" t="n">
        <v>3300</v>
      </c>
      <c r="D28" s="12" t="n">
        <v>3300</v>
      </c>
      <c r="E28" s="12" t="n">
        <v>3300</v>
      </c>
      <c r="F28" s="12" t="n">
        <v>3300</v>
      </c>
      <c r="G28" s="12" t="n">
        <v>3300</v>
      </c>
      <c r="H28" s="12" t="n">
        <v>3300</v>
      </c>
      <c r="I28" s="12" t="n">
        <v>3300</v>
      </c>
      <c r="J28" s="12" t="n">
        <v>3300</v>
      </c>
      <c r="K28" s="12" t="n">
        <v>3300</v>
      </c>
      <c r="L28" s="12" t="n">
        <v>3300</v>
      </c>
      <c r="M28" s="12" t="n">
        <v>3300</v>
      </c>
      <c r="N28" s="12" t="n">
        <v>3300</v>
      </c>
      <c r="O28" s="12" t="n">
        <v>3300</v>
      </c>
      <c r="P28" s="12" t="n">
        <v>3300</v>
      </c>
      <c r="Q28" s="12" t="n">
        <v>3300</v>
      </c>
      <c r="R28" s="12" t="n">
        <v>3300</v>
      </c>
      <c r="S28" s="12" t="n">
        <v>3300</v>
      </c>
      <c r="T28" s="12" t="n">
        <v>3300</v>
      </c>
      <c r="U28" s="12" t="n">
        <v>3300</v>
      </c>
      <c r="V28" s="12" t="n">
        <v>3300</v>
      </c>
      <c r="W28" s="12" t="n">
        <v>3300</v>
      </c>
      <c r="X28" s="33" t="n">
        <v>3300</v>
      </c>
      <c r="Y28" s="33" t="n">
        <v>3300</v>
      </c>
      <c r="Z28" s="33" t="n">
        <v>3300</v>
      </c>
      <c r="AA28" s="33" t="n">
        <v>3300</v>
      </c>
      <c r="AB28" s="33" t="n">
        <v>3300</v>
      </c>
      <c r="AC28" s="33" t="n">
        <v>3300</v>
      </c>
      <c r="AD28" s="33" t="n">
        <v>3300</v>
      </c>
      <c r="AE28" s="33" t="n">
        <v>3300</v>
      </c>
      <c r="AF28" s="33" t="n">
        <v>3300</v>
      </c>
      <c r="AH28" s="13">
        <f>SUM(B28:W28)</f>
        <v/>
      </c>
      <c r="AI28" s="99" t="n"/>
    </row>
    <row r="29" hidden="1" ht="16.5" customHeight="1" thickBot="1">
      <c r="A29" s="15" t="inlineStr">
        <is>
          <t xml:space="preserve">Total </t>
        </is>
      </c>
      <c r="B29" s="67">
        <f>SUM(B6:B28)</f>
        <v/>
      </c>
      <c r="C29" s="67">
        <f>SUM(C6:C28)</f>
        <v/>
      </c>
      <c r="D29" s="67">
        <f>SUM(D6:D28)</f>
        <v/>
      </c>
      <c r="E29" s="67">
        <f>SUM(E6:E28)</f>
        <v/>
      </c>
      <c r="F29" s="67">
        <f>SUM(F6:F28)</f>
        <v/>
      </c>
      <c r="G29" s="67">
        <f>SUM(G6:G28)</f>
        <v/>
      </c>
      <c r="H29" s="67">
        <f>SUM(H6:H28)</f>
        <v/>
      </c>
      <c r="I29" s="67">
        <f>SUM(I6:I28)</f>
        <v/>
      </c>
      <c r="J29" s="67">
        <f>SUM(J6:J28)</f>
        <v/>
      </c>
      <c r="K29" s="67">
        <f>SUM(K6:K28)</f>
        <v/>
      </c>
      <c r="L29" s="67">
        <f>SUM(L6:L28)</f>
        <v/>
      </c>
      <c r="M29" s="67">
        <f>SUM(M6:M28)</f>
        <v/>
      </c>
      <c r="N29" s="67">
        <f>SUM(N6:N28)</f>
        <v/>
      </c>
      <c r="O29" s="67">
        <f>SUM(O6:O28)</f>
        <v/>
      </c>
      <c r="P29" s="67">
        <f>SUM(P6:P28)</f>
        <v/>
      </c>
      <c r="Q29" s="67">
        <f>SUM(Q6:Q28)</f>
        <v/>
      </c>
      <c r="R29" s="67">
        <f>SUM(R6:R28)</f>
        <v/>
      </c>
      <c r="S29" s="67">
        <f>SUM(S6:S28)</f>
        <v/>
      </c>
      <c r="T29" s="67">
        <f>SUM(T6:T28)</f>
        <v/>
      </c>
      <c r="U29" s="67">
        <f>SUM(U6:U28)</f>
        <v/>
      </c>
      <c r="V29" s="67">
        <f>SUM(V6:V28)</f>
        <v/>
      </c>
      <c r="W29" s="67">
        <f>SUM(W6:W28)</f>
        <v/>
      </c>
      <c r="X29" s="67">
        <f>SUM(X6:X28)</f>
        <v/>
      </c>
      <c r="Y29" s="67">
        <f>SUM(Y6:Y28)</f>
        <v/>
      </c>
      <c r="Z29" s="67">
        <f>SUM(Z6:Z28)</f>
        <v/>
      </c>
      <c r="AA29" s="67">
        <f>SUM(AA6:AA28)</f>
        <v/>
      </c>
      <c r="AB29" s="67">
        <f>SUM(AB6:AB28)</f>
        <v/>
      </c>
      <c r="AC29" s="67">
        <f>SUM(AC6:AC28)</f>
        <v/>
      </c>
      <c r="AD29" s="67">
        <f>SUM(AD6:AD28)</f>
        <v/>
      </c>
      <c r="AE29" s="67">
        <f>SUM(AE6:AE28)</f>
        <v/>
      </c>
      <c r="AF29" s="67">
        <f>SUM(AF6:AF28)</f>
        <v/>
      </c>
      <c r="AG29" s="67" t="n"/>
      <c r="AH29" s="22">
        <f>SUM(AH6:AH28)</f>
        <v/>
      </c>
    </row>
    <row r="30" hidden="1" ht="16.5" customHeight="1" thickBot="1" thickTop="1">
      <c r="A30" s="15" t="inlineStr">
        <is>
          <t>Running Total</t>
        </is>
      </c>
      <c r="B30" s="69">
        <f>B29</f>
        <v/>
      </c>
      <c r="C30" s="69">
        <f>C29+B30</f>
        <v/>
      </c>
      <c r="D30" s="69">
        <f>D29+C30</f>
        <v/>
      </c>
      <c r="E30" s="69">
        <f>E29+D30</f>
        <v/>
      </c>
      <c r="F30" s="69">
        <f>F29+E30</f>
        <v/>
      </c>
      <c r="G30" s="69">
        <f>G29+F30</f>
        <v/>
      </c>
      <c r="H30" s="69">
        <f>H29+G30</f>
        <v/>
      </c>
      <c r="I30" s="69">
        <f>I29+H30</f>
        <v/>
      </c>
      <c r="J30" s="69">
        <f>J29+I30</f>
        <v/>
      </c>
      <c r="K30" s="69">
        <f>K29+J30</f>
        <v/>
      </c>
      <c r="L30" s="69">
        <f>L29+K30</f>
        <v/>
      </c>
      <c r="M30" s="69">
        <f>M29+L30</f>
        <v/>
      </c>
      <c r="N30" s="69">
        <f>N29+M30</f>
        <v/>
      </c>
      <c r="O30" s="69">
        <f>O29+N30</f>
        <v/>
      </c>
      <c r="P30" s="69">
        <f>P29+O30</f>
        <v/>
      </c>
      <c r="Q30" s="69">
        <f>Q29+P30</f>
        <v/>
      </c>
      <c r="R30" s="69">
        <f>R29+Q30</f>
        <v/>
      </c>
      <c r="S30" s="69">
        <f>S29+R30</f>
        <v/>
      </c>
      <c r="T30" s="69">
        <f>T29+S30</f>
        <v/>
      </c>
      <c r="U30" s="69">
        <f>U29+T30</f>
        <v/>
      </c>
      <c r="V30" s="69">
        <f>V29+U30</f>
        <v/>
      </c>
      <c r="W30" s="69">
        <f>W29+V30</f>
        <v/>
      </c>
      <c r="X30" s="69">
        <f>X29+W30</f>
        <v/>
      </c>
      <c r="Y30" s="69">
        <f>Y29+X30</f>
        <v/>
      </c>
      <c r="Z30" s="69">
        <f>Z29+Y30</f>
        <v/>
      </c>
      <c r="AA30" s="69">
        <f>AA29+Z30</f>
        <v/>
      </c>
      <c r="AB30" s="69">
        <f>AB29+AA30</f>
        <v/>
      </c>
      <c r="AC30" s="69">
        <f>AC29+AB30</f>
        <v/>
      </c>
      <c r="AD30" s="69">
        <f>AD29+AC30</f>
        <v/>
      </c>
      <c r="AE30" s="69">
        <f>AE29+AD30</f>
        <v/>
      </c>
      <c r="AF30" s="69">
        <f>AF29+AE30</f>
        <v/>
      </c>
      <c r="AG30" s="69" t="n"/>
    </row>
    <row r="31" hidden="1"/>
    <row r="32" hidden="1">
      <c r="A32" s="1" t="n"/>
      <c r="B32" s="2" t="inlineStr">
        <is>
          <t>Dec</t>
        </is>
      </c>
      <c r="C32" s="2" t="n"/>
      <c r="D32" s="2" t="n"/>
      <c r="E32" s="2" t="n"/>
      <c r="F32" s="2" t="n"/>
      <c r="G32" s="2" t="n"/>
      <c r="H32" s="2" t="n"/>
      <c r="I32" s="2" t="n"/>
      <c r="J32" s="2" t="n"/>
      <c r="K32" s="2" t="n"/>
      <c r="L32" s="2" t="n"/>
      <c r="M32" s="2" t="n"/>
      <c r="N32" s="2" t="n"/>
      <c r="O32" s="2" t="n"/>
      <c r="P32" s="2" t="n"/>
      <c r="Q32" s="2" t="n"/>
      <c r="R32" s="2" t="n"/>
      <c r="S32" s="2" t="n"/>
      <c r="T32" s="2" t="n"/>
      <c r="U32" s="2" t="n"/>
      <c r="V32" s="2" t="n"/>
      <c r="W32" s="2" t="n"/>
      <c r="X32" s="2" t="n"/>
      <c r="Y32" s="2" t="n"/>
      <c r="Z32" s="2" t="n"/>
      <c r="AA32" s="2" t="n"/>
      <c r="AB32" s="2" t="n"/>
      <c r="AC32" s="2" t="n"/>
      <c r="AD32" s="2" t="n"/>
      <c r="AE32" s="1" t="n"/>
      <c r="AF32" s="1" t="n"/>
      <c r="AG32" s="1" t="n"/>
    </row>
    <row r="33">
      <c r="A33" s="1" t="n"/>
      <c r="B33" s="2" t="inlineStr">
        <is>
          <t>Sunday</t>
        </is>
      </c>
      <c r="C33" s="2" t="inlineStr">
        <is>
          <t>Monday</t>
        </is>
      </c>
      <c r="D33" s="2" t="inlineStr">
        <is>
          <t>Tuesday</t>
        </is>
      </c>
      <c r="E33" s="2" t="inlineStr">
        <is>
          <t>Wednesday</t>
        </is>
      </c>
      <c r="F33" s="2" t="inlineStr">
        <is>
          <t>Thursday</t>
        </is>
      </c>
      <c r="G33" s="2" t="inlineStr">
        <is>
          <t>Friday</t>
        </is>
      </c>
      <c r="H33" s="2" t="inlineStr">
        <is>
          <t>Saturday</t>
        </is>
      </c>
      <c r="I33" s="2" t="inlineStr">
        <is>
          <t>Sunday</t>
        </is>
      </c>
      <c r="J33" s="2" t="inlineStr">
        <is>
          <t>Monday</t>
        </is>
      </c>
      <c r="K33" s="2" t="inlineStr">
        <is>
          <t>Tuesday</t>
        </is>
      </c>
      <c r="L33" s="2" t="inlineStr">
        <is>
          <t>Wednesday</t>
        </is>
      </c>
      <c r="M33" s="2" t="inlineStr">
        <is>
          <t>Thursday</t>
        </is>
      </c>
      <c r="N33" s="2" t="inlineStr">
        <is>
          <t>Friday</t>
        </is>
      </c>
      <c r="O33" s="2" t="inlineStr">
        <is>
          <t>Saturday</t>
        </is>
      </c>
      <c r="P33" s="2" t="inlineStr">
        <is>
          <t>Sunday</t>
        </is>
      </c>
      <c r="Q33" s="2" t="inlineStr">
        <is>
          <t>Monday</t>
        </is>
      </c>
      <c r="R33" s="2" t="inlineStr">
        <is>
          <t>Tuesday</t>
        </is>
      </c>
      <c r="S33" s="2" t="inlineStr">
        <is>
          <t>Wednesday</t>
        </is>
      </c>
      <c r="T33" s="2" t="inlineStr">
        <is>
          <t>Thursday</t>
        </is>
      </c>
      <c r="U33" s="2" t="inlineStr">
        <is>
          <t>Friday</t>
        </is>
      </c>
      <c r="V33" s="2" t="inlineStr">
        <is>
          <t>Saturday</t>
        </is>
      </c>
      <c r="W33" s="2" t="inlineStr">
        <is>
          <t>Sunday</t>
        </is>
      </c>
      <c r="X33" s="2" t="inlineStr">
        <is>
          <t>Monday</t>
        </is>
      </c>
      <c r="Y33" s="2" t="inlineStr">
        <is>
          <t>Tuesday</t>
        </is>
      </c>
      <c r="Z33" s="2" t="inlineStr">
        <is>
          <t>Wednesday</t>
        </is>
      </c>
      <c r="AA33" s="2" t="inlineStr">
        <is>
          <t>Thursday</t>
        </is>
      </c>
      <c r="AB33" s="2" t="inlineStr">
        <is>
          <t>Friday</t>
        </is>
      </c>
      <c r="AC33" s="2" t="inlineStr">
        <is>
          <t>Saturday</t>
        </is>
      </c>
      <c r="AD33" s="2" t="inlineStr">
        <is>
          <t>Sunday</t>
        </is>
      </c>
      <c r="AE33" s="2" t="inlineStr">
        <is>
          <t>Monday</t>
        </is>
      </c>
      <c r="AF33" s="2" t="inlineStr">
        <is>
          <t>Tuesday</t>
        </is>
      </c>
    </row>
    <row r="34">
      <c r="A34" s="1" t="n"/>
      <c r="B34" s="6" t="inlineStr">
        <is>
          <t>1st</t>
        </is>
      </c>
      <c r="C34" s="4" t="inlineStr">
        <is>
          <t>2nd</t>
        </is>
      </c>
      <c r="D34" s="4" t="inlineStr">
        <is>
          <t>3rd</t>
        </is>
      </c>
      <c r="E34" s="4" t="inlineStr">
        <is>
          <t>4th</t>
        </is>
      </c>
      <c r="F34" s="4" t="inlineStr">
        <is>
          <t>5th</t>
        </is>
      </c>
      <c r="G34" s="4" t="inlineStr">
        <is>
          <t>6th</t>
        </is>
      </c>
      <c r="H34" s="4" t="inlineStr">
        <is>
          <t>7th</t>
        </is>
      </c>
      <c r="I34" s="4" t="inlineStr">
        <is>
          <t>8th</t>
        </is>
      </c>
      <c r="J34" s="5" t="inlineStr">
        <is>
          <t>9th</t>
        </is>
      </c>
      <c r="K34" s="5" t="inlineStr">
        <is>
          <t>10th</t>
        </is>
      </c>
      <c r="L34" s="5" t="inlineStr">
        <is>
          <t>11th</t>
        </is>
      </c>
      <c r="M34" s="5" t="inlineStr">
        <is>
          <t>12th</t>
        </is>
      </c>
      <c r="N34" s="5" t="inlineStr">
        <is>
          <t>13th</t>
        </is>
      </c>
      <c r="O34" s="5" t="inlineStr">
        <is>
          <t>14th</t>
        </is>
      </c>
      <c r="P34" s="5" t="inlineStr">
        <is>
          <t>15th</t>
        </is>
      </c>
      <c r="Q34" s="57" t="inlineStr">
        <is>
          <t>16th</t>
        </is>
      </c>
      <c r="R34" s="57" t="inlineStr">
        <is>
          <t>17th</t>
        </is>
      </c>
      <c r="S34" s="57" t="inlineStr">
        <is>
          <t>18th</t>
        </is>
      </c>
      <c r="T34" s="57" t="inlineStr">
        <is>
          <t>19th</t>
        </is>
      </c>
      <c r="U34" s="57" t="inlineStr">
        <is>
          <t>20th</t>
        </is>
      </c>
      <c r="V34" s="57" t="inlineStr">
        <is>
          <t>21st</t>
        </is>
      </c>
      <c r="W34" s="57" t="inlineStr">
        <is>
          <t>22nd</t>
        </is>
      </c>
      <c r="X34" s="7" t="inlineStr">
        <is>
          <t>23rd</t>
        </is>
      </c>
      <c r="Y34" s="7" t="inlineStr">
        <is>
          <t>24th</t>
        </is>
      </c>
      <c r="Z34" s="7" t="inlineStr">
        <is>
          <t>25th</t>
        </is>
      </c>
      <c r="AA34" s="7" t="inlineStr">
        <is>
          <t>26th</t>
        </is>
      </c>
      <c r="AB34" s="7" t="inlineStr">
        <is>
          <t>27th</t>
        </is>
      </c>
      <c r="AC34" s="7" t="inlineStr">
        <is>
          <t>28th</t>
        </is>
      </c>
      <c r="AD34" s="7" t="inlineStr">
        <is>
          <t>29th</t>
        </is>
      </c>
      <c r="AE34" s="6" t="inlineStr">
        <is>
          <t>30th</t>
        </is>
      </c>
      <c r="AF34" s="6" t="inlineStr">
        <is>
          <t>31st</t>
        </is>
      </c>
    </row>
    <row r="35" ht="15.75" customHeight="1">
      <c r="A35" s="8" t="inlineStr">
        <is>
          <t>B-HAM CITY COUNCIL-200790-70489166</t>
        </is>
      </c>
      <c r="B35" s="31" t="n"/>
      <c r="C35" s="31" t="n"/>
      <c r="D35" s="31" t="n"/>
      <c r="E35" s="31" t="n">
        <v>61393.72</v>
      </c>
      <c r="F35" s="31" t="n"/>
      <c r="G35" s="31" t="n"/>
      <c r="H35" s="31" t="n"/>
      <c r="I35" s="31" t="n"/>
      <c r="J35" s="31" t="n"/>
      <c r="K35" s="31" t="n"/>
      <c r="L35" s="31" t="n"/>
      <c r="M35" s="31" t="n"/>
      <c r="N35" s="31" t="n"/>
      <c r="O35" s="31" t="n"/>
      <c r="P35" s="31" t="n"/>
      <c r="Q35" s="31" t="n"/>
      <c r="R35" s="31" t="n"/>
      <c r="S35" s="31" t="n"/>
      <c r="T35" s="31" t="n"/>
      <c r="U35" s="31" t="n"/>
      <c r="V35" s="31" t="n"/>
      <c r="W35" s="31" t="n"/>
      <c r="X35" s="31" t="n"/>
      <c r="Y35" s="31" t="n"/>
      <c r="Z35" s="31" t="n"/>
      <c r="AA35" s="31" t="n"/>
      <c r="AB35" s="31" t="n"/>
      <c r="AC35" s="31" t="n"/>
      <c r="AD35" s="31" t="n"/>
      <c r="AE35" s="31" t="n">
        <v>3721.83</v>
      </c>
      <c r="AF35" s="31" t="n"/>
      <c r="AH35" s="13">
        <f>SUM(B35:AD35)</f>
        <v/>
      </c>
      <c r="AI35" s="99" t="n"/>
      <c r="AL35" s="99" t="n"/>
    </row>
    <row r="36" ht="15.75" customHeight="1">
      <c r="A36" s="8" t="inlineStr">
        <is>
          <t>Buckingham</t>
        </is>
      </c>
      <c r="B36" s="31" t="n"/>
      <c r="C36" s="26" t="n"/>
      <c r="D36" s="26" t="n"/>
      <c r="E36" s="26" t="n"/>
      <c r="F36" s="26" t="n"/>
      <c r="G36" s="26" t="n"/>
      <c r="H36" s="26" t="n"/>
      <c r="I36" s="26" t="n"/>
      <c r="J36" s="26" t="n"/>
      <c r="K36" s="26" t="n"/>
      <c r="L36" s="26" t="n"/>
      <c r="M36" s="26" t="n"/>
      <c r="N36" s="31" t="n"/>
      <c r="O36" s="26" t="n"/>
      <c r="P36" s="26" t="n"/>
      <c r="Q36" s="26" t="n"/>
      <c r="R36" s="26" t="n"/>
      <c r="S36" s="26" t="n"/>
      <c r="T36" s="26" t="n"/>
      <c r="U36" s="31" t="n">
        <v>5134.44</v>
      </c>
      <c r="V36" s="26" t="n"/>
      <c r="W36" s="31" t="n"/>
      <c r="X36" s="31" t="n"/>
      <c r="Y36" s="26" t="n"/>
      <c r="Z36" s="31" t="n"/>
      <c r="AA36" s="31" t="n"/>
      <c r="AB36" s="26" t="n"/>
      <c r="AC36" s="31" t="n"/>
      <c r="AD36" s="26" t="n"/>
      <c r="AE36" s="31" t="n"/>
      <c r="AF36" s="31" t="n"/>
      <c r="AH36" s="13">
        <f>SUM(B36:AF36)</f>
        <v/>
      </c>
      <c r="AI36" s="99" t="n"/>
      <c r="AL36" s="99" t="n"/>
    </row>
    <row r="37" ht="15.75" customHeight="1">
      <c r="A37" s="8" t="inlineStr">
        <is>
          <t>Sandwell Respite</t>
        </is>
      </c>
      <c r="B37" s="31" t="n"/>
      <c r="C37" s="26" t="n"/>
      <c r="D37" s="26" t="n"/>
      <c r="E37" s="26" t="n"/>
      <c r="F37" s="26" t="n">
        <v>6571.2</v>
      </c>
      <c r="G37" s="26" t="n"/>
      <c r="H37" s="100" t="n"/>
      <c r="I37" s="26" t="n"/>
      <c r="J37" s="26" t="n"/>
      <c r="K37" s="26" t="n"/>
      <c r="L37" s="26" t="n"/>
      <c r="M37" s="31" t="n">
        <v>10645.32</v>
      </c>
      <c r="N37" s="26" t="n"/>
      <c r="O37" s="26" t="n"/>
      <c r="P37" s="26" t="n"/>
      <c r="Q37" s="26" t="n"/>
      <c r="R37" s="26" t="n"/>
      <c r="S37" s="31" t="n"/>
      <c r="T37" s="31" t="n">
        <v>9152.799999999999</v>
      </c>
      <c r="U37" s="26" t="n"/>
      <c r="V37" s="26" t="n"/>
      <c r="W37" s="26" t="n"/>
      <c r="X37" s="26" t="n"/>
      <c r="Y37" s="26" t="n"/>
      <c r="Z37" s="31" t="n"/>
      <c r="AA37" s="26" t="n"/>
      <c r="AB37" s="26" t="n"/>
      <c r="AC37" s="31" t="n"/>
      <c r="AD37" s="31" t="n"/>
      <c r="AE37" s="31" t="n"/>
      <c r="AF37" s="31" t="n"/>
      <c r="AG37" s="32" t="n"/>
      <c r="AH37" s="13">
        <f>SUM(B37:AF37)</f>
        <v/>
      </c>
      <c r="AI37" s="99" t="n"/>
      <c r="AL37" s="99" t="n"/>
    </row>
    <row r="38" ht="15.75" customHeight="1">
      <c r="A38" s="8" t="inlineStr">
        <is>
          <t>Sandwell Daycare</t>
        </is>
      </c>
      <c r="B38" s="31" t="n"/>
      <c r="C38" s="26" t="n"/>
      <c r="D38" s="26" t="n"/>
      <c r="E38" s="26" t="n"/>
      <c r="F38" s="26" t="n"/>
      <c r="G38" s="26" t="n"/>
      <c r="H38" s="26" t="n"/>
      <c r="I38" s="26" t="n"/>
      <c r="J38" s="26" t="n"/>
      <c r="K38" s="26" t="n"/>
      <c r="L38" s="26" t="n"/>
      <c r="M38" s="26" t="n"/>
      <c r="N38" s="26" t="n"/>
      <c r="O38" s="26" t="n"/>
      <c r="P38" s="26" t="n"/>
      <c r="Q38" s="26" t="n"/>
      <c r="R38" s="26" t="n"/>
      <c r="S38" s="26" t="n"/>
      <c r="T38" s="26" t="n"/>
      <c r="U38" s="75" t="n"/>
      <c r="V38" s="31" t="n"/>
      <c r="W38" s="26" t="n"/>
      <c r="X38" s="26" t="n"/>
      <c r="Y38" s="26" t="n"/>
      <c r="Z38" s="31" t="n"/>
      <c r="AA38" s="26" t="n"/>
      <c r="AB38" s="26" t="n"/>
      <c r="AC38" s="26" t="n"/>
      <c r="AD38" s="31" t="n"/>
      <c r="AE38" s="31" t="n"/>
      <c r="AF38" s="31" t="n"/>
      <c r="AG38" s="32" t="n"/>
      <c r="AH38" s="13">
        <f>SUM(B38:AF38)</f>
        <v/>
      </c>
      <c r="AI38" s="99" t="n"/>
      <c r="AL38" s="99" t="n"/>
    </row>
    <row r="39" ht="15.75" customHeight="1">
      <c r="A39" s="8" t="inlineStr">
        <is>
          <t xml:space="preserve">Wolverhampton Respite </t>
        </is>
      </c>
      <c r="B39" s="31" t="n"/>
      <c r="C39" s="26" t="n"/>
      <c r="D39" s="26" t="n"/>
      <c r="E39" s="26" t="n"/>
      <c r="F39" s="26" t="n"/>
      <c r="G39" s="26" t="n"/>
      <c r="H39" s="26" t="n"/>
      <c r="I39" s="31" t="n"/>
      <c r="J39" s="31" t="n">
        <v>11115</v>
      </c>
      <c r="K39" s="26" t="n"/>
      <c r="L39" s="31" t="n"/>
      <c r="M39" s="31" t="n">
        <v>10950.42</v>
      </c>
      <c r="N39" s="31" t="n"/>
      <c r="O39" s="31" t="n"/>
      <c r="P39" s="26" t="n"/>
      <c r="Q39" s="26" t="n"/>
      <c r="R39" s="31" t="n"/>
      <c r="S39" s="26" t="n"/>
      <c r="T39" s="26" t="n"/>
      <c r="U39" s="26" t="n"/>
      <c r="V39" s="26" t="n"/>
      <c r="W39" s="26" t="n"/>
      <c r="X39" s="26" t="n"/>
      <c r="Y39" s="26" t="n"/>
      <c r="Z39" s="26" t="n"/>
      <c r="AA39" s="26" t="n"/>
      <c r="AB39" s="26" t="n"/>
      <c r="AC39" s="26" t="n"/>
      <c r="AD39" s="31" t="n"/>
      <c r="AE39" s="31" t="n"/>
      <c r="AF39" s="31" t="n"/>
      <c r="AG39" s="26" t="n"/>
      <c r="AH39" s="13">
        <f>SUM(B39:AG39)</f>
        <v/>
      </c>
      <c r="AI39" s="99" t="n"/>
      <c r="AL39" s="99" t="n"/>
    </row>
    <row r="40" ht="15.75" customHeight="1">
      <c r="A40" s="8" t="inlineStr">
        <is>
          <t>Wolverhampton Daycare</t>
        </is>
      </c>
      <c r="B40" s="31" t="n"/>
      <c r="C40" s="26" t="n"/>
      <c r="D40" s="26" t="n"/>
      <c r="E40" s="26" t="n"/>
      <c r="F40" s="16" t="n">
        <v>5800.66</v>
      </c>
      <c r="G40" s="26" t="n"/>
      <c r="H40" s="26" t="n"/>
      <c r="I40" s="16" t="n"/>
      <c r="J40" s="26" t="n"/>
      <c r="K40" s="26" t="n"/>
      <c r="L40" s="26" t="n"/>
      <c r="M40" s="31" t="n"/>
      <c r="N40" s="75" t="n">
        <v>5800.66</v>
      </c>
      <c r="O40" s="16" t="n"/>
      <c r="P40" s="26" t="n"/>
      <c r="Q40" s="26" t="n"/>
      <c r="R40" s="26" t="n"/>
      <c r="S40" s="26" t="n"/>
      <c r="T40" s="31" t="n">
        <v>6000</v>
      </c>
      <c r="U40" s="26" t="n"/>
      <c r="V40" s="16" t="n"/>
      <c r="W40" s="26" t="n"/>
      <c r="X40" s="26" t="n"/>
      <c r="Y40" s="26" t="n"/>
      <c r="Z40" s="26" t="n"/>
      <c r="AA40" s="31" t="n"/>
      <c r="AB40" s="26" t="n"/>
      <c r="AC40" s="26" t="n"/>
      <c r="AD40" s="31" t="n"/>
      <c r="AE40" s="31" t="n"/>
      <c r="AF40" s="16" t="n"/>
      <c r="AH40" s="13">
        <f>SUM(B40:AF40)</f>
        <v/>
      </c>
      <c r="AI40" s="99" t="n"/>
      <c r="AL40" s="99" t="n"/>
    </row>
    <row r="41" ht="15.75" customHeight="1">
      <c r="A41" s="8" t="inlineStr">
        <is>
          <t>Walsall Respite</t>
        </is>
      </c>
      <c r="B41" s="31" t="n"/>
      <c r="C41" s="26" t="n"/>
      <c r="D41" s="26" t="n"/>
      <c r="E41" s="31" t="n"/>
      <c r="F41" s="31" t="n"/>
      <c r="G41" s="26" t="n"/>
      <c r="H41" s="26" t="n"/>
      <c r="I41" s="26" t="n"/>
      <c r="J41" s="26" t="n"/>
      <c r="K41" s="26" t="n"/>
      <c r="L41" s="26" t="n"/>
      <c r="M41" s="31" t="n"/>
      <c r="N41" s="31" t="n"/>
      <c r="O41" s="26" t="n"/>
      <c r="P41" s="26" t="n"/>
      <c r="Q41" s="26" t="n"/>
      <c r="R41" s="26" t="n">
        <v>23904.8</v>
      </c>
      <c r="S41" s="26" t="n"/>
      <c r="T41" s="26" t="n"/>
      <c r="U41" s="26" t="n"/>
      <c r="V41" s="26" t="n"/>
      <c r="W41" s="26" t="n"/>
      <c r="X41" s="26" t="n"/>
      <c r="Y41" s="26" t="n"/>
      <c r="Z41" s="26" t="n"/>
      <c r="AA41" s="26" t="n"/>
      <c r="AB41" s="26" t="n"/>
      <c r="AC41" s="26" t="n"/>
      <c r="AD41" s="31" t="n"/>
      <c r="AE41" s="31" t="n"/>
      <c r="AF41" s="31" t="n"/>
      <c r="AH41" s="13">
        <f>SUM(B41:AF41)</f>
        <v/>
      </c>
      <c r="AI41" s="99" t="n"/>
      <c r="AL41" s="99" t="n"/>
    </row>
    <row r="42" ht="15.75" customHeight="1">
      <c r="A42" s="8" t="inlineStr">
        <is>
          <t>Walsall Daycare</t>
        </is>
      </c>
      <c r="B42" s="31" t="n"/>
      <c r="C42" s="26" t="n"/>
      <c r="D42" s="26" t="n"/>
      <c r="E42" s="31" t="n"/>
      <c r="F42" s="31" t="n"/>
      <c r="G42" s="26" t="n"/>
      <c r="H42" s="26" t="n"/>
      <c r="I42" s="26" t="n"/>
      <c r="J42" s="26" t="n"/>
      <c r="K42" s="26" t="n"/>
      <c r="L42" s="26" t="n"/>
      <c r="M42" s="26" t="n"/>
      <c r="N42" s="31" t="n"/>
      <c r="O42" s="26" t="n"/>
      <c r="P42" s="26" t="n"/>
      <c r="Q42" s="26" t="n"/>
      <c r="R42" s="26" t="n"/>
      <c r="S42" s="31" t="n"/>
      <c r="T42" s="31" t="n"/>
      <c r="U42" s="26" t="n"/>
      <c r="V42" s="26" t="n"/>
      <c r="W42" s="26" t="n"/>
      <c r="X42" s="31" t="n"/>
      <c r="Y42" s="31" t="n">
        <v>3040</v>
      </c>
      <c r="Z42" s="26" t="n"/>
      <c r="AA42" s="26" t="n"/>
      <c r="AB42" s="26" t="n"/>
      <c r="AC42" s="26" t="n"/>
      <c r="AD42" s="31" t="n"/>
      <c r="AE42" s="31" t="n"/>
      <c r="AF42" s="26" t="n"/>
      <c r="AH42" s="13">
        <f>SUM(B42:AF42)</f>
        <v/>
      </c>
      <c r="AI42" s="99" t="n"/>
    </row>
    <row r="43" ht="18.75" customHeight="1">
      <c r="A43" s="103" t="inlineStr">
        <is>
          <t>Ideal for All Ltd</t>
        </is>
      </c>
      <c r="B43" s="89" t="n"/>
      <c r="C43" s="89" t="n"/>
      <c r="D43" s="89" t="n"/>
      <c r="E43" s="89" t="n"/>
      <c r="F43" s="88" t="n"/>
      <c r="G43" s="89" t="n"/>
      <c r="H43" s="89" t="n"/>
      <c r="I43" s="89" t="n"/>
      <c r="J43" s="104" t="n"/>
      <c r="K43" s="104" t="n"/>
      <c r="L43" s="88" t="n"/>
      <c r="M43" s="88" t="n"/>
      <c r="N43" s="89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9" t="n"/>
      <c r="X43" s="88" t="n"/>
      <c r="Y43" s="88" t="n"/>
      <c r="Z43" s="89" t="n"/>
      <c r="AA43" s="89" t="n"/>
      <c r="AB43" s="88" t="n"/>
      <c r="AC43" s="89" t="n"/>
      <c r="AD43" s="88" t="n"/>
      <c r="AE43" s="89" t="n"/>
      <c r="AF43" s="89" t="n"/>
      <c r="AG43" s="81" t="n"/>
      <c r="AH43" s="13">
        <f>SUM(B43:AF43)</f>
        <v/>
      </c>
      <c r="AI43" s="99" t="n"/>
    </row>
    <row r="44" ht="15.75" customHeight="1">
      <c r="A44" s="8" t="inlineStr">
        <is>
          <t>KIRKLEES COUNCIL-204312-63046958</t>
        </is>
      </c>
      <c r="B44" s="31" t="n"/>
      <c r="C44" s="31" t="n">
        <v>5698.2</v>
      </c>
      <c r="D44" s="26" t="n"/>
      <c r="E44" s="26" t="n"/>
      <c r="F44" s="26" t="n"/>
      <c r="G44" s="26" t="n"/>
      <c r="H44" s="26" t="n"/>
      <c r="I44" s="26" t="n"/>
      <c r="J44" s="31" t="n"/>
      <c r="K44" s="31" t="n"/>
      <c r="L44" s="31" t="n"/>
      <c r="M44" s="31" t="n"/>
      <c r="N44" s="31" t="n"/>
      <c r="O44" s="26" t="n"/>
      <c r="P44" s="31" t="n"/>
      <c r="Q44" s="26" t="n"/>
      <c r="R44" s="31" t="n"/>
      <c r="S44" s="31" t="n"/>
      <c r="T44" s="26" t="n"/>
      <c r="U44" s="31" t="n">
        <v>5888.14</v>
      </c>
      <c r="V44" s="26" t="n"/>
      <c r="W44" s="26" t="n"/>
      <c r="X44" s="26" t="n"/>
      <c r="Y44" s="26" t="n"/>
      <c r="Z44" s="31" t="n"/>
      <c r="AA44" s="26" t="n"/>
      <c r="AB44" s="26" t="n"/>
      <c r="AC44" s="31" t="n"/>
      <c r="AD44" s="31" t="n"/>
      <c r="AE44" s="31" t="n"/>
      <c r="AF44" s="31" t="n"/>
      <c r="AH44" s="13">
        <f>SUM(B44:AF44)</f>
        <v/>
      </c>
      <c r="AI44" s="99" t="n"/>
    </row>
    <row r="45" ht="15.75" customHeight="1">
      <c r="A45" s="8" t="inlineStr">
        <is>
          <t>LBH PAYMENTS BACS-602210-72430192</t>
        </is>
      </c>
      <c r="B45" s="31" t="n"/>
      <c r="C45" s="26" t="n"/>
      <c r="D45" s="31" t="n"/>
      <c r="E45" s="31" t="n"/>
      <c r="F45" s="31" t="n"/>
      <c r="G45" s="31" t="n"/>
      <c r="H45" s="31" t="n"/>
      <c r="I45" s="26" t="n"/>
      <c r="J45" s="26" t="n"/>
      <c r="K45" s="26" t="n"/>
      <c r="L45" s="31" t="n"/>
      <c r="M45" s="31" t="n"/>
      <c r="N45" s="31" t="n"/>
      <c r="O45" s="31" t="n"/>
      <c r="P45" s="31" t="n"/>
      <c r="Q45" s="26" t="n"/>
      <c r="R45" s="26" t="n"/>
      <c r="S45" s="26" t="n"/>
      <c r="T45" s="26" t="n"/>
      <c r="U45" s="26" t="n"/>
      <c r="V45" s="31" t="n"/>
      <c r="W45" s="26" t="n"/>
      <c r="X45" s="26" t="n"/>
      <c r="Y45" s="31" t="n">
        <v>5203.8</v>
      </c>
      <c r="Z45" s="26" t="n"/>
      <c r="AA45" s="26" t="n"/>
      <c r="AB45" s="31" t="n"/>
      <c r="AC45" s="31" t="n"/>
      <c r="AD45" s="31" t="n"/>
      <c r="AE45" s="31" t="n"/>
      <c r="AF45" s="31" t="n"/>
      <c r="AH45" s="13">
        <f>SUM(B45:W45)</f>
        <v/>
      </c>
      <c r="AI45" s="99" t="n"/>
    </row>
    <row r="46" ht="15.75" customHeight="1">
      <c r="A46" s="8" t="inlineStr">
        <is>
          <t>NHS BIRMINGHAM &amp; S-607080-10017097</t>
        </is>
      </c>
      <c r="B46" s="31" t="n"/>
      <c r="C46" s="31" t="n"/>
      <c r="D46" s="31" t="n"/>
      <c r="E46" s="26" t="n"/>
      <c r="F46" s="31" t="n"/>
      <c r="G46" s="26" t="n"/>
      <c r="H46" s="31" t="n"/>
      <c r="I46" s="26" t="n"/>
      <c r="J46" s="31" t="n"/>
      <c r="K46" s="31" t="n"/>
      <c r="L46" s="31" t="n"/>
      <c r="M46" s="31" t="n"/>
      <c r="N46" s="31" t="n">
        <v>7202.01</v>
      </c>
      <c r="O46" s="26" t="n"/>
      <c r="P46" s="26" t="n"/>
      <c r="Q46" s="26" t="n"/>
      <c r="R46" s="31" t="n"/>
      <c r="S46" s="31" t="n"/>
      <c r="T46" s="26" t="n"/>
      <c r="U46" s="26" t="n"/>
      <c r="V46" s="26" t="n"/>
      <c r="W46" s="31" t="n"/>
      <c r="X46" s="26" t="n"/>
      <c r="Y46" s="26" t="n"/>
      <c r="Z46" s="26" t="n"/>
      <c r="AA46" s="26" t="n"/>
      <c r="AB46" s="26" t="n"/>
      <c r="AC46" s="26" t="n"/>
      <c r="AD46" s="26" t="n"/>
      <c r="AE46" s="31" t="n"/>
      <c r="AF46" s="31" t="n"/>
      <c r="AH46" s="13">
        <f>SUM(B46:W46)</f>
        <v/>
      </c>
      <c r="AI46" s="99" t="n"/>
    </row>
    <row r="47" ht="15.75" customHeight="1">
      <c r="A47" s="8" t="inlineStr">
        <is>
          <t>NHS BLACK COUNTRY-607080-10015272</t>
        </is>
      </c>
      <c r="B47" s="31" t="n"/>
      <c r="C47" s="31" t="n"/>
      <c r="D47" s="31" t="n"/>
      <c r="E47" s="31" t="n"/>
      <c r="F47" s="31" t="n"/>
      <c r="G47" s="31" t="n"/>
      <c r="H47" s="31" t="n"/>
      <c r="I47" s="31" t="n"/>
      <c r="J47" s="31" t="n"/>
      <c r="K47" s="31" t="n"/>
      <c r="L47" s="31" t="n"/>
      <c r="M47" s="31" t="n"/>
      <c r="N47" s="31" t="n">
        <v>17943.19</v>
      </c>
      <c r="O47" s="26" t="n"/>
      <c r="P47" s="31" t="n"/>
      <c r="Q47" s="31" t="n"/>
      <c r="R47" s="31" t="n"/>
      <c r="S47" s="31" t="n"/>
      <c r="T47" s="31" t="n"/>
      <c r="U47" s="26" t="n"/>
      <c r="V47" s="26" t="n"/>
      <c r="W47" s="26" t="n"/>
      <c r="X47" s="31" t="n"/>
      <c r="Y47" s="31" t="n">
        <v>2425.87</v>
      </c>
      <c r="Z47" s="31" t="n"/>
      <c r="AA47" s="31" t="n"/>
      <c r="AB47" s="31" t="n"/>
      <c r="AC47" s="31" t="n"/>
      <c r="AD47" s="31" t="n"/>
      <c r="AE47" s="31" t="n">
        <v>3901.8</v>
      </c>
      <c r="AF47" s="31" t="n"/>
      <c r="AH47" s="13">
        <f>SUM(B47:W47)</f>
        <v/>
      </c>
      <c r="AI47" s="99" t="n"/>
    </row>
    <row r="48" ht="15.75" customHeight="1">
      <c r="A48" s="14" t="inlineStr">
        <is>
          <t>SANDWELL MBC  BEN-601539-69624151</t>
        </is>
      </c>
      <c r="B48" s="31" t="n"/>
      <c r="C48" s="26" t="n"/>
      <c r="D48" s="31" t="n"/>
      <c r="E48" s="26" t="n"/>
      <c r="F48" s="26" t="n"/>
      <c r="G48" s="31" t="n"/>
      <c r="H48" s="31" t="n"/>
      <c r="I48" s="26" t="n"/>
      <c r="J48" s="31" t="n">
        <v>2660</v>
      </c>
      <c r="K48" s="31" t="n"/>
      <c r="L48" s="31" t="n"/>
      <c r="M48" s="31" t="n"/>
      <c r="N48" s="26" t="n"/>
      <c r="O48" s="26" t="n"/>
      <c r="P48" s="26" t="n"/>
      <c r="Q48" s="31" t="n"/>
      <c r="R48" s="26" t="n"/>
      <c r="S48" s="26" t="n"/>
      <c r="T48" s="26" t="n"/>
      <c r="U48" s="31" t="n"/>
      <c r="V48" s="26" t="n"/>
      <c r="W48" s="26" t="n"/>
      <c r="X48" s="26" t="n"/>
      <c r="Y48" s="31" t="n"/>
      <c r="Z48" s="31" t="n"/>
      <c r="AA48" s="31" t="n"/>
      <c r="AB48" s="31" t="n"/>
      <c r="AC48" s="31" t="n"/>
      <c r="AD48" s="31" t="n"/>
      <c r="AE48" s="31" t="n"/>
      <c r="AF48" s="31" t="n"/>
      <c r="AH48" s="13">
        <f>SUM(B48:AF48)</f>
        <v/>
      </c>
      <c r="AI48" s="99" t="n"/>
    </row>
    <row r="49" ht="15.75" customHeight="1">
      <c r="A49" s="14" t="inlineStr">
        <is>
          <t>SANDWELL MBC-601539-69624135</t>
        </is>
      </c>
      <c r="B49" s="26" t="n"/>
      <c r="C49" s="26" t="n"/>
      <c r="D49" s="26" t="n"/>
      <c r="E49" s="26" t="n"/>
      <c r="F49" s="31" t="n"/>
      <c r="G49" s="26" t="n"/>
      <c r="H49" s="26" t="n"/>
      <c r="I49" s="26" t="n"/>
      <c r="J49" s="100" t="n">
        <v>122000</v>
      </c>
      <c r="K49" s="31" t="n"/>
      <c r="L49" s="31" t="n"/>
      <c r="M49" s="26" t="n"/>
      <c r="N49" s="31" t="n">
        <v>3496</v>
      </c>
      <c r="O49" s="31" t="n"/>
      <c r="P49" s="31" t="n"/>
      <c r="Q49" s="31" t="n"/>
      <c r="R49" s="31" t="n"/>
      <c r="S49" s="31" t="n"/>
      <c r="T49" s="31" t="n"/>
      <c r="U49" s="100" t="n">
        <v>131262.44</v>
      </c>
      <c r="V49" s="26" t="n"/>
      <c r="W49" s="31" t="n"/>
      <c r="X49" s="26" t="n"/>
      <c r="Y49" s="75" t="n"/>
      <c r="Z49" s="100" t="n"/>
      <c r="AA49" s="26" t="n"/>
      <c r="AB49" s="31" t="n"/>
      <c r="AC49" s="31" t="n"/>
      <c r="AD49" s="31" t="n"/>
      <c r="AE49" s="31" t="n"/>
      <c r="AF49" s="31" t="n"/>
      <c r="AH49" s="13">
        <f>SUM(B49:AF49)</f>
        <v/>
      </c>
      <c r="AI49" s="99" t="n"/>
    </row>
    <row r="50" ht="15.75" customHeight="1">
      <c r="A50" s="15" t="inlineStr">
        <is>
          <t>SOLIHULL MBC EXP.-200771-00561525</t>
        </is>
      </c>
      <c r="B50" s="31" t="n"/>
      <c r="C50" s="31" t="n">
        <v>32010.44</v>
      </c>
      <c r="D50" s="31" t="n"/>
      <c r="E50" s="31" t="n"/>
      <c r="F50" s="31" t="n"/>
      <c r="G50" s="31" t="n"/>
      <c r="H50" s="31" t="n"/>
      <c r="I50" s="26" t="n"/>
      <c r="J50" s="31" t="n"/>
      <c r="K50" s="31" t="n"/>
      <c r="L50" s="31" t="n"/>
      <c r="M50" s="31" t="n"/>
      <c r="N50" s="31" t="n"/>
      <c r="O50" s="31" t="n"/>
      <c r="P50" s="31" t="n"/>
      <c r="Q50" s="31" t="n"/>
      <c r="R50" s="31" t="n"/>
      <c r="S50" s="31" t="n"/>
      <c r="T50" s="31" t="n"/>
      <c r="U50" s="31" t="n"/>
      <c r="V50" s="31" t="n"/>
      <c r="W50" s="31" t="n"/>
      <c r="X50" s="31" t="n"/>
      <c r="Y50" s="31" t="n"/>
      <c r="Z50" s="31" t="n"/>
      <c r="AA50" s="31" t="n"/>
      <c r="AB50" s="31" t="n">
        <v>32010.44</v>
      </c>
      <c r="AC50" s="31" t="n"/>
      <c r="AD50" s="31" t="n"/>
      <c r="AE50" s="31" t="n"/>
      <c r="AF50" s="31" t="n"/>
      <c r="AH50" s="13">
        <f>SUM(B50:AF50)</f>
        <v/>
      </c>
      <c r="AI50" s="99" t="n"/>
    </row>
    <row r="51" ht="15.75" customHeight="1">
      <c r="A51" s="15" t="inlineStr">
        <is>
          <t>WALSALL MBC BARC-209073-10731692</t>
        </is>
      </c>
      <c r="B51" s="26" t="n"/>
      <c r="C51" s="31" t="n"/>
      <c r="D51" s="31" t="n"/>
      <c r="E51" s="31" t="n"/>
      <c r="F51" s="31" t="n"/>
      <c r="G51" s="31" t="n"/>
      <c r="H51" s="31" t="n"/>
      <c r="I51" s="26" t="n"/>
      <c r="J51" s="31" t="n"/>
      <c r="K51" s="31" t="n"/>
      <c r="L51" s="31" t="n"/>
      <c r="M51" s="31" t="n"/>
      <c r="N51" s="31" t="n"/>
      <c r="O51" s="31" t="n"/>
      <c r="P51" s="31" t="n"/>
      <c r="Q51" s="31" t="n"/>
      <c r="R51" s="31">
        <f>240571.16-R41</f>
        <v/>
      </c>
      <c r="S51" s="31" t="n"/>
      <c r="T51" s="31" t="n"/>
      <c r="U51" s="31" t="n"/>
      <c r="V51" s="31" t="n"/>
      <c r="W51" s="26" t="n"/>
      <c r="X51" s="31" t="n"/>
      <c r="Y51" s="31" t="n"/>
      <c r="Z51" s="31" t="n"/>
      <c r="AA51" s="31" t="n"/>
      <c r="AB51" s="31" t="n"/>
      <c r="AC51" s="31" t="n"/>
      <c r="AD51" s="31" t="n"/>
      <c r="AE51" s="31" t="n"/>
      <c r="AF51" s="31" t="n"/>
      <c r="AH51" s="13">
        <f>SUM(B51:AF51)</f>
        <v/>
      </c>
      <c r="AI51" s="99" t="n"/>
    </row>
    <row r="52" ht="15.75" customHeight="1">
      <c r="A52" s="15" t="inlineStr">
        <is>
          <t>WOLVERHAMPTON CC-560069-44470320</t>
        </is>
      </c>
      <c r="B52" s="31" t="n"/>
      <c r="C52" s="31" t="n"/>
      <c r="D52" s="26" t="n"/>
      <c r="E52" s="31" t="n"/>
      <c r="F52" s="16">
        <f>115329.86-F40</f>
        <v/>
      </c>
      <c r="G52" s="31" t="n"/>
      <c r="H52" s="26" t="n"/>
      <c r="I52" s="26" t="n"/>
      <c r="J52" s="31" t="n"/>
      <c r="K52" s="26" t="n"/>
      <c r="L52" s="31" t="n"/>
      <c r="M52" s="31" t="n"/>
      <c r="N52" s="16">
        <f>112555.76-N40</f>
        <v/>
      </c>
      <c r="O52" s="31" t="n"/>
      <c r="P52" s="31" t="n"/>
      <c r="Q52" s="31" t="n"/>
      <c r="R52" s="26" t="n"/>
      <c r="S52" s="31" t="n"/>
      <c r="T52" s="31">
        <f>117769.22-T40</f>
        <v/>
      </c>
      <c r="U52" s="31" t="n"/>
      <c r="V52" s="31" t="n"/>
      <c r="W52" s="31" t="n"/>
      <c r="X52" s="31" t="n"/>
      <c r="Y52" s="16" t="n"/>
      <c r="Z52" s="31" t="n"/>
      <c r="AA52" s="31" t="n"/>
      <c r="AB52" s="26" t="n"/>
      <c r="AC52" s="31" t="n"/>
      <c r="AD52" s="31" t="n"/>
      <c r="AE52" s="31" t="n"/>
      <c r="AF52" s="26" t="n"/>
      <c r="AH52" s="13">
        <f>SUM(B52:AF52)</f>
        <v/>
      </c>
      <c r="AI52" s="99" t="n"/>
    </row>
    <row r="53" ht="15.75" customHeight="1">
      <c r="A53" s="105" t="inlineStr">
        <is>
          <t>Portsmouth</t>
        </is>
      </c>
      <c r="B53" s="89" t="n"/>
      <c r="C53" s="89" t="n"/>
      <c r="D53" s="89" t="n"/>
      <c r="E53" s="89" t="n"/>
      <c r="F53" s="89" t="n"/>
      <c r="G53" s="89" t="n"/>
      <c r="H53" s="89" t="n"/>
      <c r="I53" s="88" t="n"/>
      <c r="J53" s="89" t="n"/>
      <c r="K53" s="89" t="n"/>
      <c r="L53" s="89" t="n"/>
      <c r="M53" s="89" t="n"/>
      <c r="N53" s="89" t="n"/>
      <c r="O53" s="89" t="n"/>
      <c r="P53" s="89" t="n"/>
      <c r="Q53" s="89" t="n"/>
      <c r="R53" s="89" t="n"/>
      <c r="S53" s="89" t="n"/>
      <c r="T53" s="89" t="n"/>
      <c r="U53" s="89" t="n"/>
      <c r="V53" s="89" t="n"/>
      <c r="W53" s="89" t="n"/>
      <c r="X53" s="89" t="n"/>
      <c r="Y53" s="89" t="n"/>
      <c r="Z53" s="89" t="n"/>
      <c r="AA53" s="89" t="n"/>
      <c r="AB53" s="89" t="n"/>
      <c r="AC53" s="89" t="n"/>
      <c r="AD53" s="88" t="n"/>
      <c r="AE53" s="89" t="n"/>
      <c r="AF53" s="89" t="n"/>
      <c r="AG53" s="81" t="n"/>
      <c r="AH53" s="13">
        <f>SUM(B53:AF53)</f>
        <v/>
      </c>
      <c r="AI53" s="99" t="n"/>
    </row>
    <row r="54" ht="15.75" customHeight="1">
      <c r="A54" s="15" t="inlineStr">
        <is>
          <t>People Plus</t>
        </is>
      </c>
      <c r="B54" s="26" t="n"/>
      <c r="C54" s="31" t="n"/>
      <c r="D54" s="31" t="n"/>
      <c r="E54" s="31" t="n"/>
      <c r="F54" s="31" t="n"/>
      <c r="G54" s="31" t="n"/>
      <c r="H54" s="31" t="n"/>
      <c r="I54" s="26" t="n"/>
      <c r="J54" s="31" t="n"/>
      <c r="K54" s="31" t="n"/>
      <c r="L54" s="31" t="n"/>
      <c r="M54" s="31" t="n"/>
      <c r="N54" s="31" t="n">
        <v>3656</v>
      </c>
      <c r="O54" s="31" t="n"/>
      <c r="P54" s="31" t="n"/>
      <c r="Q54" s="31" t="n"/>
      <c r="R54" s="31" t="n"/>
      <c r="S54" s="31" t="n"/>
      <c r="T54" s="31" t="n"/>
      <c r="U54" s="31" t="n">
        <v>1640</v>
      </c>
      <c r="V54" s="31" t="n"/>
      <c r="W54" s="31" t="n"/>
      <c r="X54" s="31" t="n"/>
      <c r="Y54" s="31" t="n"/>
      <c r="Z54" s="31" t="n"/>
      <c r="AA54" s="31" t="n"/>
      <c r="AB54" s="31" t="n"/>
      <c r="AC54" s="31" t="n"/>
      <c r="AD54" s="26" t="n"/>
      <c r="AE54" s="31" t="n"/>
      <c r="AF54" s="31" t="n"/>
      <c r="AH54" s="13">
        <f>SUM(B54:AF54)</f>
        <v/>
      </c>
      <c r="AI54" s="99" t="n"/>
    </row>
    <row r="55" ht="15.75" customHeight="1">
      <c r="A55" s="15" t="inlineStr">
        <is>
          <t xml:space="preserve">Middlesbrough council </t>
        </is>
      </c>
      <c r="B55" s="26" t="n"/>
      <c r="C55" s="31" t="n"/>
      <c r="D55" s="31" t="n"/>
      <c r="E55" s="31" t="n"/>
      <c r="F55" s="31" t="n"/>
      <c r="G55" s="31" t="n"/>
      <c r="H55" s="31" t="n"/>
      <c r="I55" s="26" t="n"/>
      <c r="J55" s="31" t="n"/>
      <c r="K55" s="31" t="n"/>
      <c r="L55" s="31" t="n"/>
      <c r="M55" s="31" t="n"/>
      <c r="N55" s="31" t="n"/>
      <c r="O55" s="31" t="n"/>
      <c r="P55" s="31" t="n"/>
      <c r="Q55" s="31" t="n"/>
      <c r="R55" s="31" t="n"/>
      <c r="S55" s="31" t="n"/>
      <c r="T55" s="31" t="n"/>
      <c r="U55" s="31" t="n">
        <v>4752</v>
      </c>
      <c r="V55" s="31" t="n"/>
      <c r="W55" s="31" t="n"/>
      <c r="X55" s="31" t="n"/>
      <c r="Y55" s="31" t="n"/>
      <c r="Z55" s="31" t="n"/>
      <c r="AA55" s="31" t="n"/>
      <c r="AB55" s="31" t="n"/>
      <c r="AC55" s="31" t="n"/>
      <c r="AD55" s="26" t="n"/>
      <c r="AE55" s="31" t="n">
        <v>5544</v>
      </c>
      <c r="AF55" s="31" t="n"/>
      <c r="AH55" s="13">
        <f>SUM(B55:AF55)</f>
        <v/>
      </c>
      <c r="AI55" s="99" t="n"/>
    </row>
    <row r="56" ht="15.75" customHeight="1">
      <c r="A56" s="15" t="inlineStr">
        <is>
          <t>CHASING</t>
        </is>
      </c>
      <c r="B56" s="31" t="n"/>
      <c r="C56" s="31" t="n"/>
      <c r="D56" s="31" t="n"/>
      <c r="E56" s="31" t="n"/>
      <c r="F56" s="31" t="n"/>
      <c r="G56" s="31" t="n"/>
      <c r="H56" s="31" t="n"/>
      <c r="I56" s="31" t="n"/>
      <c r="J56" s="75" t="n">
        <v>21002.68</v>
      </c>
      <c r="K56" s="31" t="n"/>
      <c r="L56" s="31" t="n"/>
      <c r="M56" s="31" t="n"/>
      <c r="N56" s="31" t="n"/>
      <c r="O56" s="31" t="n"/>
      <c r="P56" s="31" t="n"/>
      <c r="Q56" s="31" t="n"/>
      <c r="R56" s="31" t="n"/>
      <c r="S56" s="31" t="n"/>
      <c r="T56" s="31" t="n"/>
      <c r="U56" s="31" t="n">
        <v>11880.96</v>
      </c>
      <c r="V56" s="31" t="n">
        <v>24933.56</v>
      </c>
      <c r="W56" s="31" t="n"/>
      <c r="X56" s="31" t="n"/>
      <c r="Y56" s="31" t="n"/>
      <c r="Z56" s="31" t="n"/>
      <c r="AA56" s="31" t="n"/>
      <c r="AB56" s="31" t="n"/>
      <c r="AC56" s="31" t="n"/>
      <c r="AD56" s="31" t="n"/>
      <c r="AE56" s="31" t="n"/>
      <c r="AF56" s="31" t="n"/>
      <c r="AG56" s="12" t="n"/>
      <c r="AH56" s="13">
        <f>SUM(B56:AG56)</f>
        <v/>
      </c>
      <c r="AI56" s="99" t="n"/>
    </row>
    <row r="57" ht="15.75" customHeight="1">
      <c r="A57" s="15" t="inlineStr">
        <is>
          <t>HB SC</t>
        </is>
      </c>
      <c r="B57" s="31" t="n">
        <v>0</v>
      </c>
      <c r="C57" s="31" t="n">
        <v>16393.94</v>
      </c>
      <c r="D57" s="31" t="n">
        <v>6569.38</v>
      </c>
      <c r="E57" s="31" t="n">
        <v>1876.029999999999</v>
      </c>
      <c r="F57" s="31" t="n">
        <v>4073.469999999998</v>
      </c>
      <c r="G57" s="31" t="n">
        <v>3773</v>
      </c>
      <c r="H57" s="31" t="n">
        <v>789.2799999999988</v>
      </c>
      <c r="I57" s="31" t="n">
        <v>512.8400000000001</v>
      </c>
      <c r="J57" s="31" t="n">
        <v>4352.390000000014</v>
      </c>
      <c r="K57" s="31" t="n">
        <v>2528.109999999993</v>
      </c>
      <c r="L57" s="31" t="n">
        <v>1911.93</v>
      </c>
      <c r="M57" s="31" t="n">
        <v>1478.179999999998</v>
      </c>
      <c r="N57" s="31" t="n">
        <v>5455.550000000016</v>
      </c>
      <c r="O57" s="31" t="n">
        <v>240</v>
      </c>
      <c r="P57" s="31" t="n">
        <v>0</v>
      </c>
      <c r="Q57" s="31" t="n">
        <v>3929.47</v>
      </c>
      <c r="R57" s="31" t="n">
        <v>3792.079999999987</v>
      </c>
      <c r="S57" s="31" t="n">
        <v>3187.97</v>
      </c>
      <c r="T57" s="31" t="n">
        <v>1785.060000000001</v>
      </c>
      <c r="U57" s="31" t="n">
        <v>6087.010000000027</v>
      </c>
      <c r="V57" s="31" t="n">
        <v>495</v>
      </c>
      <c r="W57" s="31" t="n">
        <v>0</v>
      </c>
      <c r="X57" s="31" t="n">
        <v>7151.680000000033</v>
      </c>
      <c r="Y57" s="31" t="n">
        <v>5662.13</v>
      </c>
      <c r="Z57" s="31" t="n">
        <v>208</v>
      </c>
      <c r="AA57" s="31" t="n">
        <v>200</v>
      </c>
      <c r="AB57" s="31" t="n">
        <v>4558.429999999997</v>
      </c>
      <c r="AC57" s="31" t="n">
        <v>0</v>
      </c>
      <c r="AD57" s="31" t="n">
        <v>0</v>
      </c>
      <c r="AE57" s="31" t="n">
        <v>16830.22</v>
      </c>
      <c r="AF57" s="31" t="n">
        <v>3459.02</v>
      </c>
      <c r="AH57" s="13">
        <f>SUM(B57:AG57)</f>
        <v/>
      </c>
      <c r="AI57" s="99" t="n"/>
    </row>
    <row r="58" ht="16.5" customHeight="1" thickBot="1">
      <c r="A58" s="15" t="inlineStr">
        <is>
          <t xml:space="preserve">Total </t>
        </is>
      </c>
      <c r="B58" s="67">
        <f>SUM(B35:B57)</f>
        <v/>
      </c>
      <c r="C58" s="67">
        <f>SUM(C35:C57)</f>
        <v/>
      </c>
      <c r="D58" s="67">
        <f>SUM(D35:D57)</f>
        <v/>
      </c>
      <c r="E58" s="67">
        <f>SUM(E35:E57)</f>
        <v/>
      </c>
      <c r="F58" s="67">
        <f>SUM(F35:F57)</f>
        <v/>
      </c>
      <c r="G58" s="67">
        <f>SUM(G35:G57)</f>
        <v/>
      </c>
      <c r="H58" s="67">
        <f>SUM(H35:H57)</f>
        <v/>
      </c>
      <c r="I58" s="67">
        <f>SUM(I35:I57)</f>
        <v/>
      </c>
      <c r="J58" s="67">
        <f>SUM(J35:J57)</f>
        <v/>
      </c>
      <c r="K58" s="111">
        <f>SUM(K35:K57)</f>
        <v/>
      </c>
      <c r="L58" s="111">
        <f>SUM(L35:L57)</f>
        <v/>
      </c>
      <c r="M58" s="111">
        <f>SUM(M35:M57)</f>
        <v/>
      </c>
      <c r="N58" s="111">
        <f>SUM(N35:N57)</f>
        <v/>
      </c>
      <c r="O58" s="111">
        <f>SUM(O35:O57)</f>
        <v/>
      </c>
      <c r="P58" s="111">
        <f>SUM(P35:P57)</f>
        <v/>
      </c>
      <c r="Q58" s="111">
        <f>SUM(Q35:Q57)</f>
        <v/>
      </c>
      <c r="R58" s="67">
        <f>SUM(R35:R57)</f>
        <v/>
      </c>
      <c r="S58" s="67">
        <f>SUM(S35:S57)</f>
        <v/>
      </c>
      <c r="T58" s="67">
        <f>SUM(T35:T57)</f>
        <v/>
      </c>
      <c r="U58" s="67">
        <f>SUM(U35:U57)</f>
        <v/>
      </c>
      <c r="V58" s="67">
        <f>SUM(V35:V57)</f>
        <v/>
      </c>
      <c r="W58" s="67">
        <f>SUM(W35:W57)</f>
        <v/>
      </c>
      <c r="X58" s="67">
        <f>SUM(X35:X57)</f>
        <v/>
      </c>
      <c r="Y58" s="67">
        <f>SUM(Y35:Y57)</f>
        <v/>
      </c>
      <c r="Z58" s="67">
        <f>SUM(Z35:Z57)</f>
        <v/>
      </c>
      <c r="AA58" s="67">
        <f>SUM(AA35:AA57)</f>
        <v/>
      </c>
      <c r="AB58" s="67">
        <f>SUM(AB35:AB57)</f>
        <v/>
      </c>
      <c r="AC58" s="67">
        <f>SUM(AC35:AC57)</f>
        <v/>
      </c>
      <c r="AD58" s="67">
        <f>SUM(AD35:AD57)</f>
        <v/>
      </c>
      <c r="AE58" s="67">
        <f>SUM(AE35:AE57)</f>
        <v/>
      </c>
      <c r="AF58" s="67">
        <f>SUM(AF35:AF57)</f>
        <v/>
      </c>
      <c r="AG58" s="67" t="n"/>
      <c r="AH58" s="22">
        <f>SUM(AH35:AH57)</f>
        <v/>
      </c>
    </row>
    <row r="59" ht="15.75" customHeight="1" thickTop="1"/>
    <row r="60">
      <c r="A60" s="96" t="inlineStr">
        <is>
          <t xml:space="preserve">Chasing </t>
        </is>
      </c>
    </row>
    <row r="61">
      <c r="A61" s="15" t="inlineStr">
        <is>
          <t>Birmingham</t>
        </is>
      </c>
      <c r="B61" t="n">
        <v>10361.51</v>
      </c>
    </row>
    <row r="62">
      <c r="A62" s="15" t="inlineStr">
        <is>
          <t>Sandwell</t>
        </is>
      </c>
      <c r="B62" s="25">
        <f>55704.8-J56</f>
        <v/>
      </c>
    </row>
    <row r="63">
      <c r="A63" s="15" t="inlineStr">
        <is>
          <t>NHS Black country</t>
        </is>
      </c>
      <c r="B63" t="n">
        <v>3740</v>
      </c>
    </row>
    <row r="64">
      <c r="A64" s="15" t="inlineStr">
        <is>
          <t>NHS Black Country TRUST</t>
        </is>
      </c>
      <c r="B64" t="n">
        <v>11712</v>
      </c>
    </row>
    <row r="65">
      <c r="A65" s="15" t="inlineStr">
        <is>
          <t xml:space="preserve">NHS Birmingham </t>
        </is>
      </c>
    </row>
    <row r="66">
      <c r="A66" s="15" t="inlineStr">
        <is>
          <t>Wolverhampton</t>
        </is>
      </c>
      <c r="B66" s="25" t="n"/>
      <c r="I66" s="25" t="n"/>
    </row>
    <row r="67">
      <c r="A67" s="15" t="inlineStr">
        <is>
          <t>Walsall</t>
        </is>
      </c>
      <c r="B67" t="n">
        <v>2641.48</v>
      </c>
      <c r="I67" s="25" t="n"/>
    </row>
    <row r="68" ht="15.75" customHeight="1" thickBot="1">
      <c r="A68" s="53" t="inlineStr">
        <is>
          <t>Total</t>
        </is>
      </c>
      <c r="B68" s="29">
        <f>SUM(B61:B67)</f>
        <v/>
      </c>
    </row>
    <row r="69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/>
  </sheetPr>
  <dimension ref="A1:AL67"/>
  <sheetViews>
    <sheetView topLeftCell="G28" zoomScale="70" zoomScaleNormal="70" workbookViewId="0">
      <selection activeCell="I36" sqref="I36"/>
    </sheetView>
  </sheetViews>
  <sheetFormatPr baseColWidth="8" defaultRowHeight="15"/>
  <cols>
    <col width="40.42578125" bestFit="1" customWidth="1" min="1" max="1"/>
    <col width="13.140625" bestFit="1" customWidth="1" min="2" max="2"/>
    <col width="11.140625" bestFit="1" customWidth="1" min="3" max="3"/>
    <col width="10.140625" bestFit="1" customWidth="1" min="4" max="4"/>
    <col width="13.140625" bestFit="1" customWidth="1" min="5" max="5"/>
    <col width="12.5703125" bestFit="1" customWidth="1" min="6" max="6"/>
    <col width="9.85546875" bestFit="1" customWidth="1" min="7" max="7"/>
    <col width="10.7109375" bestFit="1" customWidth="1" min="8" max="8"/>
    <col width="13.140625" bestFit="1" customWidth="1" min="9" max="9"/>
    <col width="13.42578125" bestFit="1" customWidth="1" min="10" max="10"/>
    <col width="12" bestFit="1" customWidth="1" min="11" max="11"/>
    <col width="13.140625" bestFit="1" customWidth="1" min="12" max="12"/>
    <col width="12.5703125" bestFit="1" customWidth="1" min="13" max="13"/>
    <col width="13.42578125" bestFit="1" customWidth="1" min="14" max="14"/>
    <col width="13.140625" customWidth="1" min="15" max="15"/>
    <col width="13.140625" bestFit="1" customWidth="1" min="16" max="16"/>
    <col width="12.5703125" bestFit="1" customWidth="1" min="17" max="18"/>
    <col width="13.140625" bestFit="1" customWidth="1" min="19" max="19"/>
    <col width="12.5703125" bestFit="1" customWidth="1" min="20" max="20"/>
    <col width="14.28515625" customWidth="1" min="21" max="21"/>
    <col width="10.7109375" bestFit="1" customWidth="1" min="22" max="22"/>
    <col width="13.140625" bestFit="1" customWidth="1" min="23" max="23"/>
    <col width="11.140625" bestFit="1" customWidth="1" min="24" max="24"/>
    <col width="10.140625" bestFit="1" customWidth="1" min="25" max="25"/>
    <col width="13.140625" bestFit="1" customWidth="1" min="26" max="26"/>
    <col width="12.5703125" bestFit="1" customWidth="1" min="27" max="27"/>
    <col width="9.85546875" bestFit="1" customWidth="1" min="28" max="28"/>
    <col width="10.7109375" bestFit="1" customWidth="1" min="29" max="29"/>
    <col width="13.140625" bestFit="1" customWidth="1" min="30" max="30"/>
    <col width="14.140625" customWidth="1" min="31" max="31"/>
    <col width="10.140625" bestFit="1" customWidth="1" min="32" max="32"/>
    <col width="12.5703125" bestFit="1" customWidth="1" min="33" max="34"/>
    <col width="9.85546875" bestFit="1" customWidth="1" min="35" max="35"/>
  </cols>
  <sheetData>
    <row r="1" hidden="1" ht="15.75" customHeight="1">
      <c r="A1" s="15" t="n"/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  <c r="T1" s="16" t="n"/>
      <c r="U1" s="16" t="n"/>
      <c r="V1" s="16" t="n"/>
      <c r="W1" s="16" t="n"/>
      <c r="X1" s="16" t="n"/>
      <c r="Y1" s="16" t="n"/>
      <c r="Z1" s="16" t="n"/>
      <c r="AA1" s="16" t="n"/>
      <c r="AB1" s="16" t="n"/>
      <c r="AC1" s="16" t="n"/>
      <c r="AD1" s="16" t="n"/>
      <c r="AE1" s="16" t="n"/>
      <c r="AF1" s="16" t="n"/>
      <c r="AH1" s="13" t="n"/>
      <c r="AI1" s="99" t="n"/>
    </row>
    <row r="2" hidden="1">
      <c r="A2" s="1" t="n"/>
      <c r="B2" s="2" t="inlineStr">
        <is>
          <t>Jan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1" t="n"/>
      <c r="AF2" s="1" t="n"/>
      <c r="AG2" s="1" t="n"/>
    </row>
    <row r="3" hidden="1">
      <c r="A3" s="1" t="n"/>
      <c r="B3" s="2" t="inlineStr">
        <is>
          <t>Wednesday</t>
        </is>
      </c>
      <c r="C3" s="2" t="inlineStr">
        <is>
          <t>Thursday</t>
        </is>
      </c>
      <c r="D3" s="2" t="inlineStr">
        <is>
          <t>Friday</t>
        </is>
      </c>
      <c r="E3" s="2" t="inlineStr">
        <is>
          <t>Saturday</t>
        </is>
      </c>
      <c r="F3" s="2" t="inlineStr">
        <is>
          <t>Sunday</t>
        </is>
      </c>
      <c r="G3" s="2" t="inlineStr">
        <is>
          <t>Monday</t>
        </is>
      </c>
      <c r="H3" s="2" t="inlineStr">
        <is>
          <t>Tuesday</t>
        </is>
      </c>
      <c r="I3" s="2" t="inlineStr">
        <is>
          <t>Wednesday</t>
        </is>
      </c>
      <c r="J3" s="2" t="inlineStr">
        <is>
          <t>Thursday</t>
        </is>
      </c>
      <c r="K3" s="2" t="inlineStr">
        <is>
          <t>Friday</t>
        </is>
      </c>
      <c r="L3" s="2" t="inlineStr">
        <is>
          <t>Saturday</t>
        </is>
      </c>
      <c r="M3" s="2" t="inlineStr">
        <is>
          <t>Sunday</t>
        </is>
      </c>
      <c r="N3" s="2" t="inlineStr">
        <is>
          <t>Monday</t>
        </is>
      </c>
      <c r="O3" s="2" t="inlineStr">
        <is>
          <t>Tuesday</t>
        </is>
      </c>
      <c r="P3" s="2" t="inlineStr">
        <is>
          <t>Wednesday</t>
        </is>
      </c>
      <c r="Q3" s="2" t="inlineStr">
        <is>
          <t>Thursday</t>
        </is>
      </c>
      <c r="R3" s="2" t="inlineStr">
        <is>
          <t>Friday</t>
        </is>
      </c>
      <c r="S3" s="2" t="inlineStr">
        <is>
          <t>Saturday</t>
        </is>
      </c>
      <c r="T3" s="2" t="inlineStr">
        <is>
          <t>Sunday</t>
        </is>
      </c>
      <c r="U3" s="2" t="inlineStr">
        <is>
          <t>Monday</t>
        </is>
      </c>
      <c r="V3" s="2" t="inlineStr">
        <is>
          <t>Tuesday</t>
        </is>
      </c>
      <c r="W3" s="2" t="inlineStr">
        <is>
          <t>Wednesday</t>
        </is>
      </c>
      <c r="X3" s="2" t="inlineStr">
        <is>
          <t>Thursday</t>
        </is>
      </c>
      <c r="Y3" s="2" t="inlineStr">
        <is>
          <t>Friday</t>
        </is>
      </c>
      <c r="Z3" s="2" t="inlineStr">
        <is>
          <t>Saturday</t>
        </is>
      </c>
      <c r="AA3" s="2" t="inlineStr">
        <is>
          <t>Sunday</t>
        </is>
      </c>
      <c r="AB3" s="2" t="inlineStr">
        <is>
          <t>Monday</t>
        </is>
      </c>
      <c r="AC3" s="2" t="inlineStr">
        <is>
          <t>Tuesday</t>
        </is>
      </c>
      <c r="AD3" s="2" t="inlineStr">
        <is>
          <t>Wednesday</t>
        </is>
      </c>
      <c r="AE3" s="2" t="inlineStr">
        <is>
          <t>Thursday</t>
        </is>
      </c>
      <c r="AF3" s="2" t="inlineStr">
        <is>
          <t>Friday</t>
        </is>
      </c>
      <c r="AG3" s="2" t="inlineStr">
        <is>
          <t>Total</t>
        </is>
      </c>
    </row>
    <row r="4" hidden="1">
      <c r="A4" s="1" t="n"/>
      <c r="B4" s="6" t="inlineStr">
        <is>
          <t>1st</t>
        </is>
      </c>
      <c r="C4" s="6" t="inlineStr">
        <is>
          <t>2nd</t>
        </is>
      </c>
      <c r="D4" s="6" t="inlineStr">
        <is>
          <t>3rd</t>
        </is>
      </c>
      <c r="E4" s="6" t="inlineStr">
        <is>
          <t>4th</t>
        </is>
      </c>
      <c r="F4" s="6" t="inlineStr">
        <is>
          <t>5th</t>
        </is>
      </c>
      <c r="G4" s="3" t="inlineStr">
        <is>
          <t>6th</t>
        </is>
      </c>
      <c r="H4" s="3" t="inlineStr">
        <is>
          <t>7th</t>
        </is>
      </c>
      <c r="I4" s="3" t="inlineStr">
        <is>
          <t>8th</t>
        </is>
      </c>
      <c r="J4" s="3" t="inlineStr">
        <is>
          <t>9th</t>
        </is>
      </c>
      <c r="K4" s="3" t="inlineStr">
        <is>
          <t>10th</t>
        </is>
      </c>
      <c r="L4" s="3" t="inlineStr">
        <is>
          <t>11th</t>
        </is>
      </c>
      <c r="M4" s="3" t="inlineStr">
        <is>
          <t>12th</t>
        </is>
      </c>
      <c r="N4" s="4" t="inlineStr">
        <is>
          <t>13th</t>
        </is>
      </c>
      <c r="O4" s="4" t="inlineStr">
        <is>
          <t>14th</t>
        </is>
      </c>
      <c r="P4" s="4" t="inlineStr">
        <is>
          <t>15th</t>
        </is>
      </c>
      <c r="Q4" s="4" t="inlineStr">
        <is>
          <t>16th</t>
        </is>
      </c>
      <c r="R4" s="4" t="inlineStr">
        <is>
          <t>17th</t>
        </is>
      </c>
      <c r="S4" s="4" t="inlineStr">
        <is>
          <t>18th</t>
        </is>
      </c>
      <c r="T4" s="4" t="inlineStr">
        <is>
          <t>19th</t>
        </is>
      </c>
      <c r="U4" s="5" t="inlineStr">
        <is>
          <t>20th</t>
        </is>
      </c>
      <c r="V4" s="5" t="inlineStr">
        <is>
          <t>21st</t>
        </is>
      </c>
      <c r="W4" s="5" t="inlineStr">
        <is>
          <t>22nd</t>
        </is>
      </c>
      <c r="X4" s="5" t="inlineStr">
        <is>
          <t>23rd</t>
        </is>
      </c>
      <c r="Y4" s="5" t="inlineStr">
        <is>
          <t>24th</t>
        </is>
      </c>
      <c r="Z4" s="5" t="inlineStr">
        <is>
          <t>25th</t>
        </is>
      </c>
      <c r="AA4" s="5" t="inlineStr">
        <is>
          <t>26th</t>
        </is>
      </c>
      <c r="AB4" s="7" t="inlineStr">
        <is>
          <t>27th</t>
        </is>
      </c>
      <c r="AC4" s="7" t="inlineStr">
        <is>
          <t>28th</t>
        </is>
      </c>
      <c r="AD4" s="7" t="inlineStr">
        <is>
          <t>29th</t>
        </is>
      </c>
      <c r="AE4" s="7" t="inlineStr">
        <is>
          <t>30th</t>
        </is>
      </c>
      <c r="AF4" s="7" t="inlineStr">
        <is>
          <t>31st</t>
        </is>
      </c>
      <c r="AG4" s="1" t="n"/>
    </row>
    <row r="5" hidden="1" ht="15.75" customHeight="1">
      <c r="A5" s="8" t="inlineStr">
        <is>
          <t>B-HAM CITY COUNCIL-200790-70489166</t>
        </is>
      </c>
      <c r="B5" s="31" t="n"/>
      <c r="C5" s="31" t="n"/>
      <c r="D5" s="31" t="n"/>
      <c r="F5" s="31" t="n"/>
      <c r="G5" s="110" t="n"/>
      <c r="H5" s="31" t="n"/>
      <c r="J5" s="31" t="n">
        <v>61393.72</v>
      </c>
      <c r="K5" s="12" t="n"/>
      <c r="L5" s="12" t="n"/>
      <c r="M5" s="12" t="n"/>
      <c r="N5" s="12" t="n"/>
      <c r="O5" s="12" t="n"/>
      <c r="P5" s="12" t="n"/>
      <c r="Q5" s="12" t="n"/>
      <c r="R5" s="12" t="n"/>
      <c r="S5" s="12" t="n"/>
      <c r="T5" s="12" t="n"/>
      <c r="U5" s="12" t="n">
        <v>3721.83</v>
      </c>
      <c r="V5" s="12" t="n"/>
      <c r="W5" s="12" t="n"/>
      <c r="X5" s="12" t="n"/>
      <c r="Y5" s="12" t="n"/>
      <c r="Z5" s="12" t="n"/>
      <c r="AA5" s="12" t="n"/>
      <c r="AB5" s="12" t="n"/>
      <c r="AC5" s="12" t="n"/>
      <c r="AD5" s="12" t="n"/>
      <c r="AE5" s="12" t="n"/>
      <c r="AF5" s="12" t="n"/>
      <c r="AH5" s="13">
        <f>SUM(B5:AG5)</f>
        <v/>
      </c>
      <c r="AI5" s="99" t="n"/>
      <c r="AL5" s="99" t="n"/>
    </row>
    <row r="6" hidden="1" ht="15.75" customHeight="1">
      <c r="A6" s="8" t="inlineStr">
        <is>
          <t>Buckingham</t>
        </is>
      </c>
      <c r="B6" s="31" t="n"/>
      <c r="C6" s="26" t="n"/>
      <c r="D6" s="26" t="n"/>
      <c r="E6" s="9" t="n"/>
      <c r="F6" s="26" t="n"/>
      <c r="G6" s="26" t="n"/>
      <c r="H6" s="26" t="n"/>
      <c r="I6" s="9" t="n"/>
      <c r="J6" s="26" t="n"/>
      <c r="K6" s="9" t="n"/>
      <c r="L6" s="9" t="n"/>
      <c r="M6" s="9" t="n"/>
      <c r="N6" s="12" t="n"/>
      <c r="O6" s="9" t="n"/>
      <c r="P6" s="9" t="n"/>
      <c r="Q6" s="9" t="n"/>
      <c r="R6" s="9" t="n"/>
      <c r="S6" s="9" t="n"/>
      <c r="T6" s="9" t="n"/>
      <c r="U6" s="12" t="n"/>
      <c r="V6" s="9" t="n"/>
      <c r="W6" s="12" t="n"/>
      <c r="X6" s="12" t="n"/>
      <c r="Y6" s="9" t="n"/>
      <c r="Z6" s="12" t="n"/>
      <c r="AA6" s="12" t="n"/>
      <c r="AB6" s="9" t="n"/>
      <c r="AC6" s="12" t="n"/>
      <c r="AD6" s="9" t="n"/>
      <c r="AE6" s="12" t="n"/>
      <c r="AF6" s="12" t="n"/>
      <c r="AH6" s="13">
        <f>SUM(B6:AG6)</f>
        <v/>
      </c>
      <c r="AI6" s="99" t="n"/>
      <c r="AL6" s="99" t="n"/>
    </row>
    <row r="7" hidden="1" ht="15.75" customHeight="1">
      <c r="A7" s="8" t="inlineStr">
        <is>
          <t>Sandwell Respite</t>
        </is>
      </c>
      <c r="B7" s="31" t="n"/>
      <c r="D7" s="26" t="n"/>
      <c r="E7" s="9" t="n"/>
      <c r="F7" s="26" t="n"/>
      <c r="G7" s="26" t="n"/>
      <c r="H7" s="100" t="n"/>
      <c r="I7" s="26" t="n"/>
      <c r="J7" s="31" t="n"/>
      <c r="K7" s="9" t="n"/>
      <c r="L7" s="9" t="n"/>
      <c r="M7" s="9" t="n"/>
      <c r="N7" s="9" t="n"/>
      <c r="O7" s="9" t="n"/>
      <c r="P7" s="9" t="n"/>
      <c r="Q7" s="9" t="n">
        <v>7000</v>
      </c>
      <c r="R7" s="9" t="n"/>
      <c r="S7" s="9" t="n"/>
      <c r="T7" s="9" t="n"/>
      <c r="U7" s="9" t="n"/>
      <c r="V7" s="9" t="n"/>
      <c r="W7" s="9" t="n"/>
      <c r="X7" s="9" t="n"/>
      <c r="Y7" s="9" t="n"/>
      <c r="Z7" s="12" t="n"/>
      <c r="AA7" s="9" t="n"/>
      <c r="AB7" s="9" t="n"/>
      <c r="AC7" s="12" t="n"/>
      <c r="AD7" s="12" t="n"/>
      <c r="AE7" s="12" t="n">
        <v>7000</v>
      </c>
      <c r="AF7" s="9" t="n"/>
      <c r="AH7" s="13">
        <f>SUM(B7:AG7)</f>
        <v/>
      </c>
      <c r="AI7" s="99" t="n"/>
      <c r="AL7" s="99" t="n"/>
    </row>
    <row r="8" hidden="1" ht="15.75" customHeight="1">
      <c r="A8" s="8" t="inlineStr">
        <is>
          <t>Sandwell Daycare</t>
        </is>
      </c>
      <c r="B8" s="31" t="n"/>
      <c r="C8" s="26" t="n"/>
      <c r="D8" s="26" t="n"/>
      <c r="E8" s="9" t="n"/>
      <c r="F8" s="26" t="n"/>
      <c r="G8" s="26" t="n"/>
      <c r="H8" s="26" t="n"/>
      <c r="I8" s="26" t="n"/>
      <c r="J8" s="26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12" t="n"/>
      <c r="W8" s="9" t="n"/>
      <c r="X8" s="9" t="n"/>
      <c r="Y8" s="9" t="n"/>
      <c r="Z8" s="12" t="n"/>
      <c r="AA8" s="9" t="n"/>
      <c r="AB8" s="9" t="n"/>
      <c r="AC8" s="9" t="n"/>
      <c r="AD8" s="12" t="n"/>
      <c r="AE8" s="12" t="n"/>
      <c r="AF8" s="9" t="n"/>
      <c r="AG8" t="n">
        <v>10000</v>
      </c>
      <c r="AH8" s="13">
        <f>SUM(B8:AG8)</f>
        <v/>
      </c>
      <c r="AI8" s="99" t="n"/>
      <c r="AL8" s="99" t="n"/>
    </row>
    <row r="9" hidden="1" ht="15.75" customHeight="1">
      <c r="A9" s="8" t="inlineStr">
        <is>
          <t xml:space="preserve">Wolverhampton Respite </t>
        </is>
      </c>
      <c r="B9" s="31" t="n"/>
      <c r="C9" s="26" t="n"/>
      <c r="D9" s="26" t="n"/>
      <c r="E9" s="9" t="n"/>
      <c r="F9" s="26" t="n"/>
      <c r="G9" s="26" t="n">
        <v>11400</v>
      </c>
      <c r="H9" s="26" t="n"/>
      <c r="J9" s="26" t="n"/>
      <c r="K9" s="9" t="n"/>
      <c r="L9" s="12" t="n"/>
      <c r="M9" s="9" t="n"/>
      <c r="N9" s="12" t="n"/>
      <c r="O9" s="12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12" t="n"/>
      <c r="AE9" s="12" t="n"/>
      <c r="AF9" s="12" t="n"/>
      <c r="AG9" s="9" t="n"/>
      <c r="AH9" s="13">
        <f>SUM(B9:AG9)</f>
        <v/>
      </c>
      <c r="AI9" s="99" t="n"/>
      <c r="AL9" s="99" t="n"/>
    </row>
    <row r="10" hidden="1" ht="15.75" customHeight="1">
      <c r="A10" s="8" t="inlineStr">
        <is>
          <t>Wolverhampton Daycare</t>
        </is>
      </c>
      <c r="B10" s="26" t="n"/>
      <c r="C10" s="26" t="n"/>
      <c r="D10" s="26" t="n"/>
      <c r="E10" s="9" t="n"/>
      <c r="F10" s="31" t="n"/>
      <c r="G10" s="26" t="n">
        <v>5800.66</v>
      </c>
      <c r="H10" s="26" t="n">
        <v>5800.66</v>
      </c>
      <c r="I10" s="26" t="n"/>
      <c r="J10" s="26" t="n">
        <v>5800.66</v>
      </c>
      <c r="K10" s="9" t="n"/>
      <c r="L10" s="9" t="n"/>
      <c r="M10" s="12" t="n"/>
      <c r="N10" s="12" t="n"/>
      <c r="O10" s="10" t="n"/>
      <c r="P10" s="9" t="n"/>
      <c r="Q10" s="9" t="n">
        <v>5800.66</v>
      </c>
      <c r="R10" s="9" t="n"/>
      <c r="S10" s="9" t="n"/>
      <c r="T10" s="12" t="n"/>
      <c r="U10" s="9" t="n"/>
      <c r="V10" s="10" t="n"/>
      <c r="W10" s="9" t="n"/>
      <c r="X10" s="9" t="n">
        <v>5800.66</v>
      </c>
      <c r="Y10" s="9" t="n"/>
      <c r="Z10" s="9" t="n"/>
      <c r="AA10" s="9" t="n"/>
      <c r="AB10" s="9" t="n"/>
      <c r="AC10" s="9" t="n"/>
      <c r="AD10" s="12" t="n"/>
      <c r="AE10" s="9" t="n">
        <v>5800.66</v>
      </c>
      <c r="AF10" s="10" t="n"/>
      <c r="AH10" s="13">
        <f>SUM(B10:AG10)</f>
        <v/>
      </c>
      <c r="AI10" s="99" t="n"/>
      <c r="AL10" s="99" t="n"/>
    </row>
    <row r="11" hidden="1" ht="15.75" customHeight="1">
      <c r="A11" s="8" t="inlineStr">
        <is>
          <t>Walsall Respite</t>
        </is>
      </c>
      <c r="B11" s="31" t="n"/>
      <c r="C11" s="26" t="n"/>
      <c r="D11" s="26" t="n"/>
      <c r="F11" s="31" t="n"/>
      <c r="G11" s="26" t="n"/>
      <c r="H11" s="26" t="n"/>
      <c r="I11" s="26" t="n"/>
      <c r="J11" s="26" t="n"/>
      <c r="K11" s="9" t="n"/>
      <c r="L11" s="9" t="n"/>
      <c r="M11" s="12" t="n"/>
      <c r="N11" s="12" t="n"/>
      <c r="O11" s="9" t="n"/>
      <c r="P11" s="26" t="n">
        <v>8339.6</v>
      </c>
      <c r="Q11" s="9" t="n"/>
      <c r="R11" s="9" t="n"/>
      <c r="S11" s="12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12" t="n"/>
      <c r="AE11" s="12" t="n"/>
      <c r="AF11" s="12" t="n"/>
      <c r="AH11" s="13">
        <f>SUM(B11:AG11)</f>
        <v/>
      </c>
      <c r="AI11" s="99" t="n"/>
      <c r="AL11" s="99" t="n"/>
    </row>
    <row r="12" hidden="1" ht="15.75" customHeight="1">
      <c r="A12" s="8" t="inlineStr">
        <is>
          <t>Walsall Daycare</t>
        </is>
      </c>
      <c r="C12" s="26" t="n"/>
      <c r="D12" s="26" t="n"/>
      <c r="F12" s="31" t="n"/>
      <c r="G12" s="26" t="n"/>
      <c r="H12" s="26" t="n"/>
      <c r="I12" s="26" t="n"/>
      <c r="J12" s="26" t="n"/>
      <c r="K12" s="9" t="n"/>
      <c r="L12" s="9" t="n"/>
      <c r="M12" s="9" t="n"/>
      <c r="N12" s="12" t="n"/>
      <c r="O12" s="9" t="n"/>
      <c r="P12" s="9" t="n"/>
      <c r="Q12" s="9" t="n"/>
      <c r="R12" s="9" t="n"/>
      <c r="T12" s="12" t="n"/>
      <c r="U12" s="9" t="n"/>
      <c r="V12" s="9" t="n">
        <v>3040</v>
      </c>
      <c r="W12" s="9" t="n"/>
      <c r="X12" s="9" t="n"/>
      <c r="Y12" s="9" t="n"/>
      <c r="Z12" s="9" t="n"/>
      <c r="AA12" s="9" t="n"/>
      <c r="AB12" s="9" t="n"/>
      <c r="AC12" s="9" t="n"/>
      <c r="AD12" s="12" t="n"/>
      <c r="AE12" s="12" t="n"/>
      <c r="AF12" s="9" t="n"/>
      <c r="AH12" s="13">
        <f>SUM(B12:AG12)</f>
        <v/>
      </c>
      <c r="AI12" s="99" t="n"/>
    </row>
    <row r="13" hidden="1" ht="18.75" customHeight="1">
      <c r="A13" s="103" t="inlineStr">
        <is>
          <t>Ideal for All Ltd</t>
        </is>
      </c>
      <c r="B13" s="89" t="n"/>
      <c r="C13" s="89" t="n"/>
      <c r="D13" s="89" t="n"/>
      <c r="E13" s="79" t="n"/>
      <c r="F13" s="88" t="n"/>
      <c r="G13" s="89" t="n"/>
      <c r="H13" s="89" t="n"/>
      <c r="I13" s="89" t="n"/>
      <c r="J13" s="104" t="n"/>
      <c r="K13" s="109" t="n"/>
      <c r="L13" s="80" t="n"/>
      <c r="M13" s="80" t="n"/>
      <c r="N13" s="79" t="n"/>
      <c r="O13" s="80" t="n"/>
      <c r="P13" s="80" t="n"/>
      <c r="Q13" s="80" t="n"/>
      <c r="R13" s="80" t="n"/>
      <c r="S13" s="80" t="n"/>
      <c r="T13" s="80" t="n"/>
      <c r="U13" s="80" t="n"/>
      <c r="V13" s="80" t="n"/>
      <c r="W13" s="79" t="n"/>
      <c r="X13" s="80" t="n"/>
      <c r="Y13" s="80" t="n"/>
      <c r="Z13" s="79" t="n"/>
      <c r="AA13" s="79" t="n"/>
      <c r="AB13" s="80" t="n"/>
      <c r="AC13" s="79" t="n"/>
      <c r="AD13" s="80" t="n"/>
      <c r="AE13" s="79" t="n"/>
      <c r="AF13" s="79" t="n"/>
      <c r="AG13" s="81" t="n"/>
      <c r="AH13" s="13">
        <f>SUM(B13:AG13)</f>
        <v/>
      </c>
      <c r="AI13" s="99" t="n"/>
    </row>
    <row r="14" hidden="1" ht="15.75" customHeight="1">
      <c r="A14" s="8" t="inlineStr">
        <is>
          <t>KIRKLEES COUNCIL-204312-63046958</t>
        </is>
      </c>
      <c r="B14" s="31" t="n"/>
      <c r="D14" s="26" t="n"/>
      <c r="E14" s="9" t="n"/>
      <c r="F14" s="26" t="n"/>
      <c r="G14" s="31" t="n"/>
      <c r="H14" s="26" t="n"/>
      <c r="I14" s="9" t="n"/>
      <c r="J14" s="26" t="n"/>
      <c r="K14" s="9" t="n"/>
      <c r="L14" s="9" t="n"/>
      <c r="M14" s="9" t="n"/>
      <c r="N14" s="12" t="n"/>
      <c r="O14" s="12" t="n"/>
      <c r="P14" s="12" t="n"/>
      <c r="Q14" s="12" t="n"/>
      <c r="R14" s="12" t="n"/>
      <c r="S14" s="9" t="n"/>
      <c r="T14" s="12" t="n"/>
      <c r="U14" s="9" t="n"/>
      <c r="V14" s="12" t="n"/>
      <c r="W14" s="12" t="n"/>
      <c r="X14" s="9" t="n"/>
      <c r="Y14" s="9" t="n"/>
      <c r="Z14" s="9" t="n"/>
      <c r="AA14" s="9" t="n"/>
      <c r="AB14" s="9" t="n"/>
      <c r="AC14" s="9" t="n"/>
      <c r="AD14" s="12" t="n"/>
      <c r="AE14" s="9" t="n"/>
      <c r="AF14" s="9" t="n"/>
      <c r="AH14" s="13">
        <f>SUM(B14:AG14)</f>
        <v/>
      </c>
      <c r="AI14" s="99" t="n"/>
    </row>
    <row r="15" hidden="1" ht="15.75" customHeight="1">
      <c r="A15" s="8" t="inlineStr">
        <is>
          <t>LBH PAYMENTS BACS-602210-72430192</t>
        </is>
      </c>
      <c r="C15" s="26" t="n"/>
      <c r="D15" s="31" t="n"/>
      <c r="E15" s="12" t="n"/>
      <c r="F15" s="31" t="n"/>
      <c r="G15" s="26" t="n"/>
      <c r="H15" s="31" t="n"/>
      <c r="I15" s="31" t="n">
        <v>5203.8</v>
      </c>
      <c r="J15" s="31" t="n"/>
      <c r="K15" s="12" t="n"/>
      <c r="L15" s="12" t="n"/>
      <c r="M15" s="9" t="n"/>
      <c r="N15" s="9" t="n"/>
      <c r="O15" s="9" t="n"/>
      <c r="P15" s="12" t="n"/>
      <c r="Q15" s="12" t="n"/>
      <c r="R15" s="12" t="n"/>
      <c r="S15" s="12" t="n"/>
      <c r="T15" s="12" t="n"/>
      <c r="U15" s="9" t="n"/>
      <c r="V15" s="9" t="n"/>
      <c r="W15" s="9" t="n"/>
      <c r="X15" s="9" t="n"/>
      <c r="Y15" s="9" t="n"/>
      <c r="Z15" s="12" t="n"/>
      <c r="AA15" s="9" t="n"/>
      <c r="AB15" s="9" t="n"/>
      <c r="AC15" s="9" t="n"/>
      <c r="AD15" s="9" t="n"/>
      <c r="AE15" s="9" t="n"/>
      <c r="AF15" s="12" t="n"/>
      <c r="AH15" s="13">
        <f>SUM(B15:AG15)</f>
        <v/>
      </c>
      <c r="AI15" s="99" t="n"/>
    </row>
    <row r="16" hidden="1" ht="15.75" customHeight="1">
      <c r="A16" s="8" t="inlineStr">
        <is>
          <t>NHS BIRMINGHAM &amp; S-607080-10017097</t>
        </is>
      </c>
      <c r="B16" s="31" t="n"/>
      <c r="C16" s="31" t="n"/>
      <c r="D16" s="31" t="n"/>
      <c r="E16" s="9" t="n"/>
      <c r="F16" s="31" t="n"/>
      <c r="G16" s="31" t="n"/>
      <c r="I16" t="n">
        <v>7442.08</v>
      </c>
      <c r="J16" s="31" t="n"/>
      <c r="K16" s="9" t="n"/>
      <c r="L16" s="12" t="n"/>
      <c r="M16" s="9" t="n"/>
      <c r="N16" s="12" t="n"/>
      <c r="O16" s="12" t="n"/>
      <c r="P16" s="12" t="n"/>
      <c r="Q16" s="12" t="n"/>
      <c r="R16" s="12" t="n"/>
      <c r="S16" s="9" t="n"/>
      <c r="T16" s="9" t="n"/>
      <c r="U16" s="12" t="n">
        <v>5458.75</v>
      </c>
      <c r="V16" s="12" t="n"/>
      <c r="W16" s="12" t="n"/>
      <c r="X16" s="9" t="n"/>
      <c r="Y16" s="9" t="n"/>
      <c r="Z16" s="9" t="n"/>
      <c r="AA16" s="12" t="n"/>
      <c r="AB16" s="9" t="n"/>
      <c r="AC16" s="9" t="n"/>
      <c r="AD16" s="9" t="n"/>
      <c r="AE16" s="9" t="n"/>
      <c r="AF16" s="9" t="n"/>
      <c r="AH16" s="13">
        <f>SUM(B16:AG16)</f>
        <v/>
      </c>
      <c r="AI16" s="99" t="n"/>
    </row>
    <row r="17" hidden="1" ht="15.75" customHeight="1">
      <c r="A17" s="8" t="inlineStr">
        <is>
          <t>NHS BLACK COUNTRY-607080-10015272</t>
        </is>
      </c>
      <c r="B17" s="31" t="n"/>
      <c r="C17" s="31" t="n"/>
      <c r="D17" s="31" t="n"/>
      <c r="E17" s="12" t="n"/>
      <c r="F17" s="31" t="n"/>
      <c r="G17" s="31" t="n"/>
      <c r="H17" s="31" t="n"/>
      <c r="I17" s="12" t="n"/>
      <c r="J17" s="31" t="n"/>
      <c r="K17" s="12" t="n"/>
      <c r="L17" s="12" t="n"/>
      <c r="M17" s="12" t="n"/>
      <c r="N17" s="12" t="n"/>
      <c r="O17" s="12" t="n"/>
      <c r="P17" s="12" t="n">
        <v>17364.38</v>
      </c>
      <c r="Q17" s="12" t="n"/>
      <c r="R17" s="12" t="n"/>
      <c r="S17" s="9" t="n"/>
      <c r="T17" s="12" t="n"/>
      <c r="U17" s="12" t="n"/>
      <c r="V17" s="12" t="n">
        <v>1100</v>
      </c>
      <c r="W17" s="12" t="n"/>
      <c r="X17" s="9" t="n"/>
      <c r="Y17" s="9" t="n"/>
      <c r="Z17" s="9" t="n"/>
      <c r="AA17" s="9" t="n"/>
      <c r="AB17" s="12" t="n">
        <v>4832.16</v>
      </c>
      <c r="AC17" s="9" t="n"/>
      <c r="AD17" s="12" t="n"/>
      <c r="AE17" s="12" t="n">
        <v>5458.75</v>
      </c>
      <c r="AF17" s="12" t="n"/>
      <c r="AH17" s="13">
        <f>SUM(B17:AG17)</f>
        <v/>
      </c>
      <c r="AI17" s="99" t="n"/>
    </row>
    <row r="18" hidden="1" ht="15.75" customHeight="1">
      <c r="A18" s="14" t="inlineStr">
        <is>
          <t>SANDWELL MBC  BEN-601539-69624151</t>
        </is>
      </c>
      <c r="B18" s="31" t="n"/>
      <c r="C18" s="26" t="n"/>
      <c r="E18" s="9" t="n"/>
      <c r="F18" s="26" t="n"/>
      <c r="G18" s="31" t="n">
        <v>2660</v>
      </c>
      <c r="I18" s="9" t="n"/>
      <c r="J18" s="26" t="n"/>
      <c r="K18" s="12" t="n"/>
      <c r="L18" s="12" t="n"/>
      <c r="M18" s="9" t="n"/>
      <c r="N18" s="12" t="n"/>
      <c r="O18" s="12" t="n"/>
      <c r="P18" s="12" t="n"/>
      <c r="Q18" s="12" t="n"/>
      <c r="R18" s="9" t="n"/>
      <c r="S18" s="9" t="n"/>
      <c r="T18" s="9" t="n"/>
      <c r="U18" s="12" t="n"/>
      <c r="V18" s="9" t="n"/>
      <c r="W18" s="9" t="n"/>
      <c r="X18" s="9" t="n"/>
      <c r="Y18" s="12" t="n"/>
      <c r="Z18" s="9" t="n"/>
      <c r="AA18" s="9" t="n"/>
      <c r="AB18" s="9" t="n"/>
      <c r="AC18" s="12" t="n"/>
      <c r="AD18" s="12" t="n"/>
      <c r="AE18" s="12" t="n"/>
      <c r="AF18" s="12" t="n"/>
      <c r="AH18" s="13">
        <f>SUM(B18:AG18)</f>
        <v/>
      </c>
      <c r="AI18" s="99" t="n"/>
    </row>
    <row r="19" hidden="1" ht="15.75" customHeight="1">
      <c r="A19" s="14" t="inlineStr">
        <is>
          <t>SANDWELL MBC-601539-69624135</t>
        </is>
      </c>
      <c r="B19" s="26" t="n"/>
      <c r="D19" s="26" t="n"/>
      <c r="E19" s="9" t="n"/>
      <c r="F19" s="100" t="n"/>
      <c r="G19" s="26" t="n"/>
      <c r="H19" s="26" t="n"/>
      <c r="I19" s="26" t="n"/>
      <c r="J19" s="31" t="n"/>
      <c r="K19" s="25" t="n">
        <v>127034.88</v>
      </c>
      <c r="L19" s="12" t="n"/>
      <c r="M19" s="9" t="n"/>
      <c r="O19" s="12" t="n"/>
      <c r="P19" s="12" t="n"/>
      <c r="Q19" s="108" t="n">
        <v>122274.88</v>
      </c>
      <c r="R19" s="12" t="n"/>
      <c r="S19" s="12" t="n"/>
      <c r="T19" s="108" t="n"/>
      <c r="U19" s="9" t="n"/>
      <c r="V19" s="9" t="n"/>
      <c r="W19" s="12" t="n"/>
      <c r="X19" s="9" t="n"/>
      <c r="Y19" s="74" t="n"/>
      <c r="Z19" s="108" t="n"/>
      <c r="AA19" s="9" t="n"/>
      <c r="AB19" s="12" t="n"/>
      <c r="AC19" s="12" t="n"/>
      <c r="AD19" s="12" t="n"/>
      <c r="AE19" s="108" t="n">
        <v>122274.88</v>
      </c>
      <c r="AF19" s="12" t="n"/>
      <c r="AH19" s="13">
        <f>SUM(B19:AG19)</f>
        <v/>
      </c>
      <c r="AI19" s="99" t="n"/>
    </row>
    <row r="20" hidden="1" ht="15.75" customHeight="1">
      <c r="A20" s="15" t="inlineStr">
        <is>
          <t>SOLIHULL MBC EXP.-200771-00561525</t>
        </is>
      </c>
      <c r="B20" s="31" t="n"/>
      <c r="D20" s="31" t="n"/>
      <c r="F20" s="31" t="n"/>
      <c r="G20" s="31" t="n"/>
      <c r="H20" s="31" t="n"/>
      <c r="I20" s="26" t="n"/>
      <c r="J20" s="31" t="n"/>
      <c r="K20" s="12" t="n"/>
      <c r="L20" s="12" t="n"/>
      <c r="M20" s="12" t="n"/>
      <c r="N20" s="12" t="n"/>
      <c r="O20" s="12" t="n"/>
      <c r="P20" s="12" t="n"/>
      <c r="Q20" s="12" t="n"/>
      <c r="R20" s="12" t="n"/>
      <c r="S20" s="12" t="n"/>
      <c r="T20" s="12" t="n"/>
      <c r="U20" s="12" t="n"/>
      <c r="V20" s="12" t="n"/>
      <c r="W20" s="12" t="n"/>
      <c r="X20" s="12" t="n"/>
      <c r="Y20" s="12" t="n"/>
      <c r="Z20" s="12" t="n"/>
      <c r="AA20" s="12" t="n"/>
      <c r="AB20" s="12" t="n"/>
      <c r="AC20" s="12" t="n">
        <v>32010.44</v>
      </c>
      <c r="AD20" s="12" t="n"/>
      <c r="AE20" s="12" t="n"/>
      <c r="AF20" s="12" t="n"/>
      <c r="AH20" s="13">
        <f>SUM(B20:AG20)</f>
        <v/>
      </c>
      <c r="AI20" s="99" t="n"/>
    </row>
    <row r="21" hidden="1" ht="15.75" customHeight="1">
      <c r="A21" s="15" t="inlineStr">
        <is>
          <t>WALSALL MBC BARC-209073-10731692</t>
        </is>
      </c>
      <c r="B21" s="26" t="n"/>
      <c r="C21" s="31" t="n"/>
      <c r="D21" s="31" t="n"/>
      <c r="E21" s="12" t="n"/>
      <c r="F21" s="31" t="n"/>
      <c r="G21" s="31" t="n"/>
      <c r="H21" s="31" t="n"/>
      <c r="I21" s="26" t="n"/>
      <c r="J21" s="31" t="n"/>
      <c r="K21" s="12" t="n"/>
      <c r="L21" s="12" t="n"/>
      <c r="M21" s="12" t="n"/>
      <c r="N21" s="12" t="n"/>
      <c r="O21" s="12" t="n"/>
      <c r="P21" s="25">
        <f>224837.48-P11</f>
        <v/>
      </c>
      <c r="Q21" s="12" t="n"/>
      <c r="R21" s="12" t="n"/>
      <c r="S21" s="12" t="n"/>
      <c r="T21" s="12" t="n"/>
      <c r="U21" s="12" t="n"/>
      <c r="V21" s="12" t="n"/>
      <c r="W21" s="9" t="n"/>
      <c r="X21" s="12" t="n"/>
      <c r="Y21" s="12" t="n"/>
      <c r="Z21" s="12" t="n"/>
      <c r="AA21" s="12" t="n"/>
      <c r="AB21" s="12" t="n"/>
      <c r="AC21" s="12" t="n"/>
      <c r="AD21" s="12" t="n"/>
      <c r="AE21" s="12" t="n"/>
      <c r="AF21" s="12" t="n"/>
      <c r="AH21" s="13">
        <f>SUM(B21:AG21)</f>
        <v/>
      </c>
      <c r="AI21" s="99" t="n"/>
    </row>
    <row r="22" hidden="1" ht="15.75" customHeight="1">
      <c r="A22" s="15" t="inlineStr">
        <is>
          <t>WOLVERHAMPTON CC-560069-44470320</t>
        </is>
      </c>
      <c r="B22" s="26" t="n"/>
      <c r="C22" s="26" t="n"/>
      <c r="D22" s="26" t="n"/>
      <c r="E22" s="12" t="n"/>
      <c r="F22" s="26" t="n"/>
      <c r="G22" s="26">
        <f>117769.22-H10</f>
        <v/>
      </c>
      <c r="H22" s="26">
        <f>117769.22-H10</f>
        <v/>
      </c>
      <c r="J22" s="75">
        <f>120731.3-J10</f>
        <v/>
      </c>
      <c r="K22" s="9" t="n"/>
      <c r="L22" s="12" t="n"/>
      <c r="M22" s="9" t="n"/>
      <c r="N22" s="12" t="n"/>
      <c r="O22" s="12" t="n"/>
      <c r="P22" s="12" t="n"/>
      <c r="Q22" s="9" t="n">
        <v>110419.76</v>
      </c>
      <c r="R22" s="9" t="n"/>
      <c r="S22" s="12" t="n"/>
      <c r="T22" s="9" t="n"/>
      <c r="U22" s="12" t="n"/>
      <c r="V22" s="12" t="n"/>
      <c r="W22" s="12" t="n"/>
      <c r="X22" s="9" t="n">
        <v>110419.76</v>
      </c>
      <c r="Y22" s="10" t="n"/>
      <c r="Z22" s="12" t="n"/>
      <c r="AA22" s="9" t="n"/>
      <c r="AB22" s="12" t="n"/>
      <c r="AC22" s="12" t="n"/>
      <c r="AD22" s="12" t="n"/>
      <c r="AE22" s="9" t="n">
        <v>110419.76</v>
      </c>
      <c r="AF22" s="9" t="n"/>
      <c r="AH22" s="13">
        <f>SUM(B22:AG22)</f>
        <v/>
      </c>
      <c r="AI22" s="99" t="n"/>
    </row>
    <row r="23" hidden="1" ht="15.75" customHeight="1">
      <c r="A23" s="105" t="inlineStr">
        <is>
          <t>Portsmouth</t>
        </is>
      </c>
      <c r="B23" s="89" t="n"/>
      <c r="C23" s="89" t="n"/>
      <c r="D23" s="89" t="n"/>
      <c r="E23" s="81" t="n"/>
      <c r="F23" s="89" t="n"/>
      <c r="G23" s="89" t="n"/>
      <c r="H23" s="89" t="n"/>
      <c r="I23" s="88" t="n"/>
      <c r="J23" s="89" t="n"/>
      <c r="K23" s="79" t="n"/>
      <c r="L23" s="79" t="n"/>
      <c r="M23" s="79" t="n"/>
      <c r="N23" s="79" t="n"/>
      <c r="O23" s="79" t="n"/>
      <c r="P23" s="79" t="n"/>
      <c r="Q23" s="79" t="n"/>
      <c r="R23" s="79" t="n"/>
      <c r="S23" s="79" t="n"/>
      <c r="T23" s="79" t="n"/>
      <c r="U23" s="79" t="n"/>
      <c r="V23" s="79" t="n"/>
      <c r="W23" s="79" t="n"/>
      <c r="X23" s="79" t="n"/>
      <c r="Y23" s="79" t="n"/>
      <c r="Z23" s="79" t="n"/>
      <c r="AA23" s="79" t="n"/>
      <c r="AB23" s="79" t="n"/>
      <c r="AC23" s="79" t="n"/>
      <c r="AD23" s="80" t="n"/>
      <c r="AE23" s="79" t="n"/>
      <c r="AF23" s="79" t="n"/>
      <c r="AG23" s="81" t="n"/>
      <c r="AH23" s="13">
        <f>SUM(B23:AG23)</f>
        <v/>
      </c>
      <c r="AI23" s="99" t="n"/>
    </row>
    <row r="24" hidden="1" ht="15.75" customHeight="1">
      <c r="A24" s="15" t="inlineStr">
        <is>
          <t>People Plus</t>
        </is>
      </c>
      <c r="B24" s="26" t="n"/>
      <c r="C24" s="31" t="n"/>
      <c r="D24" s="31" t="n"/>
      <c r="E24" s="12" t="n"/>
      <c r="F24" s="31" t="n"/>
      <c r="G24" s="31" t="n"/>
      <c r="H24" s="31" t="n"/>
      <c r="I24" s="26" t="n"/>
      <c r="J24" s="31" t="n"/>
      <c r="K24" s="12" t="n"/>
      <c r="L24" s="12" t="n"/>
      <c r="M24" s="12" t="n"/>
      <c r="N24" s="12" t="n"/>
      <c r="O24" s="12" t="n"/>
      <c r="P24" s="12" t="n"/>
      <c r="Q24" s="12" t="n"/>
      <c r="R24" s="12" t="n"/>
      <c r="S24" s="12" t="n"/>
      <c r="T24" s="12" t="n"/>
      <c r="U24" s="12" t="n">
        <v>6067.6</v>
      </c>
      <c r="V24" s="12" t="n"/>
      <c r="W24" s="12" t="n"/>
      <c r="X24" s="12" t="n"/>
      <c r="Y24" s="12" t="n"/>
      <c r="Z24" s="12" t="n"/>
      <c r="AA24" s="12" t="n"/>
      <c r="AB24" s="12" t="n"/>
      <c r="AC24" s="12" t="n"/>
      <c r="AD24" s="9" t="n"/>
      <c r="AE24" s="12" t="n"/>
      <c r="AF24" s="12" t="n"/>
      <c r="AH24" s="13">
        <f>SUM(B24:AG24)</f>
        <v/>
      </c>
      <c r="AI24" s="99" t="n"/>
    </row>
    <row r="25" hidden="1" ht="15.75" customHeight="1">
      <c r="A25" s="15" t="inlineStr">
        <is>
          <t xml:space="preserve">Middlesbrough council </t>
        </is>
      </c>
      <c r="B25" s="26" t="n"/>
      <c r="C25" s="31" t="n"/>
      <c r="D25" s="31" t="n"/>
      <c r="E25" s="12" t="n"/>
      <c r="F25" s="31" t="n"/>
      <c r="G25" s="31" t="n"/>
      <c r="H25" s="31" t="n"/>
      <c r="I25" s="26" t="n"/>
      <c r="J25" s="31" t="n"/>
      <c r="K25" s="12" t="n"/>
      <c r="L25" s="12" t="n"/>
      <c r="M25" s="12" t="n"/>
      <c r="N25" s="12" t="n"/>
      <c r="O25" s="12" t="n"/>
      <c r="P25" s="12" t="n"/>
      <c r="Q25" s="12" t="n">
        <v>10296</v>
      </c>
      <c r="R25" s="12" t="n"/>
      <c r="S25" s="12" t="n"/>
      <c r="T25" s="12" t="n"/>
      <c r="U25" s="12" t="n"/>
      <c r="V25" s="12" t="n"/>
      <c r="W25" s="12" t="n"/>
      <c r="X25" s="12" t="n"/>
      <c r="Y25" s="12" t="n"/>
      <c r="Z25" s="12" t="n"/>
      <c r="AA25" s="12" t="n"/>
      <c r="AB25" s="12" t="n"/>
      <c r="AC25" s="12" t="n"/>
      <c r="AD25" s="9" t="n"/>
      <c r="AE25" s="12" t="n"/>
      <c r="AF25" s="12" t="n"/>
      <c r="AH25" s="13">
        <f>SUM(B25:AG25)</f>
        <v/>
      </c>
      <c r="AI25" s="99" t="n"/>
    </row>
    <row r="26" hidden="1" ht="15.75" customHeight="1">
      <c r="A26" s="15" t="inlineStr">
        <is>
          <t>CHASING</t>
        </is>
      </c>
      <c r="F26" s="31" t="n"/>
      <c r="G26" s="31" t="n"/>
      <c r="J26" s="31" t="n"/>
      <c r="K26" s="12" t="n"/>
      <c r="L26" s="12" t="n"/>
      <c r="M26" s="12" t="n"/>
      <c r="N26" s="12" t="n"/>
      <c r="O26" s="12" t="n"/>
      <c r="P26" s="12" t="n"/>
      <c r="Q26" s="12" t="n"/>
      <c r="R26" s="12" t="n"/>
      <c r="S26" s="12" t="n"/>
      <c r="T26" s="12" t="n"/>
      <c r="U26" s="12" t="n">
        <v>39000</v>
      </c>
      <c r="V26" s="12" t="n"/>
      <c r="W26" s="12" t="n"/>
      <c r="X26" s="12" t="n"/>
      <c r="Y26" s="12" t="n"/>
      <c r="Z26" s="12" t="n"/>
      <c r="AA26" s="12" t="n"/>
      <c r="AB26" s="12" t="n">
        <v>36000</v>
      </c>
      <c r="AC26" s="12" t="n"/>
      <c r="AD26" s="12" t="n"/>
      <c r="AE26" s="12" t="n"/>
      <c r="AF26" s="12" t="n"/>
      <c r="AH26" s="13">
        <f>SUM(B26:AG26)</f>
        <v/>
      </c>
      <c r="AI26" s="99" t="n"/>
    </row>
    <row r="27" hidden="1" ht="15.75" customHeight="1">
      <c r="A27" s="15" t="inlineStr">
        <is>
          <t>HB SC</t>
        </is>
      </c>
      <c r="B27" t="n">
        <v>112.69</v>
      </c>
      <c r="C27" t="n">
        <v>3545.57</v>
      </c>
      <c r="D27" t="n">
        <v>6363.94</v>
      </c>
      <c r="E27" t="n">
        <v>0</v>
      </c>
      <c r="F27" s="31" t="n">
        <v>590</v>
      </c>
      <c r="G27" s="31" t="n">
        <v>5151.929999999993</v>
      </c>
      <c r="H27" t="n">
        <v>1384.809999999998</v>
      </c>
      <c r="I27" t="n">
        <v>1132.199999999999</v>
      </c>
      <c r="J27" s="31" t="n">
        <v>4026.520000000004</v>
      </c>
      <c r="K27" s="31" t="n">
        <v>5221.040000000008</v>
      </c>
      <c r="L27" s="31" t="n">
        <v>580</v>
      </c>
      <c r="M27" s="31" t="n">
        <v>675.5599999999999</v>
      </c>
      <c r="N27" s="31" t="n">
        <v>4316.03</v>
      </c>
      <c r="O27" s="12" t="n">
        <v>4000</v>
      </c>
      <c r="P27" s="12" t="n">
        <v>4000</v>
      </c>
      <c r="Q27" s="12" t="n">
        <v>4000</v>
      </c>
      <c r="R27" s="12" t="n">
        <v>4000</v>
      </c>
      <c r="S27" s="12" t="n">
        <v>4000</v>
      </c>
      <c r="T27" s="12" t="n">
        <v>4000</v>
      </c>
      <c r="U27" s="12" t="n">
        <v>4000</v>
      </c>
      <c r="V27" s="12" t="n">
        <v>4000</v>
      </c>
      <c r="W27" s="12" t="n">
        <v>4000</v>
      </c>
      <c r="X27" s="12" t="n">
        <v>4000</v>
      </c>
      <c r="Y27" s="12" t="n">
        <v>4000</v>
      </c>
      <c r="Z27" s="12" t="n">
        <v>4000</v>
      </c>
      <c r="AA27" s="12" t="n">
        <v>4000</v>
      </c>
      <c r="AB27" s="12" t="n">
        <v>4000</v>
      </c>
      <c r="AC27" s="12" t="n">
        <v>4000</v>
      </c>
      <c r="AD27" s="12" t="n">
        <v>4000</v>
      </c>
      <c r="AE27" s="12" t="n">
        <v>4000</v>
      </c>
      <c r="AF27" s="12" t="n">
        <v>4000</v>
      </c>
      <c r="AH27" s="13">
        <f>SUM(B27:AG27)</f>
        <v/>
      </c>
      <c r="AI27" s="99" t="n"/>
    </row>
    <row r="28" ht="15.75" customHeight="1">
      <c r="A28" s="15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  <c r="O28" s="16" t="n"/>
      <c r="P28" s="16" t="n"/>
      <c r="Q28" s="16" t="n"/>
      <c r="R28" s="16" t="n"/>
      <c r="S28" s="16" t="n"/>
      <c r="T28" s="16" t="n"/>
      <c r="U28" s="16" t="n"/>
      <c r="V28" s="16" t="n"/>
      <c r="W28" s="16" t="n"/>
      <c r="X28" s="16" t="n"/>
      <c r="Y28" s="16" t="n"/>
      <c r="Z28" s="16" t="n"/>
      <c r="AA28" s="16" t="n"/>
      <c r="AB28" s="16" t="n"/>
      <c r="AC28" s="16" t="n"/>
      <c r="AD28" s="16" t="n"/>
      <c r="AE28" s="16" t="n"/>
      <c r="AF28" s="16" t="n"/>
      <c r="AH28" s="13" t="n"/>
      <c r="AI28" s="99" t="n"/>
    </row>
    <row r="29">
      <c r="A29" s="1" t="n"/>
      <c r="B29" s="2" t="inlineStr">
        <is>
          <t>Jan</t>
        </is>
      </c>
      <c r="C29" s="2" t="n"/>
      <c r="D29" s="2" t="n"/>
      <c r="E29" s="2" t="n"/>
      <c r="F29" s="2" t="n"/>
      <c r="G29" s="2" t="n"/>
      <c r="H29" s="2" t="n"/>
      <c r="I29" s="2" t="n"/>
      <c r="J29" s="2" t="n"/>
      <c r="K29" s="2" t="n"/>
      <c r="L29" s="2" t="n"/>
      <c r="M29" s="2" t="n"/>
      <c r="N29" s="2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  <c r="Y29" s="2" t="n"/>
      <c r="Z29" s="2" t="n"/>
      <c r="AA29" s="2" t="n"/>
      <c r="AB29" s="2" t="n"/>
      <c r="AC29" s="2" t="n"/>
      <c r="AD29" s="2" t="n"/>
      <c r="AE29" s="1" t="n"/>
      <c r="AF29" s="1" t="n"/>
      <c r="AG29" s="1" t="n"/>
    </row>
    <row r="30">
      <c r="A30" s="1" t="n"/>
      <c r="B30" s="2" t="inlineStr">
        <is>
          <t>Wednesday</t>
        </is>
      </c>
      <c r="C30" s="2" t="inlineStr">
        <is>
          <t>Thursday</t>
        </is>
      </c>
      <c r="D30" s="2" t="inlineStr">
        <is>
          <t>Friday</t>
        </is>
      </c>
      <c r="E30" s="2" t="inlineStr">
        <is>
          <t>Saturday</t>
        </is>
      </c>
      <c r="F30" s="2" t="inlineStr">
        <is>
          <t>Sunday</t>
        </is>
      </c>
      <c r="G30" s="2" t="inlineStr">
        <is>
          <t>Monday</t>
        </is>
      </c>
      <c r="H30" s="2" t="inlineStr">
        <is>
          <t>Tuesday</t>
        </is>
      </c>
      <c r="I30" s="2" t="inlineStr">
        <is>
          <t>Wednesday</t>
        </is>
      </c>
      <c r="J30" s="2" t="inlineStr">
        <is>
          <t>Thursday</t>
        </is>
      </c>
      <c r="K30" s="2" t="inlineStr">
        <is>
          <t>Friday</t>
        </is>
      </c>
      <c r="L30" s="2" t="inlineStr">
        <is>
          <t>Saturday</t>
        </is>
      </c>
      <c r="M30" s="2" t="inlineStr">
        <is>
          <t>Sunday</t>
        </is>
      </c>
      <c r="N30" s="2" t="inlineStr">
        <is>
          <t>Monday</t>
        </is>
      </c>
      <c r="O30" s="2" t="inlineStr">
        <is>
          <t>Tuesday</t>
        </is>
      </c>
      <c r="P30" s="2" t="inlineStr">
        <is>
          <t>Wednesday</t>
        </is>
      </c>
      <c r="Q30" s="2" t="inlineStr">
        <is>
          <t>Thursday</t>
        </is>
      </c>
      <c r="R30" s="2" t="inlineStr">
        <is>
          <t>Friday</t>
        </is>
      </c>
      <c r="S30" s="2" t="inlineStr">
        <is>
          <t>Saturday</t>
        </is>
      </c>
      <c r="T30" s="2" t="inlineStr">
        <is>
          <t>Sunday</t>
        </is>
      </c>
      <c r="U30" s="2" t="inlineStr">
        <is>
          <t>Monday</t>
        </is>
      </c>
      <c r="V30" s="2" t="inlineStr">
        <is>
          <t>Tuesday</t>
        </is>
      </c>
      <c r="W30" s="2" t="inlineStr">
        <is>
          <t>Wednesday</t>
        </is>
      </c>
      <c r="X30" s="2" t="inlineStr">
        <is>
          <t>Thursday</t>
        </is>
      </c>
      <c r="Y30" s="2" t="inlineStr">
        <is>
          <t>Friday</t>
        </is>
      </c>
      <c r="Z30" s="2" t="inlineStr">
        <is>
          <t>Saturday</t>
        </is>
      </c>
      <c r="AA30" s="2" t="inlineStr">
        <is>
          <t>Sunday</t>
        </is>
      </c>
      <c r="AB30" s="2" t="inlineStr">
        <is>
          <t>Monday</t>
        </is>
      </c>
      <c r="AC30" s="2" t="inlineStr">
        <is>
          <t>Tuesday</t>
        </is>
      </c>
      <c r="AD30" s="2" t="inlineStr">
        <is>
          <t>Wednesday</t>
        </is>
      </c>
      <c r="AE30" s="2" t="inlineStr">
        <is>
          <t>Thursday</t>
        </is>
      </c>
      <c r="AF30" s="2" t="inlineStr">
        <is>
          <t>Friday</t>
        </is>
      </c>
      <c r="AG30" s="2" t="inlineStr">
        <is>
          <t>Total</t>
        </is>
      </c>
    </row>
    <row r="31">
      <c r="A31" s="1" t="n"/>
      <c r="B31" s="6" t="inlineStr">
        <is>
          <t>1st</t>
        </is>
      </c>
      <c r="C31" s="6" t="inlineStr">
        <is>
          <t>2nd</t>
        </is>
      </c>
      <c r="D31" s="6" t="inlineStr">
        <is>
          <t>3rd</t>
        </is>
      </c>
      <c r="E31" s="6" t="inlineStr">
        <is>
          <t>4th</t>
        </is>
      </c>
      <c r="F31" s="6" t="inlineStr">
        <is>
          <t>5th</t>
        </is>
      </c>
      <c r="G31" s="3" t="inlineStr">
        <is>
          <t>6th</t>
        </is>
      </c>
      <c r="H31" s="3" t="inlineStr">
        <is>
          <t>7th</t>
        </is>
      </c>
      <c r="I31" s="3" t="inlineStr">
        <is>
          <t>8th</t>
        </is>
      </c>
      <c r="J31" s="3" t="inlineStr">
        <is>
          <t>9th</t>
        </is>
      </c>
      <c r="K31" s="3" t="inlineStr">
        <is>
          <t>10th</t>
        </is>
      </c>
      <c r="L31" s="3" t="inlineStr">
        <is>
          <t>11th</t>
        </is>
      </c>
      <c r="M31" s="3" t="inlineStr">
        <is>
          <t>12th</t>
        </is>
      </c>
      <c r="N31" s="4" t="inlineStr">
        <is>
          <t>13th</t>
        </is>
      </c>
      <c r="O31" s="4" t="inlineStr">
        <is>
          <t>14th</t>
        </is>
      </c>
      <c r="P31" s="4" t="inlineStr">
        <is>
          <t>15th</t>
        </is>
      </c>
      <c r="Q31" s="4" t="inlineStr">
        <is>
          <t>16th</t>
        </is>
      </c>
      <c r="R31" s="4" t="inlineStr">
        <is>
          <t>17th</t>
        </is>
      </c>
      <c r="S31" s="4" t="inlineStr">
        <is>
          <t>18th</t>
        </is>
      </c>
      <c r="T31" s="4" t="inlineStr">
        <is>
          <t>19th</t>
        </is>
      </c>
      <c r="U31" s="5" t="inlineStr">
        <is>
          <t>20th</t>
        </is>
      </c>
      <c r="V31" s="5" t="inlineStr">
        <is>
          <t>21st</t>
        </is>
      </c>
      <c r="W31" s="5" t="inlineStr">
        <is>
          <t>22nd</t>
        </is>
      </c>
      <c r="X31" s="5" t="inlineStr">
        <is>
          <t>23rd</t>
        </is>
      </c>
      <c r="Y31" s="5" t="inlineStr">
        <is>
          <t>24th</t>
        </is>
      </c>
      <c r="Z31" s="5" t="inlineStr">
        <is>
          <t>25th</t>
        </is>
      </c>
      <c r="AA31" s="5" t="inlineStr">
        <is>
          <t>26th</t>
        </is>
      </c>
      <c r="AB31" s="7" t="inlineStr">
        <is>
          <t>27th</t>
        </is>
      </c>
      <c r="AC31" s="7" t="inlineStr">
        <is>
          <t>28th</t>
        </is>
      </c>
      <c r="AD31" s="7" t="inlineStr">
        <is>
          <t>29th</t>
        </is>
      </c>
      <c r="AE31" s="7" t="inlineStr">
        <is>
          <t>30th</t>
        </is>
      </c>
      <c r="AF31" s="7" t="inlineStr">
        <is>
          <t>31st</t>
        </is>
      </c>
      <c r="AG31" s="1" t="n"/>
    </row>
    <row r="32" ht="15.75" customHeight="1">
      <c r="A32" s="8" t="inlineStr">
        <is>
          <t>B-HAM CITY COUNCIL-200790-70489166</t>
        </is>
      </c>
      <c r="B32" s="31" t="n"/>
      <c r="C32" s="31" t="n"/>
      <c r="D32" s="31" t="n"/>
      <c r="F32" s="31" t="n"/>
      <c r="G32" s="110" t="n"/>
      <c r="H32" s="31" t="n"/>
      <c r="J32" s="31" t="n">
        <v>61393.72</v>
      </c>
      <c r="K32" s="12" t="n"/>
      <c r="L32" s="12" t="n"/>
      <c r="M32" s="12" t="n"/>
      <c r="N32" s="12" t="n"/>
      <c r="O32" s="12" t="n"/>
      <c r="P32" s="12" t="n"/>
      <c r="Q32" s="12" t="n"/>
      <c r="R32" s="12" t="n"/>
      <c r="S32" s="12" t="n"/>
      <c r="T32" s="12" t="n"/>
      <c r="V32" s="12" t="n"/>
      <c r="W32" s="12" t="n"/>
      <c r="Y32" s="12" t="n"/>
      <c r="Z32" s="12" t="n"/>
      <c r="AA32" s="12" t="n"/>
      <c r="AB32" s="12" t="n"/>
      <c r="AC32" s="12" t="n"/>
      <c r="AE32" t="n">
        <v>61393.72</v>
      </c>
      <c r="AF32" s="12" t="n"/>
      <c r="AH32" s="13">
        <f>SUM(B32:AG32)</f>
        <v/>
      </c>
      <c r="AI32" s="99" t="n"/>
      <c r="AL32" s="99" t="n"/>
    </row>
    <row r="33" ht="15.75" customHeight="1">
      <c r="A33" s="8" t="inlineStr">
        <is>
          <t>Buckingham</t>
        </is>
      </c>
      <c r="B33" s="31" t="n"/>
      <c r="C33" s="26" t="n"/>
      <c r="D33" s="26" t="n"/>
      <c r="E33" s="9" t="n"/>
      <c r="F33" s="26" t="n"/>
      <c r="G33" s="26" t="n"/>
      <c r="H33" s="26" t="n"/>
      <c r="I33" s="9" t="n"/>
      <c r="J33" s="26" t="n"/>
      <c r="K33" s="9" t="n"/>
      <c r="L33" s="9" t="n"/>
      <c r="M33" s="9" t="n"/>
      <c r="N33" s="12" t="n"/>
      <c r="O33" s="9" t="n"/>
      <c r="P33" s="9" t="n"/>
      <c r="Q33" s="9" t="n"/>
      <c r="R33" t="n">
        <v>5134.44</v>
      </c>
      <c r="S33" s="9" t="n"/>
      <c r="T33" s="9" t="n"/>
      <c r="U33" s="12" t="n"/>
      <c r="V33" s="9" t="n"/>
      <c r="W33" s="12" t="n"/>
      <c r="X33" s="12" t="n"/>
      <c r="Y33" s="9" t="n"/>
      <c r="Z33" s="12" t="n"/>
      <c r="AA33" s="12" t="n"/>
      <c r="AB33" s="9" t="n"/>
      <c r="AC33" s="12" t="n"/>
      <c r="AD33" s="9" t="n"/>
      <c r="AE33" s="12" t="n"/>
      <c r="AF33" s="12" t="n"/>
      <c r="AH33" s="13">
        <f>SUM(B33:AG33)</f>
        <v/>
      </c>
      <c r="AI33" s="99" t="n"/>
      <c r="AL33" s="99" t="n"/>
    </row>
    <row r="34" ht="15.75" customHeight="1">
      <c r="A34" s="8" t="inlineStr">
        <is>
          <t>Sandwell Respite</t>
        </is>
      </c>
      <c r="B34" s="31" t="n"/>
      <c r="D34" s="26" t="n"/>
      <c r="E34" s="9" t="n"/>
      <c r="F34" s="26" t="n"/>
      <c r="G34" s="26" t="n"/>
      <c r="H34" s="100" t="n"/>
      <c r="I34" s="26" t="n"/>
      <c r="J34" s="31" t="n"/>
      <c r="K34" s="9" t="n"/>
      <c r="L34" s="9" t="n"/>
      <c r="M34" s="9" t="n"/>
      <c r="N34" s="9" t="n"/>
      <c r="O34" s="9" t="n"/>
      <c r="P34" s="9" t="n"/>
      <c r="R34" t="n">
        <v>2502.4</v>
      </c>
      <c r="S34" s="9" t="n"/>
      <c r="T34" s="9" t="n"/>
      <c r="U34" s="9" t="n"/>
      <c r="V34" s="9" t="n"/>
      <c r="W34" s="9" t="n"/>
      <c r="X34" s="9" t="n"/>
      <c r="Y34" s="9" t="n"/>
      <c r="Z34" s="12" t="n"/>
      <c r="AA34" s="9" t="n"/>
      <c r="AB34" s="9" t="n"/>
      <c r="AC34" s="12" t="n"/>
      <c r="AD34" s="12" t="n"/>
      <c r="AF34" s="12" t="n"/>
      <c r="AH34" s="13">
        <f>SUM(B34:AG34)</f>
        <v/>
      </c>
      <c r="AI34" s="99" t="n"/>
      <c r="AL34" s="99" t="n"/>
    </row>
    <row r="35" ht="15.75" customHeight="1">
      <c r="A35" s="8" t="inlineStr">
        <is>
          <t>Sandwell Daycare</t>
        </is>
      </c>
      <c r="B35" s="31" t="n"/>
      <c r="C35" s="26" t="n"/>
      <c r="D35" s="26" t="n"/>
      <c r="E35" s="9" t="n"/>
      <c r="F35" s="26" t="n"/>
      <c r="G35" s="26" t="n"/>
      <c r="H35" s="26" t="n"/>
      <c r="I35" s="26" t="n"/>
      <c r="J35" s="26" t="n"/>
      <c r="K35" s="9" t="n"/>
      <c r="L35" s="9" t="n"/>
      <c r="M35" s="9" t="n"/>
      <c r="N35" s="9" t="n"/>
      <c r="O35" s="9" t="n"/>
      <c r="P35" s="9" t="n"/>
      <c r="R35" t="n">
        <v>3192</v>
      </c>
      <c r="S35" s="9" t="n"/>
      <c r="T35" s="9" t="n"/>
      <c r="V35" s="26" t="n">
        <v>9765.83</v>
      </c>
      <c r="X35" s="9" t="n"/>
      <c r="Y35" s="9" t="n"/>
      <c r="Z35" s="12" t="n"/>
      <c r="AA35" s="9" t="n"/>
      <c r="AB35" s="9" t="n"/>
      <c r="AC35" s="9" t="n"/>
      <c r="AD35" s="12" t="n"/>
      <c r="AE35" s="12" t="n"/>
      <c r="AF35" s="9" t="n"/>
      <c r="AH35" s="13">
        <f>SUM(B35:AG35)</f>
        <v/>
      </c>
      <c r="AI35" s="99" t="n"/>
      <c r="AL35" s="99" t="n"/>
    </row>
    <row r="36" ht="15.75" customHeight="1">
      <c r="A36" s="8" t="inlineStr">
        <is>
          <t xml:space="preserve">Wolverhampton Respite </t>
        </is>
      </c>
      <c r="B36" s="31" t="n"/>
      <c r="C36" s="26" t="n"/>
      <c r="D36" s="26" t="n"/>
      <c r="E36" s="9" t="n"/>
      <c r="F36" s="26" t="n"/>
      <c r="G36" s="26" t="n">
        <v>11400</v>
      </c>
      <c r="H36" s="26" t="n"/>
      <c r="J36" s="26" t="n"/>
      <c r="K36" s="9" t="n"/>
      <c r="L36" s="12" t="n"/>
      <c r="M36" s="9" t="n"/>
      <c r="N36" s="12" t="n"/>
      <c r="O36" s="12" t="n"/>
      <c r="P36" s="9" t="n"/>
      <c r="Q36" s="9" t="n"/>
      <c r="R36" s="9" t="n"/>
      <c r="S36" s="9" t="n"/>
      <c r="T36" s="9" t="n"/>
      <c r="U36" s="9" t="n"/>
      <c r="V36" s="9" t="n"/>
      <c r="W36" s="9" t="n"/>
      <c r="X36" s="9" t="n"/>
      <c r="Y36" s="9" t="n"/>
      <c r="Z36" s="9" t="n"/>
      <c r="AA36" s="9" t="n"/>
      <c r="AB36" s="9" t="n"/>
      <c r="AC36" s="9" t="n"/>
      <c r="AD36" s="12" t="n"/>
      <c r="AE36" t="n">
        <v>2121.6</v>
      </c>
      <c r="AF36" s="12" t="n"/>
      <c r="AG36" s="9" t="n"/>
      <c r="AH36" s="13">
        <f>SUM(B36:AG36)</f>
        <v/>
      </c>
      <c r="AI36" s="99" t="n"/>
      <c r="AL36" s="99" t="n"/>
    </row>
    <row r="37" ht="15.75" customHeight="1">
      <c r="A37" s="8" t="inlineStr">
        <is>
          <t>Wolverhampton Daycare</t>
        </is>
      </c>
      <c r="B37" s="26" t="n"/>
      <c r="C37" s="26" t="n"/>
      <c r="D37" s="26" t="n"/>
      <c r="E37" s="9" t="n"/>
      <c r="F37" s="31" t="n"/>
      <c r="G37" s="26" t="n">
        <v>5800.66</v>
      </c>
      <c r="H37" s="26" t="n">
        <v>5800.66</v>
      </c>
      <c r="I37" s="26" t="n"/>
      <c r="J37" s="26" t="n">
        <v>5800.66</v>
      </c>
      <c r="K37" s="9" t="n"/>
      <c r="L37" s="9" t="n"/>
      <c r="M37" s="12" t="n"/>
      <c r="N37" s="12" t="n"/>
      <c r="O37" s="10" t="n"/>
      <c r="P37" s="9" t="n"/>
      <c r="Q37" s="26" t="n">
        <v>8511.059999999999</v>
      </c>
      <c r="R37" s="26" t="n"/>
      <c r="S37" s="9" t="n"/>
      <c r="T37" s="12" t="n"/>
      <c r="U37" s="9" t="n"/>
      <c r="V37" s="10" t="n"/>
      <c r="W37" s="9" t="n"/>
      <c r="X37" s="26" t="n">
        <v>5800.66</v>
      </c>
      <c r="Y37" s="9" t="n"/>
      <c r="Z37" s="9" t="n"/>
      <c r="AA37" s="9" t="n"/>
      <c r="AB37" s="9" t="n"/>
      <c r="AC37" s="9" t="n"/>
      <c r="AD37" s="12" t="n"/>
      <c r="AE37" s="26" t="n">
        <v>5800.66</v>
      </c>
      <c r="AF37" s="10" t="n"/>
      <c r="AH37" s="13">
        <f>SUM(B37:AG37)</f>
        <v/>
      </c>
      <c r="AI37" s="99" t="n"/>
      <c r="AL37" s="99" t="n"/>
    </row>
    <row r="38" ht="15.75" customHeight="1">
      <c r="A38" s="8" t="inlineStr">
        <is>
          <t>Walsall Respite</t>
        </is>
      </c>
      <c r="B38" s="31" t="n"/>
      <c r="C38" s="26" t="n"/>
      <c r="D38" s="26" t="n"/>
      <c r="F38" s="31" t="n"/>
      <c r="G38" s="26" t="n"/>
      <c r="H38" s="26" t="n"/>
      <c r="I38" s="26" t="n"/>
      <c r="J38" s="26" t="n"/>
      <c r="K38" s="9" t="n"/>
      <c r="L38" s="9" t="n"/>
      <c r="M38" s="12" t="n"/>
      <c r="N38" s="12" t="n"/>
      <c r="O38" s="26" t="n">
        <v>8339.6</v>
      </c>
      <c r="Q38" s="26" t="n"/>
      <c r="R38" s="26" t="n"/>
      <c r="S38" s="12" t="n"/>
      <c r="T38" s="9" t="n"/>
      <c r="U38" s="9" t="n"/>
      <c r="V38" s="26" t="n"/>
      <c r="W38" s="26" t="n"/>
      <c r="X38" s="26" t="n"/>
      <c r="Y38" t="n">
        <v>3040</v>
      </c>
      <c r="Z38" s="9" t="n"/>
      <c r="AA38" s="9" t="n"/>
      <c r="AB38" s="9" t="n"/>
      <c r="AC38" s="9" t="n"/>
      <c r="AD38" s="12" t="n"/>
      <c r="AE38" s="31" t="n"/>
      <c r="AF38" s="12" t="n"/>
      <c r="AH38" s="13">
        <f>SUM(B38:AG38)</f>
        <v/>
      </c>
      <c r="AI38" s="99" t="n"/>
      <c r="AL38" s="99" t="n"/>
    </row>
    <row r="39" ht="15.75" customHeight="1">
      <c r="A39" s="8" t="inlineStr">
        <is>
          <t>Walsall Daycare</t>
        </is>
      </c>
      <c r="C39" s="26" t="n"/>
      <c r="D39" s="26" t="n"/>
      <c r="F39" s="31" t="n"/>
      <c r="G39" s="26" t="n"/>
      <c r="H39" s="26" t="n"/>
      <c r="I39" s="26" t="n"/>
      <c r="J39" s="26" t="n"/>
      <c r="K39" s="9" t="n"/>
      <c r="L39" s="9" t="n"/>
      <c r="M39" s="9" t="n"/>
      <c r="N39" s="12" t="n"/>
      <c r="O39" s="9" t="n"/>
      <c r="P39" s="9" t="n"/>
      <c r="Q39" s="26" t="n"/>
      <c r="R39" s="26" t="n"/>
      <c r="T39" s="12" t="n"/>
      <c r="U39" s="9" t="n"/>
      <c r="V39" s="31" t="n"/>
      <c r="W39" s="26" t="n"/>
      <c r="X39" s="26" t="n"/>
      <c r="Y39" s="9" t="n"/>
      <c r="Z39" s="9" t="n"/>
      <c r="AA39" s="9" t="n"/>
      <c r="AB39" s="9" t="n"/>
      <c r="AC39" s="9" t="n"/>
      <c r="AD39" s="12" t="n"/>
      <c r="AE39" s="31" t="n"/>
      <c r="AF39" s="9" t="n"/>
      <c r="AH39" s="13">
        <f>SUM(B39:AG39)</f>
        <v/>
      </c>
      <c r="AI39" s="99" t="n"/>
    </row>
    <row r="40" ht="18.75" customHeight="1">
      <c r="A40" s="103" t="inlineStr">
        <is>
          <t>Ideal for All Ltd</t>
        </is>
      </c>
      <c r="B40" s="89" t="n"/>
      <c r="C40" s="89" t="n"/>
      <c r="D40" s="89" t="n"/>
      <c r="E40" s="79" t="n"/>
      <c r="F40" s="88" t="n"/>
      <c r="G40" s="89" t="n"/>
      <c r="H40" s="89" t="n"/>
      <c r="I40" s="89" t="n"/>
      <c r="J40" s="104" t="n"/>
      <c r="K40" s="109" t="n"/>
      <c r="L40" s="80" t="n"/>
      <c r="M40" s="80" t="n"/>
      <c r="N40" s="79" t="n"/>
      <c r="O40" s="80" t="n"/>
      <c r="P40" s="80" t="n"/>
      <c r="Q40" s="88" t="n"/>
      <c r="R40" s="88" t="n"/>
      <c r="S40" s="80" t="n"/>
      <c r="T40" s="80" t="n"/>
      <c r="U40" s="80" t="n"/>
      <c r="V40" s="88" t="n"/>
      <c r="W40" s="88" t="n"/>
      <c r="X40" s="88" t="n"/>
      <c r="Y40" s="80" t="n"/>
      <c r="Z40" s="79" t="n"/>
      <c r="AA40" s="79" t="n"/>
      <c r="AB40" s="80" t="n"/>
      <c r="AC40" s="79" t="n"/>
      <c r="AD40" s="80" t="n"/>
      <c r="AE40" s="89" t="n"/>
      <c r="AF40" s="79" t="n"/>
      <c r="AG40" s="81" t="n"/>
      <c r="AH40" s="13">
        <f>SUM(B40:AG40)</f>
        <v/>
      </c>
      <c r="AI40" s="99" t="n"/>
    </row>
    <row r="41" ht="15.75" customHeight="1">
      <c r="A41" s="8" t="inlineStr">
        <is>
          <t>KIRKLEES COUNCIL-204312-63046958</t>
        </is>
      </c>
      <c r="B41" s="31" t="n"/>
      <c r="D41" s="26" t="n"/>
      <c r="E41" s="9" t="n"/>
      <c r="F41" s="26" t="n"/>
      <c r="G41" s="31" t="n"/>
      <c r="H41" s="26" t="n"/>
      <c r="I41" s="9" t="n"/>
      <c r="J41" s="26" t="n"/>
      <c r="K41" s="9" t="n"/>
      <c r="L41" s="9" t="n"/>
      <c r="M41" s="9" t="n"/>
      <c r="N41" s="12" t="n"/>
      <c r="O41" s="12" t="n"/>
      <c r="P41" s="12" t="n"/>
      <c r="Q41" s="31" t="n"/>
      <c r="R41" s="31" t="n"/>
      <c r="S41" s="9" t="n"/>
      <c r="T41" s="12" t="n"/>
      <c r="U41" s="9" t="n"/>
      <c r="V41" s="31" t="n"/>
      <c r="W41" s="31" t="n"/>
      <c r="X41" s="26" t="n"/>
      <c r="Y41" s="9" t="n"/>
      <c r="Z41" s="9" t="n"/>
      <c r="AA41" s="9" t="n"/>
      <c r="AB41" s="9" t="n"/>
      <c r="AC41" s="9" t="n"/>
      <c r="AD41" s="12" t="n"/>
      <c r="AE41" s="26" t="n"/>
      <c r="AF41" s="9" t="n"/>
      <c r="AH41" s="13">
        <f>SUM(B41:AG41)</f>
        <v/>
      </c>
      <c r="AI41" s="99" t="n"/>
    </row>
    <row r="42" ht="15.75" customHeight="1">
      <c r="A42" s="8" t="inlineStr">
        <is>
          <t>LBH PAYMENTS BACS-602210-72430192</t>
        </is>
      </c>
      <c r="C42" s="26" t="n"/>
      <c r="D42" s="31" t="n"/>
      <c r="E42" s="12" t="n"/>
      <c r="F42" s="31" t="n"/>
      <c r="G42" s="26" t="n"/>
      <c r="H42" s="31" t="n"/>
      <c r="K42" s="31" t="n"/>
      <c r="L42" s="12" t="n"/>
      <c r="M42" s="9" t="n"/>
      <c r="N42" s="9" t="n"/>
      <c r="O42" s="9" t="n"/>
      <c r="P42" s="12" t="n"/>
      <c r="Q42" s="31" t="n"/>
      <c r="R42" s="31" t="n"/>
      <c r="S42" s="12" t="n"/>
      <c r="T42" s="12" t="n"/>
      <c r="U42" s="9" t="n"/>
      <c r="V42" s="31" t="n"/>
      <c r="W42" s="26" t="n"/>
      <c r="X42" s="26" t="n"/>
      <c r="Y42" s="9" t="n"/>
      <c r="Z42" s="12" t="n"/>
      <c r="AA42" s="9" t="n"/>
      <c r="AB42" s="9" t="n"/>
      <c r="AC42" s="9" t="n"/>
      <c r="AD42" t="n">
        <v>5203.8</v>
      </c>
      <c r="AE42" s="26" t="n"/>
      <c r="AF42" s="12" t="n"/>
      <c r="AH42" s="13">
        <f>SUM(B42:AG42)</f>
        <v/>
      </c>
      <c r="AI42" s="99" t="n"/>
    </row>
    <row r="43" ht="15.75" customHeight="1">
      <c r="A43" s="8" t="inlineStr">
        <is>
          <t>NHS BIRMINGHAM &amp; S-607080-10017097</t>
        </is>
      </c>
      <c r="B43" s="31" t="n"/>
      <c r="C43" s="31" t="n"/>
      <c r="D43" s="31" t="n"/>
      <c r="E43" s="9" t="n"/>
      <c r="F43" s="31" t="n"/>
      <c r="G43" s="31" t="n"/>
      <c r="I43" t="n">
        <v>7442.08</v>
      </c>
      <c r="J43" s="31" t="n"/>
      <c r="K43" s="9" t="n"/>
      <c r="L43" s="12" t="n"/>
      <c r="M43" s="9" t="n"/>
      <c r="N43" s="12" t="n"/>
      <c r="O43" s="12" t="n"/>
      <c r="P43" s="12" t="n"/>
      <c r="Q43" s="31" t="n"/>
      <c r="R43" s="31" t="n"/>
      <c r="S43" s="9" t="n"/>
      <c r="T43" s="9" t="n"/>
      <c r="V43" s="31" t="n"/>
      <c r="W43" s="31" t="n"/>
      <c r="X43" s="31" t="n"/>
      <c r="Y43" s="9" t="n"/>
      <c r="Z43" s="9" t="n"/>
      <c r="AA43" s="12" t="n"/>
      <c r="AB43" s="9" t="n"/>
      <c r="AC43" s="9" t="n"/>
      <c r="AE43" s="31" t="n"/>
      <c r="AF43" s="9" t="n"/>
      <c r="AH43" s="13">
        <f>SUM(B43:AG43)</f>
        <v/>
      </c>
      <c r="AI43" s="99" t="n"/>
    </row>
    <row r="44" ht="15.75" customHeight="1">
      <c r="A44" s="8" t="inlineStr">
        <is>
          <t>NHS BLACK COUNTRY-607080-10015272</t>
        </is>
      </c>
      <c r="B44" s="31" t="n"/>
      <c r="C44" s="31" t="n"/>
      <c r="D44" s="31" t="n"/>
      <c r="E44" s="12" t="n"/>
      <c r="F44" s="31" t="n"/>
      <c r="G44" s="31" t="n"/>
      <c r="H44" s="31" t="n"/>
      <c r="I44" s="12" t="n"/>
      <c r="J44" s="31" t="n"/>
      <c r="K44" s="12" t="n"/>
      <c r="L44" s="12" t="n"/>
      <c r="M44" s="12" t="n"/>
      <c r="N44" s="12" t="n"/>
      <c r="O44" s="31" t="n"/>
      <c r="P44" s="31" t="n">
        <v>17943.19</v>
      </c>
      <c r="Q44" s="31" t="n"/>
      <c r="R44" s="31" t="n"/>
      <c r="S44" s="9" t="n"/>
      <c r="T44" s="12" t="n"/>
      <c r="U44" s="12" t="n"/>
      <c r="V44" s="31" t="n"/>
      <c r="W44" s="31" t="n"/>
      <c r="X44" s="26" t="n"/>
      <c r="Y44" t="n">
        <v>4087.6</v>
      </c>
      <c r="Z44" s="12" t="n"/>
      <c r="AA44" s="9" t="n"/>
      <c r="AB44" s="12" t="n"/>
      <c r="AC44" s="9" t="n"/>
      <c r="AD44" s="12" t="n"/>
      <c r="AE44" s="31" t="n"/>
      <c r="AF44" s="12" t="n"/>
      <c r="AH44" s="13">
        <f>SUM(B44:AG44)</f>
        <v/>
      </c>
      <c r="AI44" s="99" t="n"/>
    </row>
    <row r="45" ht="15.75" customHeight="1">
      <c r="A45" s="14" t="inlineStr">
        <is>
          <t>SANDWELL MBC  BEN-601539-69624151</t>
        </is>
      </c>
      <c r="B45" s="31" t="n"/>
      <c r="C45" s="26" t="n"/>
      <c r="E45" s="9" t="n"/>
      <c r="F45" s="26" t="n"/>
      <c r="G45" s="31" t="n">
        <v>2660</v>
      </c>
      <c r="I45" s="9" t="n"/>
      <c r="J45" s="26" t="n"/>
      <c r="K45" s="12" t="n"/>
      <c r="L45" s="12" t="n"/>
      <c r="M45" s="9" t="n"/>
      <c r="N45" s="12" t="n"/>
      <c r="O45" s="31" t="n"/>
      <c r="P45" s="31" t="n"/>
      <c r="Q45" s="31" t="n"/>
      <c r="R45" s="26" t="n"/>
      <c r="S45" s="9" t="n"/>
      <c r="T45" s="9" t="n"/>
      <c r="U45" s="12" t="n"/>
      <c r="V45" s="26" t="n"/>
      <c r="W45" s="31" t="n"/>
      <c r="X45" s="26" t="n"/>
      <c r="Y45" s="12" t="n"/>
      <c r="Z45" s="9" t="n"/>
      <c r="AA45" s="9" t="n"/>
      <c r="AB45" s="9" t="n"/>
      <c r="AC45" s="12" t="n"/>
      <c r="AD45" s="12" t="n"/>
      <c r="AE45" s="31" t="n"/>
      <c r="AF45" s="12" t="n"/>
      <c r="AH45" s="13">
        <f>SUM(B45:AG45)</f>
        <v/>
      </c>
      <c r="AI45" s="99" t="n"/>
    </row>
    <row r="46" ht="15.75" customHeight="1">
      <c r="A46" s="14" t="inlineStr">
        <is>
          <t>SANDWELL MBC-601539-69624135</t>
        </is>
      </c>
      <c r="B46" s="26" t="n"/>
      <c r="D46" s="26" t="n"/>
      <c r="E46" s="9" t="n"/>
      <c r="F46" s="100" t="n"/>
      <c r="G46" s="26" t="n"/>
      <c r="H46" s="26" t="n"/>
      <c r="I46" s="26" t="n"/>
      <c r="J46" s="31" t="n"/>
      <c r="K46" s="25" t="n">
        <v>127034.88</v>
      </c>
      <c r="L46" s="12" t="n"/>
      <c r="M46" s="9" t="n"/>
      <c r="O46" s="31" t="n"/>
      <c r="P46" s="31" t="n"/>
      <c r="Q46" s="31" t="n"/>
      <c r="R46" s="31" t="n"/>
      <c r="S46" s="12" t="n"/>
      <c r="T46" s="108" t="n"/>
      <c r="U46" s="25" t="n">
        <v>127034.88</v>
      </c>
      <c r="V46" s="26" t="n"/>
      <c r="W46" s="31" t="n"/>
      <c r="X46" s="26" t="n"/>
      <c r="Y46" s="74" t="n"/>
      <c r="Z46" s="108" t="n"/>
      <c r="AA46" s="9" t="n"/>
      <c r="AB46" s="12" t="n"/>
      <c r="AC46" s="12" t="n"/>
      <c r="AD46" s="12" t="n"/>
      <c r="AE46" s="31" t="n"/>
      <c r="AF46" s="74" t="n"/>
      <c r="AH46" s="13">
        <f>SUM(B46:AG46)</f>
        <v/>
      </c>
      <c r="AI46" s="99" t="n"/>
    </row>
    <row r="47" ht="15.75" customHeight="1">
      <c r="A47" s="15" t="inlineStr">
        <is>
          <t>SOLIHULL MBC EXP.-200771-00561525</t>
        </is>
      </c>
      <c r="B47" s="31" t="n"/>
      <c r="D47" s="31" t="n"/>
      <c r="F47" s="31" t="n"/>
      <c r="G47" s="31" t="n"/>
      <c r="H47" s="31" t="n"/>
      <c r="I47" s="26" t="n"/>
      <c r="J47" s="31" t="n"/>
      <c r="K47" s="12" t="n"/>
      <c r="L47" s="12" t="n"/>
      <c r="M47" s="12" t="n"/>
      <c r="N47" s="12" t="n"/>
      <c r="O47" s="31" t="n"/>
      <c r="P47" s="31" t="n"/>
      <c r="Q47" s="31" t="n"/>
      <c r="R47" s="31" t="n"/>
      <c r="S47" s="12" t="n"/>
      <c r="T47" s="12" t="n"/>
      <c r="U47" s="12" t="n"/>
      <c r="V47" s="31" t="n"/>
      <c r="W47" s="31" t="n"/>
      <c r="X47" s="31" t="n"/>
      <c r="Y47" s="12" t="n"/>
      <c r="Z47" s="12" t="n"/>
      <c r="AA47" s="12" t="n"/>
      <c r="AB47" t="n">
        <v>32010.44</v>
      </c>
      <c r="AD47" s="12" t="n"/>
      <c r="AE47" s="31" t="n"/>
      <c r="AF47" s="12" t="n"/>
      <c r="AH47" s="13">
        <f>SUM(B47:AG47)</f>
        <v/>
      </c>
      <c r="AI47" s="99" t="n"/>
    </row>
    <row r="48" ht="15.75" customHeight="1">
      <c r="A48" s="15" t="inlineStr">
        <is>
          <t>WALSALL MBC BARC-209073-10731692</t>
        </is>
      </c>
      <c r="B48" s="26" t="n"/>
      <c r="C48" s="31" t="n"/>
      <c r="D48" s="31" t="n"/>
      <c r="E48" s="12" t="n"/>
      <c r="F48" s="31" t="n"/>
      <c r="G48" s="31" t="n"/>
      <c r="H48" s="31" t="n"/>
      <c r="I48" s="26" t="n"/>
      <c r="J48" s="31" t="n"/>
      <c r="K48" s="12" t="n"/>
      <c r="L48" s="12" t="n"/>
      <c r="M48" s="12" t="n"/>
      <c r="N48" s="12" t="n"/>
      <c r="O48" s="75">
        <f>224837.48-O38</f>
        <v/>
      </c>
      <c r="P48" s="31" t="n"/>
      <c r="Q48" s="31" t="n"/>
      <c r="R48" s="31" t="n"/>
      <c r="S48" s="12" t="n"/>
      <c r="T48" s="12" t="n"/>
      <c r="U48" s="12" t="n"/>
      <c r="V48" s="31" t="n"/>
      <c r="W48" s="26" t="n"/>
      <c r="X48" s="31" t="n"/>
      <c r="Y48" s="12" t="n"/>
      <c r="Z48" s="12" t="n"/>
      <c r="AA48" s="12" t="n"/>
      <c r="AB48" s="12" t="n"/>
      <c r="AC48" s="12" t="n"/>
      <c r="AD48" s="12" t="n"/>
      <c r="AE48" s="31" t="n"/>
      <c r="AF48" s="12" t="n"/>
      <c r="AH48" s="13">
        <f>SUM(B48:AG48)</f>
        <v/>
      </c>
      <c r="AI48" s="99" t="n"/>
    </row>
    <row r="49" ht="15.75" customHeight="1">
      <c r="A49" s="15" t="inlineStr">
        <is>
          <t>WOLVERHAMPTON CC-560069-44470320</t>
        </is>
      </c>
      <c r="B49" s="26" t="n"/>
      <c r="C49" s="26" t="n"/>
      <c r="D49" s="26" t="n"/>
      <c r="E49" s="12" t="n"/>
      <c r="F49" s="26" t="n"/>
      <c r="G49" s="26">
        <f>117769.22-H37</f>
        <v/>
      </c>
      <c r="H49" s="26">
        <f>117769.22-H37</f>
        <v/>
      </c>
      <c r="J49" s="75">
        <f>120731.3-J37</f>
        <v/>
      </c>
      <c r="K49" s="9" t="n"/>
      <c r="L49" s="12" t="n"/>
      <c r="M49" s="9" t="n"/>
      <c r="N49" s="12" t="n"/>
      <c r="O49" s="31" t="n"/>
      <c r="P49" s="31" t="n"/>
      <c r="Q49" s="26" t="n"/>
      <c r="R49" s="26" t="n">
        <v>109016.16</v>
      </c>
      <c r="S49" s="12" t="n"/>
      <c r="T49" s="9" t="n"/>
      <c r="U49" s="12" t="n"/>
      <c r="V49" s="31" t="n"/>
      <c r="W49" s="31" t="n"/>
      <c r="X49" s="75">
        <f>116597.94-X37</f>
        <v/>
      </c>
      <c r="Y49" s="10" t="n"/>
      <c r="Z49" s="12" t="n"/>
      <c r="AA49" s="9" t="n"/>
      <c r="AB49" s="12" t="n"/>
      <c r="AC49" s="12" t="n"/>
      <c r="AD49" s="12" t="n"/>
      <c r="AE49" s="26">
        <f>120005.3-AE37</f>
        <v/>
      </c>
      <c r="AF49" s="9" t="n"/>
      <c r="AH49" s="13">
        <f>SUM(B49:AG49)</f>
        <v/>
      </c>
      <c r="AI49" s="99" t="n"/>
    </row>
    <row r="50" ht="15.75" customHeight="1">
      <c r="A50" s="105" t="inlineStr">
        <is>
          <t>Portsmouth</t>
        </is>
      </c>
      <c r="B50" s="89" t="n"/>
      <c r="C50" s="89" t="n"/>
      <c r="D50" s="89" t="n"/>
      <c r="E50" s="81" t="n"/>
      <c r="F50" s="89" t="n"/>
      <c r="G50" s="89" t="n"/>
      <c r="H50" s="89" t="n"/>
      <c r="I50" s="88" t="n"/>
      <c r="J50" s="89" t="n"/>
      <c r="K50" s="79" t="n"/>
      <c r="L50" s="79" t="n"/>
      <c r="M50" s="79" t="n"/>
      <c r="N50" s="79" t="n"/>
      <c r="O50" s="89" t="n"/>
      <c r="P50" s="89" t="n"/>
      <c r="Q50" s="89" t="n"/>
      <c r="R50" s="89" t="n"/>
      <c r="S50" s="79" t="n"/>
      <c r="T50" s="79" t="n"/>
      <c r="U50" s="79" t="n"/>
      <c r="V50" s="89" t="n"/>
      <c r="W50" s="89" t="n"/>
      <c r="X50" s="89" t="n"/>
      <c r="Y50" s="79" t="n"/>
      <c r="Z50" s="79" t="n"/>
      <c r="AA50" s="79" t="n"/>
      <c r="AB50" s="79" t="n"/>
      <c r="AC50" s="79" t="n"/>
      <c r="AD50" s="80" t="n"/>
      <c r="AE50" s="79" t="n"/>
      <c r="AF50" s="79" t="n"/>
      <c r="AG50" s="81" t="n"/>
      <c r="AH50" s="13">
        <f>SUM(B50:AG50)</f>
        <v/>
      </c>
      <c r="AI50" s="99" t="n"/>
    </row>
    <row r="51" ht="15.75" customHeight="1">
      <c r="A51" s="15" t="inlineStr">
        <is>
          <t>People Plus</t>
        </is>
      </c>
      <c r="B51" s="26" t="n"/>
      <c r="C51" s="31" t="n"/>
      <c r="D51" s="31" t="n"/>
      <c r="E51" s="12" t="n"/>
      <c r="F51" s="31" t="n"/>
      <c r="G51" s="31" t="n"/>
      <c r="H51" s="31" t="n"/>
      <c r="I51" s="26" t="n"/>
      <c r="J51" s="31" t="n"/>
      <c r="K51" s="12" t="n"/>
      <c r="L51" s="12" t="n"/>
      <c r="M51" s="12" t="n"/>
      <c r="N51" s="12" t="n"/>
      <c r="O51" s="31" t="n"/>
      <c r="P51" s="31" t="n"/>
      <c r="Q51" s="31" t="n"/>
      <c r="R51" s="31" t="n"/>
      <c r="S51" s="12" t="n"/>
      <c r="T51" s="12" t="n"/>
      <c r="V51" s="31" t="n"/>
      <c r="W51" s="31" t="n"/>
      <c r="X51" s="31" t="n"/>
      <c r="Y51" s="12" t="n"/>
      <c r="Z51" s="12" t="n"/>
      <c r="AA51" s="12" t="n"/>
      <c r="AB51" s="12" t="n"/>
      <c r="AD51" s="12" t="n"/>
      <c r="AE51" s="12" t="n"/>
      <c r="AF51" t="n">
        <v>5465.2</v>
      </c>
      <c r="AH51" s="13">
        <f>SUM(B51:AG51)</f>
        <v/>
      </c>
      <c r="AI51" s="99" t="n"/>
    </row>
    <row r="52" ht="15.75" customHeight="1">
      <c r="A52" s="15" t="inlineStr">
        <is>
          <t xml:space="preserve">Middlesbrough council </t>
        </is>
      </c>
      <c r="B52" s="26" t="n"/>
      <c r="C52" s="31" t="n"/>
      <c r="D52" s="31" t="n"/>
      <c r="E52" s="12" t="n"/>
      <c r="F52" s="31" t="n"/>
      <c r="G52" s="31" t="n"/>
      <c r="H52" s="31" t="n"/>
      <c r="I52" s="26" t="n"/>
      <c r="J52" s="31" t="n"/>
      <c r="K52" s="12" t="n"/>
      <c r="L52" s="12" t="n"/>
      <c r="M52" s="12" t="n"/>
      <c r="N52" s="12" t="n"/>
      <c r="O52" s="31" t="n"/>
      <c r="P52" s="31" t="n"/>
      <c r="Q52" s="31" t="n"/>
      <c r="R52" s="31" t="n"/>
      <c r="S52" s="12" t="n"/>
      <c r="T52" s="12" t="n"/>
      <c r="U52" s="12" t="n"/>
      <c r="V52" s="31" t="n"/>
      <c r="W52" s="31" t="n"/>
      <c r="X52" s="31" t="n"/>
      <c r="Y52" s="25" t="n">
        <v>5544</v>
      </c>
      <c r="AA52" s="12" t="n"/>
      <c r="AC52" s="12" t="n"/>
      <c r="AD52" s="9" t="n"/>
      <c r="AE52" s="12" t="n"/>
      <c r="AF52" s="12" t="n"/>
      <c r="AH52" s="13">
        <f>SUM(B52:AG52)</f>
        <v/>
      </c>
      <c r="AI52" s="99" t="n"/>
    </row>
    <row r="53" ht="15.75" customHeight="1">
      <c r="A53" s="15" t="inlineStr">
        <is>
          <t>CHASING</t>
        </is>
      </c>
      <c r="F53" s="31" t="n"/>
      <c r="G53" s="31" t="n"/>
      <c r="J53" s="31" t="n"/>
      <c r="K53" s="12" t="n"/>
      <c r="L53" s="12" t="n"/>
      <c r="M53" s="12" t="n"/>
      <c r="N53" s="12" t="n"/>
      <c r="O53" s="31" t="n"/>
      <c r="P53" s="31" t="n"/>
      <c r="Q53" s="31" t="n"/>
      <c r="R53" s="31" t="n"/>
      <c r="S53" s="12" t="n"/>
      <c r="T53" s="12" t="n"/>
      <c r="V53" s="31" t="n"/>
      <c r="W53" s="31" t="n"/>
      <c r="X53" s="31" t="n"/>
      <c r="Y53" s="12" t="n"/>
      <c r="Z53" s="12" t="n"/>
      <c r="AA53" s="12" t="n"/>
      <c r="AD53" s="12" t="n"/>
      <c r="AE53" s="12" t="n"/>
      <c r="AF53" s="12" t="n"/>
      <c r="AH53" s="13">
        <f>SUM(B53:AG53)</f>
        <v/>
      </c>
      <c r="AI53" s="99" t="n"/>
    </row>
    <row r="54" ht="15.75" customHeight="1">
      <c r="A54" s="15" t="inlineStr">
        <is>
          <t>HB SC</t>
        </is>
      </c>
      <c r="B54" t="n">
        <v>0</v>
      </c>
      <c r="C54" t="n">
        <v>3545.57</v>
      </c>
      <c r="D54" t="n">
        <v>6363.94</v>
      </c>
      <c r="E54" t="n">
        <v>0</v>
      </c>
      <c r="F54" s="31" t="n">
        <v>590</v>
      </c>
      <c r="G54" s="31" t="n">
        <v>5151.929999999993</v>
      </c>
      <c r="H54" t="n">
        <v>1384.809999999998</v>
      </c>
      <c r="I54" t="n">
        <v>3487.24</v>
      </c>
      <c r="J54" s="31" t="n">
        <v>4026.520000000004</v>
      </c>
      <c r="K54" s="31" t="n">
        <v>5221.040000000008</v>
      </c>
      <c r="L54" s="31" t="n">
        <v>580</v>
      </c>
      <c r="M54" s="31" t="n">
        <v>675.5599999999999</v>
      </c>
      <c r="N54" s="31" t="n">
        <v>4616.03</v>
      </c>
      <c r="O54" s="31" t="n">
        <v>2591.830000000016</v>
      </c>
      <c r="P54" s="31" t="n">
        <v>2861</v>
      </c>
      <c r="Q54" s="31" t="n">
        <v>2016.469999999999</v>
      </c>
      <c r="R54" s="31" t="n">
        <v>5625.510000000006</v>
      </c>
      <c r="S54" s="31" t="n">
        <v>440</v>
      </c>
      <c r="T54" s="31" t="n">
        <v>200</v>
      </c>
      <c r="U54" s="31" t="n">
        <v>4263.5</v>
      </c>
      <c r="V54" s="31" t="n">
        <v>4423.85</v>
      </c>
      <c r="W54" s="31" t="n">
        <v>2014.36</v>
      </c>
      <c r="X54" s="31" t="n">
        <v>4410.419999999998</v>
      </c>
      <c r="Y54" s="31" t="n">
        <v>3526.51</v>
      </c>
      <c r="Z54" s="31" t="n">
        <v>208</v>
      </c>
      <c r="AA54" s="31" t="n">
        <v>200</v>
      </c>
      <c r="AB54" s="31" t="n">
        <v>16146.12</v>
      </c>
      <c r="AC54" s="31" t="n">
        <v>4128.51</v>
      </c>
      <c r="AD54" s="31" t="n">
        <v>9746.590000000015</v>
      </c>
      <c r="AE54" s="31" t="n">
        <v>6992.679999999978</v>
      </c>
      <c r="AF54" s="31" t="n">
        <v>3180.840000000001</v>
      </c>
      <c r="AH54" s="13">
        <f>SUM(B54:AG54)</f>
        <v/>
      </c>
      <c r="AI54" s="99" t="n"/>
    </row>
    <row r="55" ht="16.5" customHeight="1" thickBot="1">
      <c r="A55" s="15" t="inlineStr">
        <is>
          <t xml:space="preserve">Total </t>
        </is>
      </c>
      <c r="B55" s="67">
        <f>SUM(B32:B54)</f>
        <v/>
      </c>
      <c r="C55" s="67">
        <f>SUM(C32:C54)</f>
        <v/>
      </c>
      <c r="D55" s="67">
        <f>SUM(D32:D54)</f>
        <v/>
      </c>
      <c r="E55" s="67">
        <f>SUM(E32:E54)</f>
        <v/>
      </c>
      <c r="F55" s="111">
        <f>SUM(F32:F54)</f>
        <v/>
      </c>
      <c r="G55" s="111">
        <f>SUM(G32:G54)</f>
        <v/>
      </c>
      <c r="H55" s="67">
        <f>SUM(H32:H54)</f>
        <v/>
      </c>
      <c r="I55" s="67">
        <f>SUM(I32:I54)</f>
        <v/>
      </c>
      <c r="J55" s="67">
        <f>SUM(J32:J54)</f>
        <v/>
      </c>
      <c r="K55" s="67">
        <f>SUM(K32:K54)</f>
        <v/>
      </c>
      <c r="L55" s="67">
        <f>SUM(L32:L54)</f>
        <v/>
      </c>
      <c r="M55" s="67">
        <f>SUM(M32:M54)</f>
        <v/>
      </c>
      <c r="N55" s="67">
        <f>SUM(N32:N54)</f>
        <v/>
      </c>
      <c r="O55" s="67">
        <f>SUM(O32:O54)</f>
        <v/>
      </c>
      <c r="P55" s="67">
        <f>SUM(P32:P54)</f>
        <v/>
      </c>
      <c r="Q55" s="67">
        <f>SUM(Q32:Q54)</f>
        <v/>
      </c>
      <c r="R55" s="67">
        <f>SUM(R32:R54)</f>
        <v/>
      </c>
      <c r="S55" s="67">
        <f>SUM(S32:S54)</f>
        <v/>
      </c>
      <c r="T55" s="67">
        <f>SUM(T32:T54)</f>
        <v/>
      </c>
      <c r="U55" s="67">
        <f>SUM(U32:U54)</f>
        <v/>
      </c>
      <c r="V55" s="67">
        <f>SUM(V32:V54)</f>
        <v/>
      </c>
      <c r="W55" s="67">
        <f>SUM(W32:W54)</f>
        <v/>
      </c>
      <c r="X55" s="67">
        <f>SUM(X32:X54)</f>
        <v/>
      </c>
      <c r="Y55" s="67">
        <f>SUM(Y32:Y54)</f>
        <v/>
      </c>
      <c r="Z55" s="67">
        <f>SUM(Z32:Z54)</f>
        <v/>
      </c>
      <c r="AA55" s="67">
        <f>SUM(AA32:AA54)</f>
        <v/>
      </c>
      <c r="AB55" s="67">
        <f>SUM(AB32:AB54)</f>
        <v/>
      </c>
      <c r="AC55" s="67">
        <f>SUM(AC32:AC54)</f>
        <v/>
      </c>
      <c r="AD55" s="67">
        <f>SUM(AD32:AD54)</f>
        <v/>
      </c>
      <c r="AE55" s="67">
        <f>SUM(AE32:AE54)</f>
        <v/>
      </c>
      <c r="AF55" s="67">
        <f>SUM(AF32:AF54)</f>
        <v/>
      </c>
      <c r="AG55" s="67" t="n"/>
      <c r="AH55" s="22">
        <f>SUM(AH32:AH54)</f>
        <v/>
      </c>
    </row>
    <row r="56" ht="16.5" customHeight="1" thickBot="1" thickTop="1">
      <c r="A56" s="15" t="inlineStr">
        <is>
          <t>Running Total</t>
        </is>
      </c>
      <c r="B56" s="69">
        <f>B55</f>
        <v/>
      </c>
      <c r="C56" s="69">
        <f>C55+B56</f>
        <v/>
      </c>
      <c r="D56" s="69">
        <f>D55+C56</f>
        <v/>
      </c>
      <c r="E56" s="69">
        <f>E55+D56</f>
        <v/>
      </c>
      <c r="F56" s="112">
        <f>F55+E56</f>
        <v/>
      </c>
      <c r="G56" s="112">
        <f>G55+F56</f>
        <v/>
      </c>
      <c r="H56" s="69">
        <f>H55+G56</f>
        <v/>
      </c>
      <c r="I56" s="69">
        <f>I55+H56</f>
        <v/>
      </c>
      <c r="J56" s="69">
        <f>J55+I56</f>
        <v/>
      </c>
      <c r="K56" s="69">
        <f>K55+J56</f>
        <v/>
      </c>
      <c r="L56" s="69">
        <f>L55+K56</f>
        <v/>
      </c>
      <c r="M56" s="69">
        <f>M55+L56</f>
        <v/>
      </c>
      <c r="N56" s="69">
        <f>N55+M56</f>
        <v/>
      </c>
      <c r="O56" s="69">
        <f>O55+N56</f>
        <v/>
      </c>
      <c r="P56" s="69">
        <f>P55+O56</f>
        <v/>
      </c>
      <c r="Q56" s="69">
        <f>Q55+P56</f>
        <v/>
      </c>
      <c r="R56" s="69">
        <f>R55+Q56</f>
        <v/>
      </c>
      <c r="S56" s="69">
        <f>S55+R56</f>
        <v/>
      </c>
      <c r="T56" s="69">
        <f>T55+S56</f>
        <v/>
      </c>
      <c r="U56" s="69">
        <f>U55+T56</f>
        <v/>
      </c>
      <c r="V56" s="69">
        <f>V55+U56</f>
        <v/>
      </c>
      <c r="W56" s="69">
        <f>W55+V56</f>
        <v/>
      </c>
      <c r="X56" s="69">
        <f>X55+W56</f>
        <v/>
      </c>
      <c r="Y56" s="69">
        <f>Y55+X56</f>
        <v/>
      </c>
      <c r="Z56" s="69">
        <f>Z55+Y56</f>
        <v/>
      </c>
      <c r="AA56" s="69">
        <f>AA55+Z56</f>
        <v/>
      </c>
      <c r="AB56" s="69">
        <f>AB55+AA56</f>
        <v/>
      </c>
      <c r="AC56" s="69">
        <f>AC55+AB56</f>
        <v/>
      </c>
      <c r="AD56" s="69">
        <f>AD55+AC56</f>
        <v/>
      </c>
      <c r="AE56" s="69">
        <f>AE55+AD56</f>
        <v/>
      </c>
      <c r="AF56" s="69">
        <f>AF55+AE56</f>
        <v/>
      </c>
      <c r="AG56" s="69" t="n"/>
    </row>
    <row r="57" ht="15.75" customHeight="1" thickTop="1"/>
    <row r="59">
      <c r="A59" s="96" t="inlineStr">
        <is>
          <t xml:space="preserve">Chasing </t>
        </is>
      </c>
    </row>
    <row r="60">
      <c r="A60" s="15" t="inlineStr">
        <is>
          <t>Birmingham</t>
        </is>
      </c>
      <c r="B60" t="n">
        <v>10361.51</v>
      </c>
    </row>
    <row r="61">
      <c r="A61" s="15" t="inlineStr">
        <is>
          <t>Sandwell</t>
        </is>
      </c>
      <c r="B61" s="25" t="n">
        <v>6272.32</v>
      </c>
    </row>
    <row r="62">
      <c r="A62" s="15" t="inlineStr">
        <is>
          <t>NHS Black country</t>
        </is>
      </c>
      <c r="B62" t="n">
        <v>4841.6</v>
      </c>
    </row>
    <row r="63">
      <c r="A63" s="15" t="inlineStr">
        <is>
          <t>NHS Black Country TRUST</t>
        </is>
      </c>
      <c r="B63" t="n">
        <v>13200</v>
      </c>
    </row>
    <row r="64">
      <c r="A64" s="15" t="inlineStr">
        <is>
          <t xml:space="preserve">NHS Birmingham </t>
        </is>
      </c>
    </row>
    <row r="65">
      <c r="A65" s="15" t="inlineStr">
        <is>
          <t>Wolverhampton</t>
        </is>
      </c>
      <c r="B65" s="25" t="n"/>
      <c r="I65" s="25" t="n"/>
    </row>
    <row r="66">
      <c r="A66" s="15" t="inlineStr">
        <is>
          <t>Walsall</t>
        </is>
      </c>
      <c r="B66" t="n">
        <v>2641.48</v>
      </c>
      <c r="I66" s="25" t="n"/>
    </row>
    <row r="67" ht="15.75" customHeight="1" thickBot="1">
      <c r="A67" s="53" t="inlineStr">
        <is>
          <t>Total</t>
        </is>
      </c>
      <c r="B67" s="29">
        <f>SUM(B60:B66)</f>
        <v/>
      </c>
    </row>
    <row r="68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/>
  </sheetPr>
  <dimension ref="A1:AL72"/>
  <sheetViews>
    <sheetView topLeftCell="A29" zoomScale="70" zoomScaleNormal="70" workbookViewId="0">
      <pane xSplit="1" topLeftCell="O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2.85546875" bestFit="1" customWidth="1" min="2" max="2"/>
    <col width="13.140625" bestFit="1" customWidth="1" min="3" max="4"/>
    <col width="13.140625" customWidth="1" min="5" max="5"/>
    <col width="13.140625" bestFit="1" customWidth="1" min="6" max="10"/>
    <col width="12.85546875" bestFit="1" customWidth="1" min="11" max="11"/>
    <col width="12.5703125" bestFit="1" customWidth="1" min="12" max="12"/>
    <col width="13.140625" bestFit="1" customWidth="1" min="13" max="13"/>
    <col width="12.85546875" bestFit="1" customWidth="1" min="14" max="19"/>
    <col width="13.42578125" bestFit="1" customWidth="1" min="20" max="25"/>
    <col width="13.140625" bestFit="1" customWidth="1" min="26" max="26"/>
    <col width="13.85546875" bestFit="1" customWidth="1" min="27" max="27"/>
    <col width="13.140625" bestFit="1" customWidth="1" min="28" max="28"/>
    <col width="13.42578125" bestFit="1" customWidth="1" min="29" max="32"/>
    <col width="7.28515625" bestFit="1" customWidth="1" min="33" max="33"/>
    <col width="14.28515625" bestFit="1" customWidth="1" min="34" max="34"/>
  </cols>
  <sheetData>
    <row r="1" hidden="1" ht="15.75" customHeight="1">
      <c r="A1" s="15" t="n"/>
      <c r="F1" s="31" t="n"/>
      <c r="G1" s="31" t="n"/>
      <c r="J1" s="31" t="n"/>
      <c r="K1" s="31" t="n"/>
      <c r="L1" s="31" t="n"/>
      <c r="M1" s="31" t="n"/>
      <c r="N1" s="31" t="n"/>
      <c r="O1" s="31" t="n"/>
      <c r="P1" s="31" t="n"/>
      <c r="Q1" s="31" t="n"/>
      <c r="R1" s="31" t="n"/>
      <c r="S1" s="31" t="n"/>
      <c r="T1" s="31" t="n"/>
      <c r="U1" s="31" t="n"/>
      <c r="V1" s="31" t="n"/>
      <c r="W1" s="31" t="n"/>
      <c r="X1" s="31" t="n"/>
      <c r="Y1" s="31" t="n"/>
      <c r="Z1" s="31" t="n"/>
      <c r="AA1" s="31" t="n"/>
      <c r="AB1" s="31" t="n"/>
      <c r="AC1" s="31" t="n"/>
      <c r="AD1" s="12" t="n"/>
      <c r="AE1" s="12" t="n"/>
      <c r="AF1" s="12" t="n"/>
      <c r="AH1" s="13" t="n"/>
      <c r="AI1" s="99" t="n"/>
    </row>
    <row r="2" hidden="1" ht="15.75" customHeight="1">
      <c r="A2" s="15" t="n"/>
      <c r="F2" s="31" t="n"/>
      <c r="G2" s="31" t="n"/>
      <c r="J2" s="31" t="n"/>
      <c r="K2" s="31" t="n"/>
      <c r="L2" s="31" t="n"/>
      <c r="M2" s="31" t="n"/>
      <c r="N2" s="31" t="n"/>
      <c r="O2" s="31" t="n"/>
      <c r="P2" s="31" t="n"/>
      <c r="Q2" s="31" t="n"/>
      <c r="R2" s="31" t="n"/>
      <c r="S2" s="31" t="n"/>
      <c r="T2" s="31" t="n"/>
      <c r="U2" s="31" t="n"/>
      <c r="V2" s="31" t="n"/>
      <c r="W2" s="31" t="n"/>
      <c r="X2" s="31" t="n"/>
      <c r="Y2" s="31" t="n"/>
      <c r="Z2" s="31" t="n"/>
      <c r="AA2" s="31" t="n"/>
      <c r="AB2" s="31" t="n"/>
      <c r="AC2" s="31" t="n"/>
      <c r="AD2" s="12" t="n"/>
      <c r="AE2" s="12" t="n"/>
      <c r="AF2" s="12" t="n"/>
      <c r="AH2" s="13" t="n"/>
      <c r="AI2" s="99" t="n"/>
    </row>
    <row r="3" hidden="1">
      <c r="A3" s="1" t="n"/>
      <c r="B3" s="2" t="inlineStr">
        <is>
          <t>Feb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1" t="n"/>
      <c r="AF3" s="1" t="n"/>
      <c r="AG3" s="1" t="n"/>
    </row>
    <row r="4" hidden="1">
      <c r="A4" s="1" t="n"/>
      <c r="B4" s="2" t="inlineStr">
        <is>
          <t>Saturday</t>
        </is>
      </c>
      <c r="C4" s="2" t="inlineStr">
        <is>
          <t>Sunday</t>
        </is>
      </c>
      <c r="D4" s="2" t="inlineStr">
        <is>
          <t>Monday</t>
        </is>
      </c>
      <c r="E4" s="2" t="inlineStr">
        <is>
          <t>Tuesday</t>
        </is>
      </c>
      <c r="F4" s="2" t="inlineStr">
        <is>
          <t>Wednesday</t>
        </is>
      </c>
      <c r="G4" s="2" t="inlineStr">
        <is>
          <t>Thursday</t>
        </is>
      </c>
      <c r="H4" s="2" t="inlineStr">
        <is>
          <t>Friday</t>
        </is>
      </c>
      <c r="I4" s="2" t="inlineStr">
        <is>
          <t>Saturday</t>
        </is>
      </c>
      <c r="J4" s="2" t="inlineStr">
        <is>
          <t>Sunday</t>
        </is>
      </c>
      <c r="K4" s="2" t="inlineStr">
        <is>
          <t>Monday</t>
        </is>
      </c>
      <c r="L4" s="2" t="inlineStr">
        <is>
          <t>Tuesday</t>
        </is>
      </c>
      <c r="M4" s="2" t="inlineStr">
        <is>
          <t>Wednesday</t>
        </is>
      </c>
      <c r="N4" s="2" t="inlineStr">
        <is>
          <t>Thursday</t>
        </is>
      </c>
      <c r="O4" s="2" t="inlineStr">
        <is>
          <t>Friday</t>
        </is>
      </c>
      <c r="P4" s="2" t="inlineStr">
        <is>
          <t>Saturday</t>
        </is>
      </c>
      <c r="Q4" s="2" t="inlineStr">
        <is>
          <t>Sunday</t>
        </is>
      </c>
      <c r="R4" s="2" t="inlineStr">
        <is>
          <t>Monday</t>
        </is>
      </c>
      <c r="S4" s="2" t="inlineStr">
        <is>
          <t>Tuesday</t>
        </is>
      </c>
      <c r="T4" s="2" t="inlineStr">
        <is>
          <t>Wednesday</t>
        </is>
      </c>
      <c r="U4" s="2" t="inlineStr">
        <is>
          <t>Thursday</t>
        </is>
      </c>
      <c r="V4" s="2" t="inlineStr">
        <is>
          <t>Friday</t>
        </is>
      </c>
      <c r="W4" s="2" t="inlineStr">
        <is>
          <t>Saturday</t>
        </is>
      </c>
      <c r="X4" s="2" t="inlineStr">
        <is>
          <t>Sunday</t>
        </is>
      </c>
      <c r="Y4" s="2" t="inlineStr">
        <is>
          <t>Monday</t>
        </is>
      </c>
      <c r="Z4" s="2" t="inlineStr">
        <is>
          <t>Tuesday</t>
        </is>
      </c>
      <c r="AA4" s="2" t="inlineStr">
        <is>
          <t>Wednesday</t>
        </is>
      </c>
      <c r="AB4" s="2" t="inlineStr">
        <is>
          <t>Thursday</t>
        </is>
      </c>
      <c r="AC4" s="2" t="inlineStr">
        <is>
          <t>Friday</t>
        </is>
      </c>
      <c r="AD4" s="2" t="n"/>
      <c r="AE4" s="2" t="n"/>
      <c r="AF4" s="2" t="n"/>
      <c r="AG4" s="2" t="inlineStr">
        <is>
          <t>Total</t>
        </is>
      </c>
    </row>
    <row r="5" hidden="1">
      <c r="A5" s="1" t="n"/>
      <c r="B5" s="114" t="n">
        <v>45689</v>
      </c>
      <c r="C5" s="114" t="n">
        <v>45690</v>
      </c>
      <c r="D5" s="115" t="n">
        <v>45691</v>
      </c>
      <c r="E5" s="115" t="n">
        <v>45692</v>
      </c>
      <c r="F5" s="115" t="n">
        <v>45693</v>
      </c>
      <c r="G5" s="115" t="n">
        <v>45694</v>
      </c>
      <c r="H5" s="115" t="n">
        <v>45695</v>
      </c>
      <c r="I5" s="115" t="n">
        <v>45696</v>
      </c>
      <c r="J5" s="115" t="n">
        <v>45697</v>
      </c>
      <c r="K5" s="116" t="n">
        <v>45698</v>
      </c>
      <c r="L5" s="116" t="n">
        <v>45699</v>
      </c>
      <c r="M5" s="116" t="n">
        <v>45700</v>
      </c>
      <c r="N5" s="116" t="n">
        <v>45701</v>
      </c>
      <c r="O5" s="116" t="n">
        <v>45702</v>
      </c>
      <c r="P5" s="116" t="n">
        <v>45703</v>
      </c>
      <c r="Q5" s="116" t="n">
        <v>45704</v>
      </c>
      <c r="R5" s="117" t="n">
        <v>45698</v>
      </c>
      <c r="S5" s="117" t="n">
        <v>45699</v>
      </c>
      <c r="T5" s="117" t="n">
        <v>45700</v>
      </c>
      <c r="U5" s="117" t="n">
        <v>45701</v>
      </c>
      <c r="V5" s="117" t="n">
        <v>45702</v>
      </c>
      <c r="W5" s="117" t="n">
        <v>45703</v>
      </c>
      <c r="X5" s="117" t="n">
        <v>45704</v>
      </c>
      <c r="Y5" s="118" t="n">
        <v>45712</v>
      </c>
      <c r="Z5" s="118" t="n">
        <v>45713</v>
      </c>
      <c r="AA5" s="118" t="n">
        <v>45714</v>
      </c>
      <c r="AB5" s="118" t="n">
        <v>45715</v>
      </c>
      <c r="AC5" s="118" t="n">
        <v>45716</v>
      </c>
      <c r="AD5" s="119" t="n"/>
      <c r="AE5" s="119" t="n"/>
      <c r="AF5" s="119" t="n"/>
      <c r="AG5" s="1" t="n"/>
    </row>
    <row r="6" hidden="1" ht="15.75" customHeight="1">
      <c r="A6" s="8" t="inlineStr">
        <is>
          <t>B-HAM CITY COUNCIL-200790-70489166</t>
        </is>
      </c>
      <c r="B6" s="113">
        <f>IFERROR(INDEX(#REF!,MATCH(B5-28,#REF!, 0)), "")</f>
        <v/>
      </c>
      <c r="C6" s="113">
        <f>IFERROR(INDEX(#REF!,MATCH(C5-28,#REF!, 0)), "")</f>
        <v/>
      </c>
      <c r="D6" s="113">
        <f>IFERROR(INDEX(#REF!,MATCH(D5-28,#REF!, 0)), "")</f>
        <v/>
      </c>
      <c r="E6" s="113">
        <f>IFERROR(INDEX(#REF!,MATCH(E5-28,#REF!, 0)), "")</f>
        <v/>
      </c>
      <c r="F6" s="113">
        <f>IFERROR(INDEX(#REF!,MATCH(F5-28,#REF!, 0)), "")</f>
        <v/>
      </c>
      <c r="G6" s="12" t="n">
        <v>3721.83</v>
      </c>
      <c r="H6" s="113">
        <f>IFERROR(INDEX(#REF!,MATCH(H5-28,#REF!, 0)), "")</f>
        <v/>
      </c>
      <c r="I6" s="113">
        <f>IFERROR(INDEX(#REF!,MATCH(I5-28,#REF!, 0)), "")</f>
        <v/>
      </c>
      <c r="J6" s="113">
        <f>IFERROR(INDEX(#REF!,MATCH(J5-28,#REF!, 0)), "")</f>
        <v/>
      </c>
      <c r="K6" s="113">
        <f>IFERROR(INDEX(#REF!,MATCH(K5-28,#REF!, 0)), "")</f>
        <v/>
      </c>
      <c r="L6" s="113">
        <f>IFERROR(INDEX(#REF!,MATCH(L5-28,#REF!, 0)), "")</f>
        <v/>
      </c>
      <c r="M6" s="113">
        <f>IFERROR(INDEX(#REF!,MATCH(M5-28,#REF!, 0)), "")</f>
        <v/>
      </c>
      <c r="N6" s="113">
        <f>IFERROR(INDEX(#REF!,MATCH(N5-28,#REF!, 0)), "")</f>
        <v/>
      </c>
      <c r="O6" s="113">
        <f>IFERROR(INDEX(#REF!,MATCH(O5-28,#REF!, 0)), "")</f>
        <v/>
      </c>
      <c r="P6" s="113">
        <f>IFERROR(INDEX(#REF!,MATCH(P5-28,#REF!, 0)), "")</f>
        <v/>
      </c>
      <c r="Q6" s="113">
        <f>IFERROR(INDEX(#REF!,MATCH(Q5-28,#REF!, 0)), "")</f>
        <v/>
      </c>
      <c r="R6" s="113">
        <f>IFERROR(INDEX(#REF!,MATCH(R5-28,#REF!, 0)), "")</f>
        <v/>
      </c>
      <c r="S6" s="113">
        <f>IFERROR(INDEX(#REF!,MATCH(S5-28,#REF!, 0)), "")</f>
        <v/>
      </c>
      <c r="T6" s="113">
        <f>IFERROR(INDEX(#REF!,MATCH(T5-28,#REF!, 0)), "")</f>
        <v/>
      </c>
      <c r="U6" s="113">
        <f>IFERROR(INDEX(#REF!,MATCH(U5-28,#REF!, 0)), "")</f>
        <v/>
      </c>
      <c r="V6" s="113">
        <f>IFERROR(INDEX(#REF!,MATCH(V5-28,#REF!, 0)), "")</f>
        <v/>
      </c>
      <c r="W6" s="113">
        <f>IFERROR(INDEX(#REF!,MATCH(W5-28,#REF!, 0)), "")</f>
        <v/>
      </c>
      <c r="X6" s="113">
        <f>IFERROR(INDEX(#REF!,MATCH(X5-28,#REF!, 0)), "")</f>
        <v/>
      </c>
      <c r="Y6" s="113">
        <f>IFERROR(INDEX(#REF!,MATCH(Y5-28,#REF!, 0)), "")</f>
        <v/>
      </c>
      <c r="Z6" s="113">
        <f>IFERROR(INDEX(#REF!,MATCH(Z5-28,#REF!, 0)), "")</f>
        <v/>
      </c>
      <c r="AA6" s="113">
        <f>IFERROR(INDEX(#REF!,MATCH(AA5-28,#REF!, 0)), "")</f>
        <v/>
      </c>
      <c r="AB6" s="113">
        <f>IFERROR(INDEX(#REF!,MATCH(AB5-28,#REF!, 0)), "")</f>
        <v/>
      </c>
      <c r="AC6" s="113">
        <f>IFERROR(INDEX(#REF!,MATCH(AC5-28,#REF!, 0)), "")</f>
        <v/>
      </c>
      <c r="AD6" s="113">
        <f>IFERROR(INDEX(#REF!,MATCH(AD5-28,#REF!, 0)), "")</f>
        <v/>
      </c>
      <c r="AE6" s="113">
        <f>IFERROR(INDEX(#REF!,MATCH(AE5-28,#REF!, 0)), "")</f>
        <v/>
      </c>
      <c r="AF6" s="113">
        <f>IFERROR(INDEX(#REF!,MATCH(AF5-28,#REF!, 0)), "")</f>
        <v/>
      </c>
      <c r="AH6" s="13">
        <f>SUM(B6:AG6)</f>
        <v/>
      </c>
      <c r="AI6" s="99" t="n"/>
      <c r="AL6" s="99" t="n"/>
    </row>
    <row r="7" hidden="1" ht="15.75" customHeight="1">
      <c r="A7" s="8" t="inlineStr">
        <is>
          <t>Buckingham</t>
        </is>
      </c>
      <c r="B7" s="31" t="n"/>
      <c r="C7" s="26" t="n"/>
      <c r="D7" s="26" t="n"/>
      <c r="F7" s="26" t="n"/>
      <c r="G7" s="26" t="n"/>
      <c r="H7" s="26" t="n"/>
      <c r="I7" s="9" t="n"/>
      <c r="J7" s="26" t="n"/>
      <c r="K7" s="9" t="n"/>
      <c r="L7" s="9" t="n"/>
      <c r="M7" s="9" t="n"/>
      <c r="N7" s="12" t="n"/>
      <c r="O7" t="n">
        <v>5134.44</v>
      </c>
      <c r="P7" s="9" t="n"/>
      <c r="Q7" s="9" t="n"/>
      <c r="S7" s="9" t="n"/>
      <c r="T7" s="9" t="n"/>
      <c r="U7" s="12" t="n"/>
      <c r="V7" s="9" t="n"/>
      <c r="W7" s="12" t="n"/>
      <c r="X7" s="12" t="n"/>
      <c r="Y7" s="9" t="n"/>
      <c r="Z7" s="12" t="n"/>
      <c r="AA7" s="12" t="n"/>
      <c r="AB7" s="9" t="n"/>
      <c r="AC7" s="12" t="n"/>
      <c r="AD7" s="9" t="n"/>
      <c r="AE7" s="12" t="n"/>
      <c r="AF7" s="12" t="n"/>
      <c r="AH7" s="13">
        <f>SUM(B7:AG7)</f>
        <v/>
      </c>
      <c r="AI7" s="99" t="n"/>
      <c r="AL7" s="99" t="n"/>
    </row>
    <row r="8" hidden="1" ht="15.75" customHeight="1">
      <c r="A8" s="8" t="inlineStr">
        <is>
          <t>Sandwell Respite</t>
        </is>
      </c>
      <c r="B8" s="31" t="n"/>
      <c r="D8" s="26" t="n"/>
      <c r="E8" s="25" t="n">
        <v>2121.6</v>
      </c>
      <c r="F8" s="26" t="n"/>
      <c r="G8" s="26" t="n"/>
      <c r="H8" s="100" t="n"/>
      <c r="I8" s="26" t="n"/>
      <c r="J8" s="31" t="n"/>
      <c r="K8" s="9" t="n"/>
      <c r="L8" s="9" t="n"/>
      <c r="M8" s="9" t="n"/>
      <c r="N8" s="9" t="n"/>
      <c r="O8" s="9" t="n"/>
      <c r="P8" s="9" t="n"/>
      <c r="S8" s="9" t="n">
        <v>5000</v>
      </c>
      <c r="T8" s="9" t="n"/>
      <c r="U8" s="9" t="n">
        <v>5000</v>
      </c>
      <c r="V8" s="9" t="n"/>
      <c r="W8" s="9" t="n"/>
      <c r="X8" s="9" t="n"/>
      <c r="Y8" s="9" t="n"/>
      <c r="Z8" s="12" t="n"/>
      <c r="AA8" s="9" t="n"/>
      <c r="AB8" s="9" t="n"/>
      <c r="AC8" s="12" t="n"/>
      <c r="AD8" s="12" t="n"/>
      <c r="AF8" s="12" t="n"/>
      <c r="AH8" s="13">
        <f>SUM(B8:AG8)</f>
        <v/>
      </c>
      <c r="AI8" s="99" t="n"/>
      <c r="AL8" s="99" t="n"/>
    </row>
    <row r="9" hidden="1" ht="15.75" customHeight="1">
      <c r="A9" s="8" t="inlineStr">
        <is>
          <t>Sandwell Daycare</t>
        </is>
      </c>
      <c r="B9" s="31" t="n"/>
      <c r="C9" s="26" t="n"/>
      <c r="D9" s="26" t="n"/>
      <c r="E9" s="9" t="n"/>
      <c r="F9" s="26" t="n"/>
      <c r="G9" s="26" t="n"/>
      <c r="H9" s="26" t="n"/>
      <c r="I9" s="26" t="n"/>
      <c r="J9" s="26" t="n"/>
      <c r="K9" s="9" t="n"/>
      <c r="L9" s="9" t="n"/>
      <c r="M9" s="9" t="n"/>
      <c r="N9" s="9" t="n"/>
      <c r="O9" s="9" t="n"/>
      <c r="P9" s="9" t="n"/>
      <c r="S9" s="9" t="n"/>
      <c r="T9" s="9" t="n"/>
      <c r="V9" s="26" t="n"/>
      <c r="X9" s="9" t="n"/>
      <c r="Y9" s="9" t="n"/>
      <c r="Z9" s="12" t="n"/>
      <c r="AA9" s="9" t="n"/>
      <c r="AB9" s="9" t="n"/>
      <c r="AC9" s="9" t="n"/>
      <c r="AD9" s="12" t="n">
        <v>11000</v>
      </c>
      <c r="AE9" s="12" t="n"/>
      <c r="AF9" s="9" t="n"/>
      <c r="AH9" s="13">
        <f>SUM(B9:AG9)</f>
        <v/>
      </c>
      <c r="AI9" s="99" t="n"/>
      <c r="AL9" s="99" t="n"/>
    </row>
    <row r="10" hidden="1" ht="15.75" customHeight="1">
      <c r="A10" s="8" t="inlineStr">
        <is>
          <t xml:space="preserve">Wolverhampton Respite </t>
        </is>
      </c>
      <c r="B10" s="31" t="n"/>
      <c r="C10" s="26" t="n"/>
      <c r="D10" s="26" t="n"/>
      <c r="E10" s="9" t="n"/>
      <c r="F10" s="26" t="n"/>
      <c r="AC10" s="9" t="n"/>
      <c r="AD10" s="12" t="n">
        <v>11400</v>
      </c>
      <c r="AE10" s="12" t="n"/>
      <c r="AF10" s="12" t="n"/>
      <c r="AG10" s="9" t="n"/>
      <c r="AH10" s="13">
        <f>SUM(B10:AG10)</f>
        <v/>
      </c>
      <c r="AI10" s="99" t="n"/>
      <c r="AL10" s="99" t="n"/>
    </row>
    <row r="11" hidden="1" ht="15.75" customHeight="1">
      <c r="A11" s="8" t="inlineStr">
        <is>
          <t>Wolverhampton Daycare</t>
        </is>
      </c>
      <c r="B11" s="26" t="n"/>
      <c r="C11" s="26" t="n"/>
      <c r="D11" s="26" t="n"/>
      <c r="E11" s="9" t="n"/>
      <c r="F11" s="31" t="n"/>
      <c r="G11" s="26" t="n">
        <v>5800.66</v>
      </c>
      <c r="H11" s="26" t="n"/>
      <c r="J11" s="26" t="n"/>
      <c r="K11" s="9" t="n"/>
      <c r="L11" s="12" t="n"/>
      <c r="M11" s="9" t="n"/>
      <c r="N11" s="26" t="n">
        <v>5800.66</v>
      </c>
      <c r="O11" s="12" t="n"/>
      <c r="P11" s="9" t="n"/>
      <c r="Q11" s="9" t="n"/>
      <c r="R11" s="9" t="n"/>
      <c r="S11" s="9" t="n"/>
      <c r="T11" s="9" t="n"/>
      <c r="U11" s="26" t="n">
        <v>5800.66</v>
      </c>
      <c r="V11" s="9" t="n"/>
      <c r="W11" s="9" t="n"/>
      <c r="X11" s="9" t="n"/>
      <c r="Y11" s="9" t="n"/>
      <c r="Z11" s="9" t="n"/>
      <c r="AA11" s="9" t="n"/>
      <c r="AB11" s="26" t="n">
        <v>5800.66</v>
      </c>
      <c r="AC11" s="9" t="n"/>
      <c r="AD11" s="12" t="n"/>
      <c r="AE11" s="9" t="n"/>
      <c r="AF11" s="10" t="n"/>
      <c r="AH11" s="13">
        <f>SUM(B11:AG11)</f>
        <v/>
      </c>
      <c r="AI11" s="99" t="n"/>
      <c r="AL11" s="99" t="n"/>
    </row>
    <row r="12" hidden="1" ht="15.75" customHeight="1">
      <c r="A12" s="8" t="inlineStr">
        <is>
          <t>Walsall Respite</t>
        </is>
      </c>
      <c r="B12" s="31" t="n"/>
      <c r="C12" s="26" t="n"/>
      <c r="D12" s="26" t="n"/>
      <c r="F12" s="31" t="n"/>
      <c r="G12" s="26" t="n"/>
      <c r="H12" s="26" t="n"/>
      <c r="I12" s="26" t="n"/>
      <c r="J12" s="26" t="n"/>
      <c r="K12" s="9" t="n"/>
      <c r="L12" s="9" t="n"/>
      <c r="M12" s="12" t="n"/>
      <c r="N12" s="12" t="n"/>
      <c r="O12" s="26" t="n"/>
      <c r="Q12" s="26" t="n"/>
      <c r="R12" s="26" t="n"/>
      <c r="S12" s="12" t="n"/>
      <c r="T12" s="9" t="n"/>
      <c r="U12" s="9" t="n"/>
      <c r="V12" s="26" t="n"/>
      <c r="W12" s="26" t="n"/>
      <c r="X12" s="26" t="n"/>
      <c r="Z12" s="9" t="n"/>
      <c r="AA12" s="9" t="n"/>
      <c r="AB12" s="9" t="n"/>
      <c r="AC12" s="9" t="n"/>
      <c r="AD12" s="12" t="n">
        <v>10000</v>
      </c>
      <c r="AE12" s="12" t="n"/>
      <c r="AF12" s="12" t="n"/>
      <c r="AH12" s="13">
        <f>SUM(B12:AG12)</f>
        <v/>
      </c>
      <c r="AI12" s="99" t="n"/>
      <c r="AL12" s="99" t="n"/>
    </row>
    <row r="13" hidden="1" ht="15.75" customHeight="1">
      <c r="A13" s="8" t="inlineStr">
        <is>
          <t>Walsall Daycare</t>
        </is>
      </c>
      <c r="C13" s="26" t="n"/>
      <c r="D13" s="26" t="n"/>
      <c r="F13" s="31" t="n"/>
      <c r="G13" s="26" t="n"/>
      <c r="H13" s="26" t="n"/>
      <c r="I13" s="26" t="n"/>
      <c r="J13" s="26" t="n"/>
      <c r="K13" s="9" t="n"/>
      <c r="L13" s="9" t="n"/>
      <c r="M13" s="9" t="n"/>
      <c r="N13" s="12" t="n"/>
      <c r="O13" s="9" t="n"/>
      <c r="P13" s="9" t="n"/>
      <c r="Q13" s="26" t="n"/>
      <c r="R13" s="26" t="n"/>
      <c r="T13" s="12" t="n"/>
      <c r="U13" s="9" t="n"/>
      <c r="V13" s="31" t="n"/>
      <c r="W13" s="26" t="n"/>
      <c r="X13" s="26" t="n"/>
      <c r="Y13" s="9" t="n"/>
      <c r="Z13" s="9" t="n"/>
      <c r="AA13" s="9" t="n"/>
      <c r="AB13" s="9" t="n"/>
      <c r="AC13" s="9" t="n"/>
      <c r="AD13" s="12" t="n"/>
      <c r="AE13" s="12" t="n"/>
      <c r="AF13" s="9" t="n"/>
      <c r="AH13" s="13">
        <f>SUM(B13:AG13)</f>
        <v/>
      </c>
      <c r="AI13" s="99" t="n"/>
    </row>
    <row r="14" hidden="1" ht="15.75" customHeight="1">
      <c r="A14" s="8" t="inlineStr">
        <is>
          <t>KIRKLEES COUNCIL-204312-63046958</t>
        </is>
      </c>
      <c r="B14" s="31" t="n"/>
      <c r="D14" s="26" t="n"/>
      <c r="E14" s="9" t="n"/>
      <c r="F14" s="26" t="n"/>
      <c r="G14" s="31" t="n"/>
      <c r="H14" s="26" t="n"/>
      <c r="I14" s="9" t="n"/>
      <c r="J14" s="26" t="n"/>
      <c r="K14" s="9" t="n"/>
      <c r="L14" s="9" t="n"/>
      <c r="M14" s="9" t="n"/>
      <c r="N14" s="12" t="n"/>
      <c r="O14" s="12" t="n"/>
      <c r="P14" s="12" t="n"/>
      <c r="Q14" s="31" t="n"/>
      <c r="R14" s="31" t="n"/>
      <c r="S14" s="9" t="n"/>
      <c r="T14" s="31" t="n">
        <v>5888.14</v>
      </c>
      <c r="U14" s="9" t="n"/>
      <c r="V14" s="31" t="n"/>
      <c r="W14" s="31" t="n"/>
      <c r="X14" s="26" t="n"/>
      <c r="Y14" s="9" t="n"/>
      <c r="Z14" s="9" t="n"/>
      <c r="AA14" s="9" t="n"/>
      <c r="AB14" s="9" t="n"/>
      <c r="AC14" s="9" t="n"/>
      <c r="AD14" s="12" t="n"/>
      <c r="AE14" s="9" t="n"/>
      <c r="AF14" s="9" t="n"/>
      <c r="AH14" s="13">
        <f>SUM(B14:AG14)</f>
        <v/>
      </c>
      <c r="AI14" s="99" t="n"/>
    </row>
    <row r="15" hidden="1" ht="15.75" customHeight="1">
      <c r="A15" s="8" t="inlineStr">
        <is>
          <t>LBH PAYMENTS BACS-602210-72430192</t>
        </is>
      </c>
      <c r="C15" s="26" t="n"/>
      <c r="D15" s="31" t="n"/>
      <c r="E15" s="12" t="n"/>
      <c r="F15" s="31" t="n"/>
      <c r="G15" s="26" t="n"/>
      <c r="H15" s="31" t="n"/>
      <c r="I15" s="31" t="n"/>
      <c r="J15" s="31" t="n"/>
      <c r="K15" s="12" t="n"/>
      <c r="L15" s="12" t="n"/>
      <c r="M15" s="9" t="n"/>
      <c r="N15" s="9" t="n"/>
      <c r="O15" s="9" t="n"/>
      <c r="P15" s="12" t="n"/>
      <c r="Q15" s="31" t="n"/>
      <c r="R15" s="31" t="n"/>
      <c r="S15" s="12" t="n"/>
      <c r="T15" s="12" t="n"/>
      <c r="U15" s="9" t="n"/>
      <c r="V15" s="31" t="n"/>
      <c r="W15" s="26" t="n"/>
      <c r="X15" s="26" t="n"/>
      <c r="Y15" s="9" t="n"/>
      <c r="Z15" s="12" t="n"/>
      <c r="AA15" s="9" t="n"/>
      <c r="AB15" s="9" t="n"/>
      <c r="AC15" s="9" t="n"/>
      <c r="AD15" s="9" t="n"/>
      <c r="AE15" s="9" t="n"/>
      <c r="AF15" s="12" t="n"/>
      <c r="AH15" s="13">
        <f>SUM(B15:AG15)</f>
        <v/>
      </c>
      <c r="AI15" s="99" t="n"/>
    </row>
    <row r="16" hidden="1" ht="15.75" customHeight="1">
      <c r="A16" s="8" t="inlineStr">
        <is>
          <t>NHS BIRMINGHAM &amp; S-607080-10017097</t>
        </is>
      </c>
      <c r="B16" s="31" t="n"/>
      <c r="C16" s="31" t="n"/>
      <c r="D16" s="12" t="n">
        <v>5458.75</v>
      </c>
      <c r="E16" s="9" t="n"/>
      <c r="F16" t="n">
        <v>7442.08</v>
      </c>
      <c r="G16" s="31" t="n"/>
      <c r="H16" s="9" t="n"/>
      <c r="I16" s="12" t="n"/>
      <c r="J16" s="9" t="n"/>
      <c r="K16" s="12" t="n"/>
      <c r="L16" s="12" t="n"/>
      <c r="M16" s="12" t="n"/>
      <c r="N16" s="31" t="n"/>
      <c r="O16" s="31" t="n"/>
      <c r="P16" s="9" t="n"/>
      <c r="Q16" s="9" t="n"/>
      <c r="S16" s="31" t="n"/>
      <c r="T16" s="31" t="n"/>
      <c r="U16" s="31" t="n"/>
      <c r="V16" s="9" t="n"/>
      <c r="W16" s="31" t="n"/>
      <c r="X16" s="31" t="n"/>
      <c r="Y16" s="9" t="n"/>
      <c r="Z16" s="9" t="n"/>
      <c r="AA16" s="12" t="n"/>
      <c r="AB16" s="9" t="n"/>
      <c r="AC16" s="9" t="n"/>
      <c r="AD16" s="12" t="n"/>
      <c r="AE16" s="9" t="n"/>
      <c r="AF16" s="9" t="n"/>
      <c r="AH16" s="13">
        <f>SUM(B16:AG16)</f>
        <v/>
      </c>
      <c r="AI16" s="99" t="n"/>
    </row>
    <row r="17" hidden="1" ht="15.75" customHeight="1">
      <c r="A17" s="8" t="inlineStr">
        <is>
          <t>NHS BLACK COUNTRY-607080-10015272</t>
        </is>
      </c>
      <c r="B17" s="31" t="n"/>
      <c r="C17" s="31" t="n"/>
      <c r="D17" s="31" t="n"/>
      <c r="E17" s="12" t="n"/>
      <c r="F17" s="12" t="n"/>
      <c r="G17" s="31" t="n"/>
      <c r="H17" s="12" t="n"/>
      <c r="I17" s="12" t="n"/>
      <c r="J17" s="12" t="n"/>
      <c r="K17" s="12" t="n"/>
      <c r="L17" s="31" t="n"/>
      <c r="M17" s="31" t="n">
        <v>17943.19</v>
      </c>
      <c r="N17" s="31" t="n"/>
      <c r="O17" s="31" t="n"/>
      <c r="P17" s="9" t="n"/>
      <c r="Q17" s="12" t="n"/>
      <c r="R17" s="12" t="n"/>
      <c r="S17" s="31" t="n"/>
      <c r="T17" s="31" t="n"/>
      <c r="U17" s="26" t="n"/>
      <c r="V17" t="n">
        <v>4087.6</v>
      </c>
      <c r="W17" s="31" t="n"/>
      <c r="X17" s="26" t="n"/>
      <c r="Z17" s="12" t="n"/>
      <c r="AA17" s="9" t="n"/>
      <c r="AB17" s="12" t="n"/>
      <c r="AC17" s="9" t="n"/>
      <c r="AD17" s="12" t="n"/>
      <c r="AE17" s="12" t="n"/>
      <c r="AF17" s="12" t="n"/>
      <c r="AH17" s="13">
        <f>SUM(B17:AG17)</f>
        <v/>
      </c>
      <c r="AI17" s="99" t="n"/>
    </row>
    <row r="18" hidden="1" ht="15.75" customHeight="1">
      <c r="A18" s="14" t="inlineStr">
        <is>
          <t>SANDWELL MBC  BEN-601539-69624151</t>
        </is>
      </c>
      <c r="B18" s="31" t="n"/>
      <c r="C18" s="26" t="n"/>
      <c r="E18" s="9" t="n"/>
      <c r="F18" s="26" t="n"/>
      <c r="G18" s="31" t="n"/>
      <c r="I18" s="9" t="n"/>
      <c r="J18" s="26" t="n"/>
      <c r="K18" s="31" t="n">
        <v>2660</v>
      </c>
      <c r="L18" s="12" t="n"/>
      <c r="M18" s="9" t="n"/>
      <c r="N18" s="12" t="n"/>
      <c r="O18" s="31" t="n"/>
      <c r="P18" s="31" t="n"/>
      <c r="Q18" s="31" t="n"/>
      <c r="R18" s="26" t="n"/>
      <c r="S18" s="9" t="n"/>
      <c r="T18" s="9" t="n"/>
      <c r="U18" s="12" t="n"/>
      <c r="V18" s="26" t="n"/>
      <c r="W18" s="31" t="n"/>
      <c r="X18" s="26" t="n"/>
      <c r="Y18" s="12" t="n"/>
      <c r="Z18" s="9" t="n"/>
      <c r="AA18" s="9" t="n"/>
      <c r="AB18" s="9" t="n"/>
      <c r="AC18" s="12" t="n"/>
      <c r="AD18" s="12" t="n"/>
      <c r="AE18" s="12" t="n"/>
      <c r="AF18" s="12" t="n"/>
      <c r="AH18" s="13">
        <f>SUM(B18:AG18)</f>
        <v/>
      </c>
      <c r="AI18" s="99" t="n"/>
    </row>
    <row r="19" hidden="1" ht="15.75" customHeight="1">
      <c r="A19" s="14" t="inlineStr">
        <is>
          <t>SANDWELL MBC-601539-69624135</t>
        </is>
      </c>
      <c r="B19" s="26" t="n"/>
      <c r="D19" s="26" t="n"/>
      <c r="E19" s="25" t="n">
        <v>142806.5</v>
      </c>
      <c r="F19" s="100" t="n"/>
      <c r="G19" s="26" t="n"/>
      <c r="H19" s="26" t="n"/>
      <c r="I19" s="26" t="n"/>
      <c r="J19" s="31" t="n"/>
      <c r="K19" s="25" t="n"/>
      <c r="L19" s="12" t="n"/>
      <c r="M19" s="9" t="n"/>
      <c r="O19" s="31" t="n"/>
      <c r="P19" s="31" t="n"/>
      <c r="Q19" s="31" t="n"/>
      <c r="R19" s="31" t="n"/>
      <c r="S19" s="12" t="n">
        <v>122000</v>
      </c>
      <c r="T19" s="108" t="n"/>
      <c r="U19" s="25" t="n"/>
      <c r="V19" s="26" t="n"/>
      <c r="W19" s="31" t="n"/>
      <c r="X19" s="26" t="n"/>
      <c r="Y19" s="74" t="n"/>
      <c r="Z19" s="108" t="n"/>
      <c r="AA19" s="9" t="n"/>
      <c r="AB19" s="12" t="n"/>
      <c r="AC19" s="12" t="n"/>
      <c r="AD19" s="12" t="n"/>
      <c r="AF19" s="74" t="n"/>
      <c r="AH19" s="13">
        <f>SUM(B19:AG19)</f>
        <v/>
      </c>
      <c r="AI19" s="99" t="n"/>
    </row>
    <row r="20" hidden="1" ht="15.75" customHeight="1">
      <c r="A20" s="15" t="inlineStr">
        <is>
          <t>SOLIHULL MBC EXP.-200771-00561525</t>
        </is>
      </c>
      <c r="B20" s="31" t="n"/>
      <c r="D20" s="31" t="n"/>
      <c r="F20" s="31" t="n"/>
      <c r="G20" s="31" t="n"/>
      <c r="H20" s="31" t="n"/>
      <c r="I20" s="26" t="n"/>
      <c r="J20" s="31" t="n"/>
      <c r="K20" s="12" t="n"/>
      <c r="L20" s="12" t="n"/>
      <c r="M20" s="12" t="n"/>
      <c r="N20" s="12" t="n"/>
      <c r="O20" s="31" t="n"/>
      <c r="P20" s="31" t="n"/>
      <c r="Q20" s="31" t="n"/>
      <c r="R20" s="31" t="n"/>
      <c r="S20" s="12" t="n"/>
      <c r="T20" s="12" t="n"/>
      <c r="U20" s="12" t="n"/>
      <c r="V20" s="31" t="n"/>
      <c r="W20" s="31" t="n"/>
      <c r="X20" s="31" t="n"/>
      <c r="Y20" s="12" t="n"/>
      <c r="Z20" s="12" t="n"/>
      <c r="AA20" t="n">
        <v>32010.44</v>
      </c>
      <c r="AB20" s="12" t="n"/>
      <c r="AC20" s="12" t="n"/>
      <c r="AD20" s="12" t="n"/>
      <c r="AE20" s="12" t="n"/>
      <c r="AF20" s="12" t="n"/>
      <c r="AH20" s="13">
        <f>SUM(B20:AG20)</f>
        <v/>
      </c>
      <c r="AI20" s="99" t="n"/>
    </row>
    <row r="21" hidden="1" ht="15.75" customHeight="1">
      <c r="A21" s="15" t="inlineStr">
        <is>
          <t>WALSALL MBC BARC-209073-10731692</t>
        </is>
      </c>
      <c r="B21" s="26" t="n"/>
      <c r="C21" s="31" t="n"/>
      <c r="D21" s="31" t="n"/>
      <c r="E21" s="12" t="n"/>
      <c r="F21" s="31" t="n"/>
      <c r="G21" s="31" t="n"/>
      <c r="H21" s="31" t="n"/>
      <c r="I21" s="26" t="n"/>
      <c r="J21" s="31" t="n"/>
      <c r="K21" s="12" t="n"/>
      <c r="L21" s="12" t="n"/>
      <c r="M21" s="12" t="n"/>
      <c r="N21" s="12" t="n"/>
      <c r="O21" s="75" t="n"/>
      <c r="P21" s="31" t="n"/>
      <c r="Q21" s="31" t="n"/>
      <c r="R21" s="75" t="n">
        <v>210000</v>
      </c>
      <c r="S21" s="12" t="n"/>
      <c r="T21" s="12" t="n"/>
      <c r="U21" s="12" t="n"/>
      <c r="V21" s="31" t="n"/>
      <c r="W21" s="26" t="n"/>
      <c r="X21" s="31" t="n"/>
      <c r="Y21" s="12" t="n"/>
      <c r="Z21" s="12" t="n"/>
      <c r="AA21" s="12" t="n"/>
      <c r="AB21" s="12" t="n"/>
      <c r="AC21" s="12" t="n"/>
      <c r="AD21" s="12" t="n"/>
      <c r="AE21" s="12" t="n"/>
      <c r="AF21" s="12" t="n"/>
      <c r="AH21" s="13">
        <f>SUM(B21:AG21)</f>
        <v/>
      </c>
      <c r="AI21" s="99" t="n"/>
    </row>
    <row r="22" hidden="1" ht="15.75" customHeight="1">
      <c r="A22" s="15" t="inlineStr">
        <is>
          <t>WOLVERHAMPTON CC-560069-44470320</t>
        </is>
      </c>
      <c r="B22" s="26" t="n"/>
      <c r="C22" s="26" t="n"/>
      <c r="D22" s="26" t="n"/>
      <c r="E22" s="75" t="n">
        <v>113000</v>
      </c>
      <c r="F22" s="26" t="n"/>
      <c r="G22" s="26" t="n"/>
      <c r="H22" s="26" t="n"/>
      <c r="J22" s="75" t="n"/>
      <c r="K22" s="9" t="n"/>
      <c r="L22" s="12" t="n"/>
      <c r="M22" s="9" t="n"/>
      <c r="N22" s="75" t="n">
        <v>113000</v>
      </c>
      <c r="O22" s="31" t="n"/>
      <c r="P22" s="31" t="n"/>
      <c r="Q22" s="26" t="n"/>
      <c r="R22" s="26" t="n"/>
      <c r="S22" s="12" t="n"/>
      <c r="T22" s="9" t="n"/>
      <c r="U22" s="75" t="n">
        <v>113000</v>
      </c>
      <c r="V22" s="31" t="n"/>
      <c r="W22" s="31" t="n"/>
      <c r="X22" s="75" t="n"/>
      <c r="Y22" s="10" t="n"/>
      <c r="Z22" s="12" t="n"/>
      <c r="AA22" s="9" t="n"/>
      <c r="AB22" s="75" t="n">
        <v>113000</v>
      </c>
      <c r="AC22" s="12" t="n"/>
      <c r="AD22" s="12" t="n"/>
      <c r="AE22" s="9" t="n"/>
      <c r="AF22" s="9" t="n"/>
      <c r="AH22" s="13">
        <f>SUM(B22:AG22)</f>
        <v/>
      </c>
      <c r="AI22" s="99" t="n"/>
    </row>
    <row r="23" hidden="1" ht="15.75" customHeight="1">
      <c r="A23" s="15" t="inlineStr">
        <is>
          <t>People Plus</t>
        </is>
      </c>
      <c r="B23" s="26" t="n"/>
      <c r="C23" s="31" t="n"/>
      <c r="D23" s="31" t="n"/>
      <c r="E23" s="12" t="n"/>
      <c r="F23" s="31" t="n"/>
      <c r="G23" s="31" t="n"/>
      <c r="H23" s="31" t="n"/>
      <c r="I23" s="26" t="n"/>
      <c r="J23" s="31" t="n"/>
      <c r="K23" s="12" t="n"/>
      <c r="L23" s="12" t="n"/>
      <c r="M23" s="12" t="n"/>
      <c r="N23" s="12" t="n"/>
      <c r="O23" s="31" t="n"/>
      <c r="P23" s="31" t="n"/>
      <c r="Q23" s="31" t="n"/>
      <c r="R23" s="31" t="n"/>
      <c r="S23" s="12" t="n"/>
      <c r="T23" s="12" t="n"/>
      <c r="V23" s="31" t="n"/>
      <c r="W23" s="31" t="n"/>
      <c r="X23" s="31" t="n"/>
      <c r="Y23" s="12" t="n"/>
      <c r="Z23" s="12" t="n"/>
      <c r="AA23" t="n">
        <v>5465.2</v>
      </c>
      <c r="AB23" s="12" t="n"/>
      <c r="AC23" s="12" t="n"/>
      <c r="AD23" s="9" t="n"/>
      <c r="AE23" s="12" t="n"/>
      <c r="AF23" s="12" t="n"/>
      <c r="AH23" s="13">
        <f>SUM(B23:AG23)</f>
        <v/>
      </c>
      <c r="AI23" s="99" t="n"/>
    </row>
    <row r="24" hidden="1" ht="15.75" customHeight="1">
      <c r="A24" s="15" t="inlineStr">
        <is>
          <t xml:space="preserve">Middlesbrough council </t>
        </is>
      </c>
      <c r="B24" s="26" t="n"/>
      <c r="C24" s="31" t="n"/>
      <c r="D24" s="31" t="n"/>
      <c r="E24" s="12" t="n"/>
      <c r="F24" s="31" t="n"/>
      <c r="G24" s="31" t="n"/>
      <c r="H24" s="31" t="n"/>
      <c r="I24" s="26" t="n"/>
      <c r="J24" s="31" t="n"/>
      <c r="K24" s="12" t="n"/>
      <c r="L24" s="12" t="n"/>
      <c r="M24" s="12" t="n"/>
      <c r="N24" s="12" t="n"/>
      <c r="O24" s="31" t="n"/>
      <c r="P24" s="31" t="n"/>
      <c r="Q24" s="31" t="n"/>
      <c r="R24" s="31" t="n"/>
      <c r="S24" s="12" t="n"/>
      <c r="T24" s="12" t="n"/>
      <c r="U24" s="25" t="n">
        <v>5544</v>
      </c>
      <c r="V24" s="31" t="n"/>
      <c r="W24" s="31" t="n"/>
      <c r="X24" s="31" t="n"/>
      <c r="Y24" s="25" t="n"/>
      <c r="AA24" s="12" t="n"/>
      <c r="AC24" s="12" t="n"/>
      <c r="AD24" s="9" t="n"/>
      <c r="AE24" s="12" t="n"/>
      <c r="AF24" s="12" t="n"/>
      <c r="AH24" s="13">
        <f>SUM(B24:AG24)</f>
        <v/>
      </c>
      <c r="AI24" s="99" t="n"/>
    </row>
    <row r="25" hidden="1" ht="15.75" customHeight="1">
      <c r="A25" s="15" t="inlineStr">
        <is>
          <t>CHASING</t>
        </is>
      </c>
      <c r="F25" s="31" t="n"/>
      <c r="G25" s="31" t="n"/>
      <c r="J25" s="31" t="n"/>
      <c r="K25" s="12" t="n"/>
      <c r="L25" s="12" t="n"/>
      <c r="M25" s="12" t="n"/>
      <c r="N25" s="12" t="n"/>
      <c r="O25" s="31" t="n"/>
      <c r="P25" s="31" t="n"/>
      <c r="Q25" s="31" t="n"/>
      <c r="R25" s="31" t="n"/>
      <c r="S25" s="12" t="n"/>
      <c r="T25" s="12" t="n"/>
      <c r="V25" s="31" t="n"/>
      <c r="W25" s="31" t="n"/>
      <c r="X25" s="31" t="n"/>
      <c r="Y25" s="12" t="n"/>
      <c r="Z25" s="12" t="n"/>
      <c r="AA25" s="12" t="n"/>
      <c r="AB25" s="12" t="n"/>
      <c r="AC25" s="12" t="n"/>
      <c r="AD25" s="12" t="n">
        <v>39000</v>
      </c>
      <c r="AE25" s="12" t="n">
        <v>36000</v>
      </c>
      <c r="AF25" s="12" t="n"/>
      <c r="AH25" s="13">
        <f>SUM(B25:AG25)</f>
        <v/>
      </c>
      <c r="AI25" s="99" t="n"/>
    </row>
    <row r="26" hidden="1" ht="15.75" customHeight="1">
      <c r="A26" s="15" t="inlineStr">
        <is>
          <t>HB SC</t>
        </is>
      </c>
      <c r="B26" t="n">
        <v>4000</v>
      </c>
      <c r="C26" t="n">
        <v>4000</v>
      </c>
      <c r="D26" t="n">
        <v>4000</v>
      </c>
      <c r="E26" t="n">
        <v>4000</v>
      </c>
      <c r="F26" t="n">
        <v>4000</v>
      </c>
      <c r="G26" t="n">
        <v>4000</v>
      </c>
      <c r="H26" t="n">
        <v>4000</v>
      </c>
      <c r="I26" t="n">
        <v>4000</v>
      </c>
      <c r="J26" t="n">
        <v>4000</v>
      </c>
      <c r="K26" t="n">
        <v>4000</v>
      </c>
      <c r="L26" t="n">
        <v>4000</v>
      </c>
      <c r="M26" t="n">
        <v>4000</v>
      </c>
      <c r="N26" t="n">
        <v>4000</v>
      </c>
      <c r="O26" t="n">
        <v>4000</v>
      </c>
      <c r="P26" t="n">
        <v>4000</v>
      </c>
      <c r="Q26" t="n">
        <v>4000</v>
      </c>
      <c r="R26" t="n">
        <v>4000</v>
      </c>
      <c r="S26" t="n">
        <v>4000</v>
      </c>
      <c r="T26" t="n">
        <v>4000</v>
      </c>
      <c r="U26" t="n">
        <v>4000</v>
      </c>
      <c r="V26" t="n">
        <v>4000</v>
      </c>
      <c r="W26" t="n">
        <v>4000</v>
      </c>
      <c r="X26" t="n">
        <v>4000</v>
      </c>
      <c r="Y26" t="n">
        <v>4000</v>
      </c>
      <c r="Z26" t="n">
        <v>4000</v>
      </c>
      <c r="AA26" t="n">
        <v>4000</v>
      </c>
      <c r="AB26" t="n">
        <v>4000</v>
      </c>
      <c r="AC26" t="n">
        <v>4000</v>
      </c>
      <c r="AD26" s="12" t="n"/>
      <c r="AE26" s="12" t="n"/>
      <c r="AF26" s="12" t="n"/>
      <c r="AH26" s="13">
        <f>SUM(B26:AG26)</f>
        <v/>
      </c>
      <c r="AI26" s="99" t="n"/>
    </row>
    <row r="27" hidden="1" ht="15.75" customHeight="1">
      <c r="AH27" s="13">
        <f>SUM(AH6:AH26)</f>
        <v/>
      </c>
    </row>
    <row r="28" hidden="1"/>
    <row r="29">
      <c r="A29" s="1" t="n"/>
      <c r="B29" s="2" t="inlineStr">
        <is>
          <t>Feb</t>
        </is>
      </c>
      <c r="C29" s="2" t="n"/>
      <c r="D29" s="2" t="n"/>
      <c r="E29" s="2" t="n"/>
      <c r="F29" s="2" t="n"/>
      <c r="G29" s="2" t="n"/>
      <c r="H29" s="2" t="n"/>
      <c r="I29" s="2" t="n"/>
      <c r="J29" s="2" t="n"/>
      <c r="K29" s="2" t="n"/>
      <c r="L29" s="2" t="n"/>
      <c r="M29" s="2" t="n"/>
      <c r="N29" s="2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  <c r="Y29" s="2" t="n"/>
      <c r="Z29" s="2" t="n"/>
      <c r="AA29" s="2" t="n"/>
      <c r="AB29" s="2" t="n"/>
      <c r="AC29" s="2" t="n"/>
      <c r="AD29" s="2" t="n"/>
      <c r="AE29" s="1" t="n"/>
      <c r="AF29" s="1" t="n"/>
      <c r="AG29" s="1" t="n"/>
    </row>
    <row r="30">
      <c r="A30" s="1" t="n"/>
      <c r="B30" s="2" t="inlineStr">
        <is>
          <t>Saturday</t>
        </is>
      </c>
      <c r="C30" s="2" t="inlineStr">
        <is>
          <t>Sunday</t>
        </is>
      </c>
      <c r="D30" s="2" t="inlineStr">
        <is>
          <t>Monday</t>
        </is>
      </c>
      <c r="E30" s="2" t="inlineStr">
        <is>
          <t>Tuesday</t>
        </is>
      </c>
      <c r="F30" s="2" t="inlineStr">
        <is>
          <t>Wednesday</t>
        </is>
      </c>
      <c r="G30" s="2" t="inlineStr">
        <is>
          <t>Thursday</t>
        </is>
      </c>
      <c r="H30" s="2" t="inlineStr">
        <is>
          <t>Friday</t>
        </is>
      </c>
      <c r="I30" s="2" t="inlineStr">
        <is>
          <t>Saturday</t>
        </is>
      </c>
      <c r="J30" s="2" t="inlineStr">
        <is>
          <t>Sunday</t>
        </is>
      </c>
      <c r="K30" s="2" t="inlineStr">
        <is>
          <t>Monday</t>
        </is>
      </c>
      <c r="L30" s="2" t="inlineStr">
        <is>
          <t>Tuesday</t>
        </is>
      </c>
      <c r="M30" s="2" t="inlineStr">
        <is>
          <t>Wednesday</t>
        </is>
      </c>
      <c r="N30" s="2" t="inlineStr">
        <is>
          <t>Thursday</t>
        </is>
      </c>
      <c r="O30" s="2" t="inlineStr">
        <is>
          <t>Friday</t>
        </is>
      </c>
      <c r="P30" s="2" t="inlineStr">
        <is>
          <t>Saturday</t>
        </is>
      </c>
      <c r="Q30" s="2" t="inlineStr">
        <is>
          <t>Sunday</t>
        </is>
      </c>
      <c r="R30" s="2" t="inlineStr">
        <is>
          <t>Monday</t>
        </is>
      </c>
      <c r="S30" s="2" t="inlineStr">
        <is>
          <t>Tuesday</t>
        </is>
      </c>
      <c r="T30" s="2" t="inlineStr">
        <is>
          <t>Wednesday</t>
        </is>
      </c>
      <c r="U30" s="2" t="inlineStr">
        <is>
          <t>Thursday</t>
        </is>
      </c>
      <c r="V30" s="2" t="inlineStr">
        <is>
          <t>Friday</t>
        </is>
      </c>
      <c r="W30" s="2" t="inlineStr">
        <is>
          <t>Saturday</t>
        </is>
      </c>
      <c r="X30" s="2" t="inlineStr">
        <is>
          <t>Sunday</t>
        </is>
      </c>
      <c r="Y30" s="2" t="inlineStr">
        <is>
          <t>Monday</t>
        </is>
      </c>
      <c r="Z30" s="2" t="inlineStr">
        <is>
          <t>Tuesday</t>
        </is>
      </c>
      <c r="AA30" s="2" t="inlineStr">
        <is>
          <t>Wednesday</t>
        </is>
      </c>
      <c r="AB30" s="2" t="inlineStr">
        <is>
          <t>Thursday</t>
        </is>
      </c>
      <c r="AC30" s="2" t="inlineStr">
        <is>
          <t>Friday</t>
        </is>
      </c>
      <c r="AD30" s="2" t="n"/>
      <c r="AE30" s="2" t="n"/>
      <c r="AF30" s="2" t="n"/>
      <c r="AG30" s="2" t="inlineStr">
        <is>
          <t>Total</t>
        </is>
      </c>
    </row>
    <row r="31">
      <c r="A31" s="1" t="n"/>
      <c r="B31" s="114" t="n">
        <v>45689</v>
      </c>
      <c r="C31" s="114" t="n">
        <v>45690</v>
      </c>
      <c r="D31" s="115" t="n">
        <v>45691</v>
      </c>
      <c r="E31" s="115" t="n">
        <v>45692</v>
      </c>
      <c r="F31" s="115" t="n">
        <v>45693</v>
      </c>
      <c r="G31" s="115" t="n">
        <v>45694</v>
      </c>
      <c r="H31" s="115" t="n">
        <v>45695</v>
      </c>
      <c r="I31" s="115" t="n">
        <v>45696</v>
      </c>
      <c r="J31" s="115" t="n">
        <v>45697</v>
      </c>
      <c r="K31" s="116" t="n">
        <v>45698</v>
      </c>
      <c r="L31" s="116" t="n">
        <v>45699</v>
      </c>
      <c r="M31" s="116" t="n">
        <v>45700</v>
      </c>
      <c r="N31" s="116" t="n">
        <v>45701</v>
      </c>
      <c r="O31" s="116" t="n">
        <v>45702</v>
      </c>
      <c r="P31" s="116" t="n">
        <v>45703</v>
      </c>
      <c r="Q31" s="116" t="n">
        <v>45704</v>
      </c>
      <c r="R31" s="117" t="n">
        <v>45705</v>
      </c>
      <c r="S31" s="117" t="n">
        <v>45706</v>
      </c>
      <c r="T31" s="117" t="n">
        <v>45707</v>
      </c>
      <c r="U31" s="117" t="n">
        <v>45708</v>
      </c>
      <c r="V31" s="117" t="n">
        <v>45709</v>
      </c>
      <c r="W31" s="117" t="n">
        <v>45710</v>
      </c>
      <c r="X31" s="117" t="n">
        <v>45711</v>
      </c>
      <c r="Y31" s="118" t="n">
        <v>45712</v>
      </c>
      <c r="Z31" s="118" t="n">
        <v>45713</v>
      </c>
      <c r="AA31" s="118" t="n">
        <v>45714</v>
      </c>
      <c r="AB31" s="118" t="n">
        <v>45715</v>
      </c>
      <c r="AC31" s="118" t="n">
        <v>45716</v>
      </c>
      <c r="AD31" s="119" t="n"/>
      <c r="AE31" s="119" t="n"/>
      <c r="AF31" s="119" t="n"/>
      <c r="AG31" s="1" t="n"/>
    </row>
    <row r="32" ht="15.75" customHeight="1">
      <c r="A32" s="8" t="inlineStr">
        <is>
          <t>B-HAM CITY COUNCIL-200790-70489166</t>
        </is>
      </c>
      <c r="B32" s="121">
        <f>IFERROR(INDEX(#REF!,MATCH(B31-28,#REF!, 0)), "")</f>
        <v/>
      </c>
      <c r="C32" s="121">
        <f>IFERROR(INDEX(#REF!,MATCH(C31-28,#REF!, 0)), "")</f>
        <v/>
      </c>
      <c r="D32" s="121">
        <f>IFERROR(INDEX(#REF!,MATCH(D31-28,#REF!, 0)), "")</f>
        <v/>
      </c>
      <c r="E32" s="122">
        <f>IFERROR(INDEX(#REF!,MATCH(E31-28,#REF!, 0)), "")</f>
        <v/>
      </c>
      <c r="F32" s="122">
        <f>IFERROR(INDEX(#REF!,MATCH(F31-28,#REF!, 0)), "")</f>
        <v/>
      </c>
      <c r="G32" s="25" t="n"/>
      <c r="H32" s="122">
        <f>IFERROR(INDEX(#REF!,MATCH(H31-28,#REF!, 0)), "")</f>
        <v/>
      </c>
      <c r="I32" s="122">
        <f>IFERROR(INDEX(#REF!,MATCH(I31-28,#REF!, 0)), "")</f>
        <v/>
      </c>
      <c r="J32" s="122">
        <f>IFERROR(INDEX(#REF!,MATCH(J31-28,#REF!, 0)), "")</f>
        <v/>
      </c>
      <c r="K32" s="122">
        <f>IFERROR(INDEX(#REF!,MATCH(K31-28,#REF!, 0)), "")</f>
        <v/>
      </c>
      <c r="L32" s="122">
        <f>IFERROR(INDEX(#REF!,MATCH(L31-28,#REF!, 0)), "")</f>
        <v/>
      </c>
      <c r="M32" s="25" t="n"/>
      <c r="N32" s="122">
        <f>IFERROR(INDEX(#REF!,MATCH(N31-28,#REF!, 0)), "")</f>
        <v/>
      </c>
      <c r="O32" s="122">
        <f>IFERROR(INDEX(#REF!,MATCH(O31-28,#REF!, 0)), "")</f>
        <v/>
      </c>
      <c r="P32" s="122">
        <f>IFERROR(INDEX(#REF!,MATCH(P31-28,#REF!, 0)), "")</f>
        <v/>
      </c>
      <c r="Q32" s="122">
        <f>IFERROR(INDEX(#REF!,MATCH(Q31-28,#REF!, 0)), "")</f>
        <v/>
      </c>
      <c r="S32" s="122">
        <f>IFERROR(INDEX(#REF!,MATCH(S31-28,#REF!, 0)), "")</f>
        <v/>
      </c>
      <c r="T32" s="122">
        <f>IFERROR(INDEX(#REF!,MATCH(T31-28,#REF!, 0)), "")</f>
        <v/>
      </c>
      <c r="U32" t="n">
        <v>760</v>
      </c>
      <c r="V32" s="122">
        <f>IFERROR(INDEX(#REF!,MATCH(V31-28,#REF!, 0)), "")</f>
        <v/>
      </c>
      <c r="W32" s="122">
        <f>IFERROR(INDEX(#REF!,MATCH(W31-28,#REF!, 0)), "")</f>
        <v/>
      </c>
      <c r="X32" s="122">
        <f>IFERROR(INDEX(#REF!,MATCH(X31-28,#REF!, 0)), "")</f>
        <v/>
      </c>
      <c r="Y32" s="74" t="n"/>
      <c r="AA32" s="31" t="n"/>
      <c r="AB32" s="31" t="n"/>
      <c r="AC32" s="75" t="n">
        <v>61393.72</v>
      </c>
      <c r="AD32" s="121">
        <f>IFERROR(INDEX(#REF!,MATCH(AD31-28,#REF!, 0)), "")</f>
        <v/>
      </c>
      <c r="AE32" s="121">
        <f>IFERROR(INDEX(#REF!,MATCH(AE31-28,#REF!, 0)), "")</f>
        <v/>
      </c>
      <c r="AF32" s="121">
        <f>IFERROR(INDEX(#REF!,MATCH(AF31-28,#REF!, 0)), "")</f>
        <v/>
      </c>
      <c r="AG32" s="25" t="n"/>
      <c r="AH32" s="18">
        <f>SUM(B32:AG32)</f>
        <v/>
      </c>
      <c r="AI32" s="99" t="n"/>
      <c r="AL32" s="99" t="n"/>
    </row>
    <row r="33" ht="15.75" customHeight="1">
      <c r="A33" s="8" t="inlineStr">
        <is>
          <t>Buckingham</t>
        </is>
      </c>
      <c r="B33" s="75" t="n"/>
      <c r="C33" s="16" t="n"/>
      <c r="D33" s="16" t="n"/>
      <c r="E33" s="74" t="n"/>
      <c r="F33" s="10" t="n"/>
      <c r="G33" s="10" t="n"/>
      <c r="H33" s="10" t="n"/>
      <c r="I33" s="10" t="n"/>
      <c r="J33" s="10" t="n"/>
      <c r="K33" s="10" t="n"/>
      <c r="L33" s="10" t="n"/>
      <c r="M33" s="10" t="n"/>
      <c r="N33" s="74" t="n"/>
      <c r="O33" t="n">
        <v>5134.44</v>
      </c>
      <c r="P33" s="10" t="n"/>
      <c r="Q33" s="10" t="n"/>
      <c r="R33" s="74" t="n"/>
      <c r="S33" s="10" t="n"/>
      <c r="T33" s="10" t="n"/>
      <c r="U33" s="74" t="n"/>
      <c r="V33" s="10" t="n"/>
      <c r="W33" s="74" t="n"/>
      <c r="X33" s="74" t="n"/>
      <c r="Y33" s="10" t="n"/>
      <c r="Z33" s="74" t="n"/>
      <c r="AA33" s="75" t="n"/>
      <c r="AB33" s="16" t="n"/>
      <c r="AC33" s="75" t="n"/>
      <c r="AD33" s="10" t="n"/>
      <c r="AE33" s="74" t="n"/>
      <c r="AF33" s="74" t="n"/>
      <c r="AG33" s="25" t="n"/>
      <c r="AH33" s="18">
        <f>SUM(B33:AG33)</f>
        <v/>
      </c>
      <c r="AI33" s="99" t="n"/>
      <c r="AL33" s="99" t="n"/>
    </row>
    <row r="34" ht="15.75" customHeight="1">
      <c r="A34" s="8" t="inlineStr">
        <is>
          <t>Sandwell Respite</t>
        </is>
      </c>
      <c r="B34" s="75" t="n"/>
      <c r="C34" s="25" t="n"/>
      <c r="D34" s="16" t="n"/>
      <c r="E34" s="25" t="n"/>
      <c r="F34" s="74" t="n"/>
      <c r="G34" s="10" t="n"/>
      <c r="H34" s="25" t="n"/>
      <c r="I34" s="10" t="n"/>
      <c r="J34" s="74" t="n"/>
      <c r="K34" s="10" t="n"/>
      <c r="L34" s="10" t="n"/>
      <c r="M34" s="10" t="n"/>
      <c r="N34" s="31" t="n">
        <v>10270.15</v>
      </c>
      <c r="O34" s="10" t="n"/>
      <c r="P34" s="10" t="n"/>
      <c r="Q34" s="74" t="n"/>
      <c r="R34" s="74" t="n"/>
      <c r="S34" s="10" t="n"/>
      <c r="T34" s="10" t="n"/>
      <c r="U34" s="10" t="n"/>
      <c r="V34" s="10" t="n"/>
      <c r="W34" s="10" t="n"/>
      <c r="X34" s="10" t="n"/>
      <c r="Y34" s="10" t="n"/>
      <c r="Z34" s="74" t="n"/>
      <c r="AA34" s="16" t="n"/>
      <c r="AB34" s="16" t="n"/>
      <c r="AC34" s="75" t="n"/>
      <c r="AD34" s="74" t="n"/>
      <c r="AE34" s="25" t="n"/>
      <c r="AF34" s="74" t="n"/>
      <c r="AG34" s="25" t="n"/>
      <c r="AH34" s="18">
        <f>SUM(B34:AG34)</f>
        <v/>
      </c>
      <c r="AI34" s="99" t="n"/>
      <c r="AL34" s="99" t="n"/>
    </row>
    <row r="35" ht="15.75" customHeight="1">
      <c r="A35" s="8" t="inlineStr">
        <is>
          <t>Sandwell Daycare</t>
        </is>
      </c>
      <c r="B35" s="75" t="n"/>
      <c r="C35" s="16" t="n"/>
      <c r="D35" s="16" t="n"/>
      <c r="E35" s="10" t="n"/>
      <c r="F35" s="10" t="n"/>
      <c r="G35" s="16" t="n"/>
      <c r="H35" s="16" t="n"/>
      <c r="I35" s="16" t="n"/>
      <c r="J35" s="16" t="n"/>
      <c r="K35" s="16" t="n"/>
      <c r="L35" s="16" t="n"/>
      <c r="M35" s="16" t="n"/>
      <c r="N35" s="16" t="n"/>
      <c r="O35" s="10" t="n"/>
      <c r="P35" s="10" t="n"/>
      <c r="Q35" s="74" t="n"/>
      <c r="R35" s="74" t="n"/>
      <c r="S35" s="10" t="n"/>
      <c r="T35" s="10" t="n"/>
      <c r="U35" s="74" t="n"/>
      <c r="V35" s="10" t="n"/>
      <c r="W35" s="74" t="n"/>
      <c r="X35" s="10" t="n"/>
      <c r="Y35" s="10" t="n"/>
      <c r="Z35" s="74" t="n"/>
      <c r="AA35" s="16" t="n"/>
      <c r="AB35" s="16" t="n"/>
      <c r="AC35" s="16" t="n"/>
      <c r="AD35" s="74" t="n"/>
      <c r="AE35" s="74" t="n"/>
      <c r="AF35" s="10" t="n"/>
      <c r="AG35" s="25" t="n"/>
      <c r="AH35" s="18">
        <f>SUM(B35:AG35)</f>
        <v/>
      </c>
      <c r="AI35" s="99" t="n"/>
      <c r="AL35" s="99" t="n"/>
    </row>
    <row r="36" ht="15.75" customHeight="1">
      <c r="A36" s="8" t="inlineStr">
        <is>
          <t xml:space="preserve">Wolverhampton Respite </t>
        </is>
      </c>
      <c r="B36" s="75" t="n"/>
      <c r="C36" s="16" t="n"/>
      <c r="D36" s="25" t="n">
        <v>11777.14</v>
      </c>
      <c r="E36" s="10" t="n"/>
      <c r="F36" s="10" t="n"/>
      <c r="G36" s="75" t="n"/>
      <c r="H36" s="75" t="n">
        <v>3437.6</v>
      </c>
      <c r="I36" s="75" t="n"/>
      <c r="J36" s="75" t="n"/>
      <c r="K36" s="75" t="n"/>
      <c r="L36" s="75" t="n"/>
      <c r="M36" s="75" t="n"/>
      <c r="N36" s="75" t="n"/>
      <c r="O36" s="74" t="n"/>
      <c r="P36" s="74" t="n"/>
      <c r="Q36" s="74" t="n"/>
      <c r="R36" s="74" t="n"/>
      <c r="S36" s="74" t="n"/>
      <c r="T36" s="74" t="n"/>
      <c r="U36" s="74" t="n"/>
      <c r="V36" s="74" t="n"/>
      <c r="W36" s="74" t="n"/>
      <c r="X36" s="74" t="n"/>
      <c r="Y36" s="74" t="n"/>
      <c r="Z36" s="74" t="n"/>
      <c r="AA36" s="75" t="n"/>
      <c r="AB36" s="75" t="n"/>
      <c r="AC36" s="16" t="n"/>
      <c r="AD36" s="74" t="n"/>
      <c r="AE36" s="74" t="n"/>
      <c r="AF36" s="74" t="n"/>
      <c r="AG36" s="10" t="n"/>
      <c r="AH36" s="18">
        <f>SUM(B36:AG36)</f>
        <v/>
      </c>
      <c r="AI36" s="99" t="n"/>
      <c r="AL36" s="99" t="n"/>
    </row>
    <row r="37" ht="15.75" customHeight="1">
      <c r="A37" s="8" t="inlineStr">
        <is>
          <t>Wolverhampton Daycare</t>
        </is>
      </c>
      <c r="B37" s="16" t="n"/>
      <c r="C37" s="16" t="n"/>
      <c r="D37" s="25" t="n"/>
      <c r="E37" s="10" t="n"/>
      <c r="F37" s="74" t="n"/>
      <c r="G37" s="16" t="n">
        <v>5800.66</v>
      </c>
      <c r="H37" s="16" t="n"/>
      <c r="I37" s="75" t="n"/>
      <c r="J37" s="16" t="n"/>
      <c r="K37" s="16" t="n"/>
      <c r="L37" s="75" t="n"/>
      <c r="M37" s="16" t="n"/>
      <c r="N37" s="16" t="n">
        <v>5800.66</v>
      </c>
      <c r="O37" s="74" t="n"/>
      <c r="P37" s="10" t="n"/>
      <c r="Q37" s="10" t="n"/>
      <c r="R37" s="10" t="n"/>
      <c r="S37" s="10" t="n"/>
      <c r="T37" s="10" t="n"/>
      <c r="U37" s="16" t="n">
        <v>5800.66</v>
      </c>
      <c r="V37" s="10" t="n"/>
      <c r="W37" s="10" t="n"/>
      <c r="X37" s="10" t="n"/>
      <c r="Y37" s="10" t="n"/>
      <c r="Z37" s="10" t="n"/>
      <c r="AA37" s="16" t="n"/>
      <c r="AB37" s="16" t="n">
        <v>5800.66</v>
      </c>
      <c r="AC37" s="16" t="n"/>
      <c r="AD37" s="74" t="n"/>
      <c r="AE37" s="10" t="n"/>
      <c r="AF37" s="10" t="n"/>
      <c r="AG37" s="25" t="n"/>
      <c r="AH37" s="18">
        <f>SUM(B37:AG37)</f>
        <v/>
      </c>
      <c r="AI37" s="99" t="n"/>
      <c r="AL37" s="99" t="n"/>
    </row>
    <row r="38" ht="15.75" customHeight="1">
      <c r="A38" s="8" t="inlineStr">
        <is>
          <t>Walsall Respite</t>
        </is>
      </c>
      <c r="B38" s="75" t="n"/>
      <c r="C38" s="16" t="n"/>
      <c r="D38" s="16" t="n"/>
      <c r="E38" s="74" t="n"/>
      <c r="F38" s="74" t="n"/>
      <c r="G38" s="16" t="n"/>
      <c r="H38" s="16" t="n"/>
      <c r="I38" s="16" t="n"/>
      <c r="J38" s="16" t="n"/>
      <c r="K38" s="16" t="n"/>
      <c r="L38" s="75">
        <f>37782.8-L52</f>
        <v/>
      </c>
      <c r="M38" s="75" t="n"/>
      <c r="N38" s="75" t="n"/>
      <c r="O38" s="10" t="n"/>
      <c r="P38" s="74" t="n"/>
      <c r="Q38" s="10" t="n"/>
      <c r="R38" s="10" t="n"/>
      <c r="S38" s="74" t="n"/>
      <c r="T38" s="10" t="n"/>
      <c r="U38" s="16" t="n"/>
      <c r="V38" s="10" t="n"/>
      <c r="W38" s="10" t="n"/>
      <c r="X38" s="10" t="n"/>
      <c r="Y38" s="74" t="n"/>
      <c r="Z38" s="10" t="n"/>
      <c r="AA38" s="16" t="n"/>
      <c r="AB38" s="16" t="n"/>
      <c r="AC38" s="16" t="n"/>
      <c r="AD38" s="74" t="n"/>
      <c r="AE38" s="74" t="n"/>
      <c r="AF38" s="74" t="n"/>
      <c r="AG38" s="25" t="n"/>
      <c r="AH38" s="18">
        <f>SUM(B38:AG38)</f>
        <v/>
      </c>
      <c r="AI38" s="99" t="n"/>
      <c r="AL38" s="99" t="n"/>
    </row>
    <row r="39" ht="15.75" customHeight="1">
      <c r="A39" s="8" t="inlineStr">
        <is>
          <t>Walsall Daycare</t>
        </is>
      </c>
      <c r="B39" s="25" t="n"/>
      <c r="C39" s="16" t="n"/>
      <c r="D39" s="16" t="n"/>
      <c r="E39" s="74" t="n"/>
      <c r="F39" s="74" t="n"/>
      <c r="G39" s="16" t="n"/>
      <c r="H39" s="16" t="n"/>
      <c r="I39" s="16" t="n"/>
      <c r="J39" s="16" t="n"/>
      <c r="K39" s="16" t="n"/>
      <c r="L39" s="16" t="n"/>
      <c r="M39" s="16" t="n"/>
      <c r="N39" s="75" t="n"/>
      <c r="O39" s="10" t="n"/>
      <c r="P39" s="10" t="n"/>
      <c r="Q39" s="10" t="n"/>
      <c r="R39" s="10" t="n"/>
      <c r="S39" s="74" t="n"/>
      <c r="T39" s="74" t="n"/>
      <c r="U39" s="16" t="n"/>
      <c r="V39" t="n">
        <v>3040</v>
      </c>
      <c r="W39" s="10" t="n"/>
      <c r="X39" s="10" t="n"/>
      <c r="Y39" s="10" t="n"/>
      <c r="Z39" s="10" t="n"/>
      <c r="AA39" s="16" t="n"/>
      <c r="AB39" s="16" t="n"/>
      <c r="AC39" s="16" t="n"/>
      <c r="AD39" s="74" t="n"/>
      <c r="AE39" s="74" t="n"/>
      <c r="AF39" s="10" t="n"/>
      <c r="AG39" s="25" t="n"/>
      <c r="AH39" s="18">
        <f>SUM(B39:AG39)</f>
        <v/>
      </c>
      <c r="AI39" s="99" t="n"/>
    </row>
    <row r="40" ht="18.75" customHeight="1">
      <c r="A40" s="8" t="inlineStr">
        <is>
          <t>Ideal for All Ltd</t>
        </is>
      </c>
      <c r="B40" s="75" t="n"/>
      <c r="C40" s="75" t="n"/>
      <c r="D40" s="75" t="n"/>
      <c r="E40" s="25" t="n">
        <v>15126.66</v>
      </c>
      <c r="F40" s="25" t="n"/>
      <c r="G40" s="75" t="n"/>
      <c r="H40" s="75" t="n">
        <v>4237.05</v>
      </c>
      <c r="I40" s="75" t="n"/>
      <c r="J40" s="123" t="n"/>
      <c r="K40" s="123" t="n"/>
      <c r="L40" s="16" t="n"/>
      <c r="M40" s="16" t="n"/>
      <c r="N40" s="75" t="n"/>
      <c r="O40" s="10" t="n"/>
      <c r="P40" s="10" t="n"/>
      <c r="Q40" s="16" t="n"/>
      <c r="R40" s="16" t="n"/>
      <c r="S40" s="10" t="n"/>
      <c r="T40" s="10" t="n"/>
      <c r="U40" s="16" t="n"/>
      <c r="V40" s="16" t="n"/>
      <c r="W40" s="16" t="n"/>
      <c r="X40" s="16" t="n"/>
      <c r="Y40" s="10" t="n"/>
      <c r="Z40" s="74" t="n"/>
      <c r="AA40" s="75" t="n"/>
      <c r="AB40" s="16" t="n"/>
      <c r="AC40" s="75" t="n"/>
      <c r="AD40" s="10" t="n"/>
      <c r="AE40" s="75" t="n"/>
      <c r="AF40" s="74" t="n"/>
      <c r="AG40" s="25" t="n"/>
      <c r="AH40" s="18">
        <f>SUM(B40:AG40)</f>
        <v/>
      </c>
      <c r="AI40" s="99" t="n"/>
    </row>
    <row r="41" ht="15.75" customHeight="1">
      <c r="A41" s="8" t="inlineStr">
        <is>
          <t>KIRKLEES COUNCIL-204312-63046958</t>
        </is>
      </c>
      <c r="B41" s="75" t="n"/>
      <c r="C41" s="25" t="n"/>
      <c r="D41" s="16" t="n"/>
      <c r="E41" s="10" t="n"/>
      <c r="F41" s="10" t="n"/>
      <c r="G41" s="75" t="n">
        <v>5888.14</v>
      </c>
      <c r="H41" s="16" t="n"/>
      <c r="I41" s="16" t="n"/>
      <c r="J41" s="16" t="n"/>
      <c r="K41" s="16" t="n"/>
      <c r="L41" s="16" t="n"/>
      <c r="M41" s="16" t="n"/>
      <c r="N41" s="75" t="n"/>
      <c r="O41" s="74" t="n"/>
      <c r="P41" s="74" t="n"/>
      <c r="Q41" s="74" t="n"/>
      <c r="R41" s="74" t="n"/>
      <c r="S41" s="10" t="n"/>
      <c r="T41" s="74" t="n"/>
      <c r="U41" s="16" t="n"/>
      <c r="V41" s="74" t="n"/>
      <c r="W41" s="74" t="n"/>
      <c r="X41" s="10" t="n"/>
      <c r="Y41" s="10" t="n"/>
      <c r="Z41" s="10" t="n"/>
      <c r="AA41" s="16" t="n"/>
      <c r="AB41" s="16" t="n"/>
      <c r="AC41" s="16" t="n"/>
      <c r="AD41" s="74" t="n"/>
      <c r="AE41" s="10" t="n"/>
      <c r="AF41" s="10" t="n"/>
      <c r="AG41" s="25" t="n"/>
      <c r="AH41" s="18">
        <f>SUM(B41:AG41)</f>
        <v/>
      </c>
      <c r="AI41" s="99" t="n"/>
    </row>
    <row r="42" ht="15.75" customHeight="1">
      <c r="A42" s="8" t="inlineStr">
        <is>
          <t>LBH PAYMENTS BACS-602210-72430192</t>
        </is>
      </c>
      <c r="B42" s="25" t="n"/>
      <c r="C42" s="16" t="n"/>
      <c r="D42" s="75" t="n"/>
      <c r="E42" s="74" t="n"/>
      <c r="F42" s="74" t="n"/>
      <c r="G42" s="16" t="n"/>
      <c r="H42" s="75" t="n"/>
      <c r="I42" s="75" t="n"/>
      <c r="J42" s="75" t="n"/>
      <c r="K42" s="75" t="n"/>
      <c r="L42" s="75" t="n"/>
      <c r="M42" s="16" t="n"/>
      <c r="N42" s="16" t="n"/>
      <c r="O42" s="10" t="n"/>
      <c r="P42" s="74" t="n"/>
      <c r="Q42" s="74" t="n"/>
      <c r="R42" s="74" t="n"/>
      <c r="S42" s="75" t="n"/>
      <c r="T42" s="75" t="n">
        <v>5203.8</v>
      </c>
      <c r="U42" s="16" t="n"/>
      <c r="V42" s="74" t="n"/>
      <c r="W42" s="10" t="n"/>
      <c r="X42" s="10" t="n"/>
      <c r="Y42" s="10" t="n"/>
      <c r="Z42" s="74" t="n"/>
      <c r="AA42" s="16" t="n"/>
      <c r="AB42" s="16" t="n"/>
      <c r="AC42" s="16" t="n"/>
      <c r="AD42" s="10" t="n"/>
      <c r="AE42" s="10" t="n"/>
      <c r="AF42" s="74" t="n"/>
      <c r="AG42" s="25" t="n"/>
      <c r="AH42" s="18">
        <f>SUM(B42:AG42)</f>
        <v/>
      </c>
      <c r="AI42" s="99" t="n"/>
    </row>
    <row r="43" ht="15.75" customHeight="1">
      <c r="A43" s="8" t="inlineStr">
        <is>
          <t>NHS BIRMINGHAM &amp; S-607080-10017097</t>
        </is>
      </c>
      <c r="B43" s="75" t="n"/>
      <c r="C43" s="75" t="n"/>
      <c r="D43" s="25" t="n"/>
      <c r="E43" s="10" t="n"/>
      <c r="F43" s="25" t="n"/>
      <c r="G43" s="75" t="n"/>
      <c r="H43" s="16" t="n"/>
      <c r="I43" s="75" t="n"/>
      <c r="J43" s="16" t="n"/>
      <c r="K43" s="75" t="n"/>
      <c r="L43" s="75" t="n"/>
      <c r="M43" s="75" t="n"/>
      <c r="O43" t="n">
        <v>7442.08</v>
      </c>
      <c r="P43" s="10" t="n"/>
      <c r="Q43" s="10" t="n"/>
      <c r="R43" s="74" t="n"/>
      <c r="S43" s="75" t="n"/>
      <c r="T43" s="75" t="n"/>
      <c r="U43" s="75" t="n"/>
      <c r="W43" s="74" t="n"/>
      <c r="X43" s="74" t="n"/>
      <c r="Z43" s="10" t="n"/>
      <c r="AA43" s="31" t="n"/>
      <c r="AB43" s="75" t="n"/>
      <c r="AC43" s="16" t="n"/>
      <c r="AD43" s="74" t="n"/>
      <c r="AE43" s="10" t="n"/>
      <c r="AF43" s="10" t="n"/>
      <c r="AG43" s="25" t="n"/>
      <c r="AH43" s="18">
        <f>SUM(B43:AG43)</f>
        <v/>
      </c>
      <c r="AI43" s="99" t="n"/>
    </row>
    <row r="44" ht="15.75" customHeight="1">
      <c r="A44" s="8" t="inlineStr">
        <is>
          <t>NHS BLACK COUNTRY-607080-10015272</t>
        </is>
      </c>
      <c r="B44" s="75" t="n"/>
      <c r="C44" s="75" t="n"/>
      <c r="D44" s="25" t="n">
        <v>2261.76</v>
      </c>
      <c r="E44" s="74" t="n"/>
      <c r="F44" s="74" t="n"/>
      <c r="G44" s="75" t="n">
        <v>1101.6</v>
      </c>
      <c r="H44" s="75" t="n"/>
      <c r="I44" s="75" t="n"/>
      <c r="J44" s="75" t="n"/>
      <c r="K44" s="75" t="n"/>
      <c r="L44" s="75" t="n"/>
      <c r="M44" s="75" t="n"/>
      <c r="O44" t="n">
        <v>16206.76</v>
      </c>
      <c r="P44" s="10" t="n"/>
      <c r="Q44" s="74" t="n"/>
      <c r="R44" s="25" t="n"/>
      <c r="S44" s="75" t="n"/>
      <c r="T44" s="75" t="n"/>
      <c r="U44" s="16" t="n"/>
      <c r="V44" s="74" t="n"/>
      <c r="W44" s="74" t="n"/>
      <c r="X44" s="10" t="n"/>
      <c r="Y44" s="74" t="n"/>
      <c r="Z44" s="74" t="n"/>
      <c r="AA44" s="16" t="n"/>
      <c r="AB44" s="31" t="n">
        <v>4273.4</v>
      </c>
      <c r="AC44" s="16" t="n"/>
      <c r="AD44" s="74" t="n"/>
      <c r="AE44" s="74" t="n"/>
      <c r="AF44" s="74" t="n"/>
      <c r="AG44" s="25" t="n"/>
      <c r="AH44" s="18">
        <f>SUM(B44:AG44)</f>
        <v/>
      </c>
      <c r="AI44" s="99" t="n"/>
    </row>
    <row r="45" ht="15.75" customHeight="1">
      <c r="A45" s="14" t="inlineStr">
        <is>
          <t>SANDWELL MBC  BEN-601539-69624151</t>
        </is>
      </c>
      <c r="B45" s="75" t="n"/>
      <c r="C45" s="16" t="n"/>
      <c r="D45" s="25" t="n">
        <v>2660</v>
      </c>
      <c r="E45" s="10" t="n"/>
      <c r="F45" s="10" t="n"/>
      <c r="G45" s="75" t="n"/>
      <c r="H45" s="75" t="n"/>
      <c r="I45" s="16" t="n"/>
      <c r="J45" s="16" t="n"/>
      <c r="K45" s="75" t="n"/>
      <c r="L45" s="75" t="n"/>
      <c r="M45" s="16" t="n"/>
      <c r="N45" s="75" t="n"/>
      <c r="O45" s="74" t="n"/>
      <c r="P45" s="74" t="n"/>
      <c r="Q45" s="74" t="n"/>
      <c r="R45" s="10" t="n"/>
      <c r="S45" s="16" t="n"/>
      <c r="T45" s="16" t="n"/>
      <c r="U45" s="75" t="n"/>
      <c r="V45" s="10" t="n"/>
      <c r="W45" s="74" t="n"/>
      <c r="X45" s="10" t="n"/>
      <c r="Y45" s="74" t="n"/>
      <c r="Z45" s="10" t="n"/>
      <c r="AA45" s="16" t="n"/>
      <c r="AB45" s="16" t="n"/>
      <c r="AC45" s="75" t="n"/>
      <c r="AD45" s="74" t="n"/>
      <c r="AE45" s="74" t="n"/>
      <c r="AF45" s="74" t="n"/>
      <c r="AG45" s="25" t="n"/>
      <c r="AH45" s="18">
        <f>SUM(B45:AG45)</f>
        <v/>
      </c>
      <c r="AI45" s="99" t="n"/>
    </row>
    <row r="46" ht="15.75" customHeight="1">
      <c r="A46" s="14" t="inlineStr">
        <is>
          <t>SANDWELL MBC-601539-69624135</t>
        </is>
      </c>
      <c r="B46" s="16" t="n"/>
      <c r="C46" s="25" t="n"/>
      <c r="D46" s="25" t="n">
        <v>142806.5</v>
      </c>
      <c r="E46" s="74" t="n"/>
      <c r="F46" s="108" t="n"/>
      <c r="G46" s="16" t="n"/>
      <c r="H46" s="16" t="n"/>
      <c r="I46" s="16" t="n"/>
      <c r="J46" s="75" t="n"/>
      <c r="K46" s="75" t="n"/>
      <c r="L46" s="75" t="n"/>
      <c r="M46" s="16" t="n"/>
      <c r="N46" s="75" t="n"/>
      <c r="O46" t="n">
        <v>129102.08</v>
      </c>
      <c r="P46" s="74" t="n"/>
      <c r="Q46" s="74" t="n"/>
      <c r="R46" s="74" t="n"/>
      <c r="S46" s="75" t="n"/>
      <c r="T46" s="100" t="n"/>
      <c r="U46" s="75" t="n"/>
      <c r="V46" s="10" t="n"/>
      <c r="W46" s="74" t="n"/>
      <c r="X46" s="10" t="n"/>
      <c r="Y46" s="74" t="n"/>
      <c r="Z46" s="108" t="n"/>
      <c r="AA46" s="16" t="n"/>
      <c r="AB46" s="75" t="n"/>
      <c r="AC46" s="75" t="n">
        <v>128558.08</v>
      </c>
      <c r="AD46" s="74" t="n"/>
      <c r="AE46" s="25" t="n"/>
      <c r="AF46" s="74" t="n"/>
      <c r="AG46" s="25" t="n"/>
      <c r="AH46" s="18">
        <f>SUM(B46:AG46)</f>
        <v/>
      </c>
      <c r="AI46" s="99" t="n"/>
    </row>
    <row r="47" ht="15.75" customHeight="1">
      <c r="A47" s="15" t="inlineStr">
        <is>
          <t>SOLIHULL MBC EXP.-200771-00561525</t>
        </is>
      </c>
      <c r="B47" s="75" t="n"/>
      <c r="C47" s="25" t="n"/>
      <c r="D47" s="75" t="n"/>
      <c r="E47" s="74" t="n"/>
      <c r="F47" s="74" t="n"/>
      <c r="G47" s="75" t="n"/>
      <c r="H47" s="75" t="n"/>
      <c r="I47" s="16" t="n"/>
      <c r="J47" s="75" t="n"/>
      <c r="K47" s="75" t="n"/>
      <c r="L47" s="75" t="n"/>
      <c r="M47" s="75" t="n"/>
      <c r="N47" s="75" t="n"/>
      <c r="O47" s="74" t="n"/>
      <c r="P47" s="74" t="n"/>
      <c r="Q47" s="74" t="n"/>
      <c r="R47" s="74" t="n"/>
      <c r="S47" s="75" t="n"/>
      <c r="T47" s="75" t="n"/>
      <c r="U47" s="75" t="n"/>
      <c r="V47" s="74" t="n"/>
      <c r="W47" s="74" t="n"/>
      <c r="X47" s="74" t="n"/>
      <c r="Y47" t="n">
        <v>32010.44</v>
      </c>
      <c r="Z47" s="74" t="n"/>
      <c r="AA47" s="75" t="n"/>
      <c r="AB47" s="75" t="n"/>
      <c r="AC47" s="75" t="n"/>
      <c r="AD47" s="74" t="n"/>
      <c r="AE47" s="74" t="n"/>
      <c r="AF47" s="74" t="n"/>
      <c r="AG47" s="25" t="n"/>
      <c r="AH47" s="18">
        <f>SUM(B47:AG47)</f>
        <v/>
      </c>
      <c r="AI47" s="99" t="n"/>
    </row>
    <row r="48" ht="15.75" customHeight="1">
      <c r="A48" s="15" t="inlineStr">
        <is>
          <t>WALSALL MBC BARC-209073-10731692</t>
        </is>
      </c>
      <c r="B48" s="16" t="n"/>
      <c r="C48" s="75" t="n"/>
      <c r="D48" s="75" t="n"/>
      <c r="E48" s="74" t="n"/>
      <c r="F48" s="74" t="n"/>
      <c r="G48" s="75" t="n"/>
      <c r="H48" s="75" t="n"/>
      <c r="I48" s="16" t="n"/>
      <c r="J48" s="75" t="n"/>
      <c r="K48" s="75" t="n"/>
      <c r="L48" s="75" t="n">
        <v>224310.68</v>
      </c>
      <c r="M48" s="75" t="n"/>
      <c r="N48" s="75" t="n"/>
      <c r="O48" s="74" t="n"/>
      <c r="P48" s="74" t="n"/>
      <c r="Q48" s="74" t="n"/>
      <c r="R48" s="25" t="n"/>
      <c r="S48" s="75" t="n"/>
      <c r="T48" s="75" t="n"/>
      <c r="U48" s="75" t="n"/>
      <c r="V48" s="74" t="n"/>
      <c r="W48" s="10" t="n"/>
      <c r="X48" s="74" t="n"/>
      <c r="Y48" s="74" t="n"/>
      <c r="Z48" s="74" t="n"/>
      <c r="AA48" s="75" t="n"/>
      <c r="AB48" s="75" t="n"/>
      <c r="AC48" s="75" t="n"/>
      <c r="AD48" s="74" t="n"/>
      <c r="AE48" s="74" t="n"/>
      <c r="AF48" s="74" t="n"/>
      <c r="AG48" s="25" t="n"/>
      <c r="AH48" s="18">
        <f>SUM(B48:AG48)</f>
        <v/>
      </c>
      <c r="AI48" s="99" t="n"/>
    </row>
    <row r="49" ht="15.75" customHeight="1">
      <c r="A49" s="15" t="inlineStr">
        <is>
          <t>WOLVERHAMPTON CC-560069-44470320</t>
        </is>
      </c>
      <c r="B49" s="16" t="n"/>
      <c r="C49" s="16" t="n"/>
      <c r="D49" s="25" t="n"/>
      <c r="E49" s="25" t="n"/>
      <c r="F49" s="10" t="n"/>
      <c r="G49" s="75">
        <f>130246.7-G37-G52</f>
        <v/>
      </c>
      <c r="H49" s="16" t="n"/>
      <c r="I49" s="75" t="n"/>
      <c r="J49" s="75" t="n"/>
      <c r="K49" s="16" t="n"/>
      <c r="L49" s="75" t="n"/>
      <c r="M49" s="16" t="n"/>
      <c r="N49" s="75">
        <f>122628.58-N37</f>
        <v/>
      </c>
      <c r="O49" s="74" t="n"/>
      <c r="P49" s="74" t="n"/>
      <c r="Q49" s="10" t="n"/>
      <c r="R49" s="10" t="n"/>
      <c r="S49" s="75" t="n"/>
      <c r="T49" s="16" t="n"/>
      <c r="U49" s="75">
        <f>122628.58-U37</f>
        <v/>
      </c>
      <c r="V49" s="74" t="n"/>
      <c r="W49" s="74" t="n"/>
      <c r="X49" s="74" t="n"/>
      <c r="Y49" s="10" t="n"/>
      <c r="Z49" s="74" t="n"/>
      <c r="AA49" s="16" t="n"/>
      <c r="AB49" s="75">
        <f>120189.22-AB37</f>
        <v/>
      </c>
      <c r="AC49" s="75" t="n"/>
      <c r="AD49" s="74" t="n"/>
      <c r="AE49" s="10" t="n"/>
      <c r="AF49" s="10" t="n"/>
      <c r="AG49" s="25" t="n"/>
      <c r="AH49" s="18">
        <f>SUM(B49:AG49)</f>
        <v/>
      </c>
      <c r="AI49" s="99" t="n"/>
    </row>
    <row r="50" ht="15.75" customHeight="1">
      <c r="A50" s="15" t="inlineStr">
        <is>
          <t>People Plus</t>
        </is>
      </c>
      <c r="B50" s="16" t="n"/>
      <c r="C50" s="75" t="n"/>
      <c r="D50" s="75" t="n"/>
      <c r="E50" s="74" t="n"/>
      <c r="F50" s="74" t="n"/>
      <c r="G50" s="75" t="n"/>
      <c r="H50" s="75" t="n">
        <v>6688</v>
      </c>
      <c r="I50" s="16" t="n"/>
      <c r="J50" s="75" t="n"/>
      <c r="K50" s="75" t="n"/>
      <c r="L50" s="75" t="n"/>
      <c r="M50" s="75" t="n"/>
      <c r="N50" s="75" t="n"/>
      <c r="O50" t="n">
        <v>2355.2</v>
      </c>
      <c r="P50" s="74" t="n"/>
      <c r="Q50" s="74" t="n"/>
      <c r="R50" s="74" t="n"/>
      <c r="S50" s="75" t="n"/>
      <c r="T50" s="75" t="n">
        <v>3831.8</v>
      </c>
      <c r="U50" s="31" t="n">
        <v>3690</v>
      </c>
      <c r="V50" s="74" t="n"/>
      <c r="W50" s="74" t="n"/>
      <c r="X50" s="74" t="n"/>
      <c r="Y50" s="74" t="n"/>
      <c r="Z50" s="74" t="n"/>
      <c r="AA50" s="75" t="n"/>
      <c r="AB50" s="75" t="n"/>
      <c r="AC50" s="75" t="n"/>
      <c r="AD50" s="10" t="n"/>
      <c r="AE50" s="74" t="n"/>
      <c r="AF50" s="74" t="n"/>
      <c r="AG50" s="25" t="n"/>
      <c r="AH50" s="18">
        <f>SUM(B50:AG50)</f>
        <v/>
      </c>
      <c r="AI50" s="99" t="n"/>
    </row>
    <row r="51" ht="15.75" customHeight="1">
      <c r="A51" s="15" t="inlineStr">
        <is>
          <t xml:space="preserve">Middlesbrough council </t>
        </is>
      </c>
      <c r="B51" s="16" t="n"/>
      <c r="C51" s="75" t="n"/>
      <c r="D51" s="75" t="n"/>
      <c r="E51" s="74" t="n"/>
      <c r="F51" s="74" t="n"/>
      <c r="G51" s="75" t="n"/>
      <c r="H51" s="75" t="n"/>
      <c r="I51" s="16" t="n"/>
      <c r="J51" s="75" t="n"/>
      <c r="K51" s="75" t="n"/>
      <c r="L51" s="75" t="n"/>
      <c r="M51" s="75" t="n"/>
      <c r="N51" s="75" t="n"/>
      <c r="O51" s="74" t="n"/>
      <c r="P51" s="74" t="n"/>
      <c r="Q51" s="74" t="n"/>
      <c r="R51" s="74" t="n"/>
      <c r="S51" s="75" t="n"/>
      <c r="T51" s="75" t="n"/>
      <c r="U51" s="31" t="n"/>
      <c r="V51" s="74" t="n"/>
      <c r="W51" s="74" t="n"/>
      <c r="X51" s="74" t="n"/>
      <c r="Y51" s="74" t="n"/>
      <c r="Z51" t="n">
        <v>5544</v>
      </c>
      <c r="AA51" s="75" t="n"/>
      <c r="AB51" s="75" t="n"/>
      <c r="AC51" s="75" t="n"/>
      <c r="AD51" s="10" t="n"/>
      <c r="AE51" s="74" t="n"/>
      <c r="AF51" s="74" t="n"/>
      <c r="AG51" s="25" t="n"/>
      <c r="AH51" s="18">
        <f>SUM(B51:AG51)</f>
        <v/>
      </c>
      <c r="AI51" s="99" t="n"/>
    </row>
    <row r="52" ht="15.75" customHeight="1">
      <c r="A52" s="15" t="inlineStr">
        <is>
          <t>CHASING</t>
        </is>
      </c>
      <c r="B52" s="25" t="n"/>
      <c r="C52" s="25" t="n"/>
      <c r="D52" s="25" t="n"/>
      <c r="E52" s="75" t="n"/>
      <c r="F52" s="75" t="n"/>
      <c r="G52" s="75" t="n">
        <v>12785.92</v>
      </c>
      <c r="H52" s="75" t="n">
        <v>4416</v>
      </c>
      <c r="I52" s="75" t="n"/>
      <c r="J52" s="75" t="n"/>
      <c r="K52" s="75" t="n"/>
      <c r="L52" s="75" t="n">
        <v>12116</v>
      </c>
      <c r="M52" s="75" t="n">
        <v>8000</v>
      </c>
      <c r="N52" s="75" t="n">
        <v>37000</v>
      </c>
      <c r="O52" s="75" t="n">
        <v>1340.23</v>
      </c>
      <c r="P52" s="74" t="n"/>
      <c r="Q52" s="74" t="n"/>
      <c r="R52" s="74" t="n"/>
      <c r="S52" s="75" t="n"/>
      <c r="T52" s="75">
        <f>18316+7840</f>
        <v/>
      </c>
      <c r="V52" t="n">
        <v>1800</v>
      </c>
      <c r="W52" s="74" t="n"/>
      <c r="X52" s="74" t="n"/>
      <c r="Y52" s="74" t="n"/>
      <c r="Z52" s="74" t="n"/>
      <c r="AA52" s="75" t="n"/>
      <c r="AB52" s="75" t="n"/>
      <c r="AC52" s="75" t="n"/>
      <c r="AD52" s="74" t="n">
        <v>51000</v>
      </c>
      <c r="AE52" s="74" t="n"/>
      <c r="AF52" s="74">
        <f>11500-O52-H52</f>
        <v/>
      </c>
      <c r="AG52" s="25" t="n"/>
      <c r="AH52" s="18">
        <f>SUM(B52:AG52)</f>
        <v/>
      </c>
      <c r="AI52" s="99" t="n"/>
    </row>
    <row r="53" ht="15.75" customHeight="1">
      <c r="A53" s="15" t="inlineStr">
        <is>
          <t>HB SC</t>
        </is>
      </c>
      <c r="B53" s="25" t="n">
        <v>787.6900000000001</v>
      </c>
      <c r="C53" s="25" t="n">
        <v>0</v>
      </c>
      <c r="D53" s="25" t="n">
        <v>6677.969999999981</v>
      </c>
      <c r="E53" s="75" t="n">
        <v>3230.039999999997</v>
      </c>
      <c r="F53" s="75" t="n">
        <v>1634.7</v>
      </c>
      <c r="G53" s="75" t="n">
        <v>2027.660000000008</v>
      </c>
      <c r="H53" s="75" t="n">
        <v>3024.180000000003</v>
      </c>
      <c r="I53" s="75" t="n">
        <v>659.4400000000001</v>
      </c>
      <c r="J53" s="75" t="n">
        <v>0</v>
      </c>
      <c r="K53" s="75" t="n">
        <v>5560.79</v>
      </c>
      <c r="L53" s="75" t="n">
        <v>2650.040000000008</v>
      </c>
      <c r="M53" s="75" t="n">
        <v>2746.43</v>
      </c>
      <c r="N53" s="75" t="n">
        <v>1883.829999999996</v>
      </c>
      <c r="O53" s="75" t="n">
        <v>7659.240000000063</v>
      </c>
      <c r="P53" s="75" t="n">
        <v>0</v>
      </c>
      <c r="Q53" s="75" t="n">
        <v>0</v>
      </c>
      <c r="R53" s="75" t="n">
        <v>5851.8</v>
      </c>
      <c r="S53" s="75" t="n">
        <v>3190.14</v>
      </c>
      <c r="T53" s="75" t="n">
        <v>973.87</v>
      </c>
      <c r="U53" s="75" t="n">
        <v>5680.039999999994</v>
      </c>
      <c r="V53" s="75" t="n">
        <v>4590.210000000001</v>
      </c>
      <c r="W53" s="75" t="n">
        <v>703</v>
      </c>
      <c r="X53" s="75" t="n">
        <v>450.16</v>
      </c>
      <c r="Y53" s="75" t="n">
        <v>16412.69</v>
      </c>
      <c r="Z53" s="75" t="n">
        <v>1460.04</v>
      </c>
      <c r="AA53" s="75" t="n">
        <v>1246.670000000042</v>
      </c>
      <c r="AB53" s="75" t="n">
        <v>3858.789999999994</v>
      </c>
      <c r="AC53" s="75" t="n">
        <v>8115.380000000034</v>
      </c>
      <c r="AD53" s="74" t="n"/>
      <c r="AE53" s="74" t="n"/>
      <c r="AF53" s="74" t="n"/>
      <c r="AG53" s="25" t="n"/>
      <c r="AH53" s="18">
        <f>SUM(B53:AG53)</f>
        <v/>
      </c>
      <c r="AI53" s="99" t="n"/>
    </row>
    <row r="54" ht="16.5" customHeight="1" thickBot="1">
      <c r="A54" s="15" t="inlineStr">
        <is>
          <t xml:space="preserve">Total </t>
        </is>
      </c>
      <c r="B54" s="124">
        <f>SUM(B32:B53)</f>
        <v/>
      </c>
      <c r="C54" s="124">
        <f>SUM(C32:C53)</f>
        <v/>
      </c>
      <c r="D54" s="124">
        <f>SUM(D32:D53)</f>
        <v/>
      </c>
      <c r="E54" s="124">
        <f>SUM(E32:E53)</f>
        <v/>
      </c>
      <c r="F54" s="124">
        <f>SUM(F32:F53)</f>
        <v/>
      </c>
      <c r="G54" s="125">
        <f>SUM(G32:G53)</f>
        <v/>
      </c>
      <c r="H54" s="125">
        <f>SUM(H32:H53)</f>
        <v/>
      </c>
      <c r="I54" s="124">
        <f>SUM(I32:I53)</f>
        <v/>
      </c>
      <c r="J54" s="124">
        <f>SUM(J32:J53)</f>
        <v/>
      </c>
      <c r="K54" s="124">
        <f>SUM(K32:K53)</f>
        <v/>
      </c>
      <c r="L54" s="124">
        <f>SUM(L32:L53)</f>
        <v/>
      </c>
      <c r="M54" s="124">
        <f>SUM(M32:M53)</f>
        <v/>
      </c>
      <c r="N54" s="124">
        <f>SUM(N32:N53)</f>
        <v/>
      </c>
      <c r="O54" s="124">
        <f>SUM(O32:O53)</f>
        <v/>
      </c>
      <c r="P54" s="124">
        <f>SUM(P32:P53)</f>
        <v/>
      </c>
      <c r="Q54" s="124">
        <f>SUM(Q32:Q53)</f>
        <v/>
      </c>
      <c r="R54" s="124">
        <f>SUM(R32:R53)</f>
        <v/>
      </c>
      <c r="S54" s="125">
        <f>SUM(S32:S53)</f>
        <v/>
      </c>
      <c r="T54" s="125">
        <f>SUM(T32:T53)</f>
        <v/>
      </c>
      <c r="U54" s="124">
        <f>SUM(U32:U53)</f>
        <v/>
      </c>
      <c r="V54" s="124">
        <f>SUM(V32:V53)</f>
        <v/>
      </c>
      <c r="W54" s="124">
        <f>SUM(W32:W53)</f>
        <v/>
      </c>
      <c r="X54" s="124">
        <f>SUM(X32:X53)</f>
        <v/>
      </c>
      <c r="Y54" s="124">
        <f>SUM(Y32:Y53)</f>
        <v/>
      </c>
      <c r="Z54" s="124">
        <f>SUM(Z32:Z53)</f>
        <v/>
      </c>
      <c r="AA54" s="124">
        <f>SUM(AA32:AA53)</f>
        <v/>
      </c>
      <c r="AB54" s="124">
        <f>SUM(AB32:AB53)</f>
        <v/>
      </c>
      <c r="AC54" s="124">
        <f>SUM(AC32:AC53)</f>
        <v/>
      </c>
      <c r="AD54" s="124">
        <f>SUM(AD32:AD53)</f>
        <v/>
      </c>
      <c r="AE54" s="124">
        <f>SUM(AE32:AE53)</f>
        <v/>
      </c>
      <c r="AF54" s="124">
        <f>SUM(AF32:AF53)</f>
        <v/>
      </c>
      <c r="AG54" s="124" t="n"/>
      <c r="AH54" s="126">
        <f>SUM(AH30:AH53)</f>
        <v/>
      </c>
    </row>
    <row r="55" ht="16.5" customHeight="1" thickBot="1" thickTop="1">
      <c r="A55" s="15" t="inlineStr">
        <is>
          <t>Running Total</t>
        </is>
      </c>
      <c r="B55" s="127">
        <f>B54</f>
        <v/>
      </c>
      <c r="C55" s="127">
        <f>C54+B55</f>
        <v/>
      </c>
      <c r="D55" s="127">
        <f>D54+C55</f>
        <v/>
      </c>
      <c r="E55" s="127">
        <f>E54+D55</f>
        <v/>
      </c>
      <c r="F55" s="128">
        <f>F54+E55</f>
        <v/>
      </c>
      <c r="G55" s="128">
        <f>G54+F55</f>
        <v/>
      </c>
      <c r="H55" s="127">
        <f>H54+G55</f>
        <v/>
      </c>
      <c r="I55" s="127">
        <f>I54+H55</f>
        <v/>
      </c>
      <c r="J55" s="127">
        <f>J54+I55</f>
        <v/>
      </c>
      <c r="K55" s="127">
        <f>K54+J55</f>
        <v/>
      </c>
      <c r="L55" s="127">
        <f>L54+K55</f>
        <v/>
      </c>
      <c r="M55" s="127">
        <f>M54+L55</f>
        <v/>
      </c>
      <c r="N55" s="127">
        <f>N54+M55</f>
        <v/>
      </c>
      <c r="O55" s="127">
        <f>O54+N55</f>
        <v/>
      </c>
      <c r="P55" s="127">
        <f>P54+O55</f>
        <v/>
      </c>
      <c r="Q55" s="127">
        <f>Q54+P55</f>
        <v/>
      </c>
      <c r="R55" s="127">
        <f>R54+Q55</f>
        <v/>
      </c>
      <c r="S55" s="127">
        <f>S54+R55</f>
        <v/>
      </c>
      <c r="T55" s="127">
        <f>T54+S55</f>
        <v/>
      </c>
      <c r="U55" s="127">
        <f>U54+T55</f>
        <v/>
      </c>
      <c r="V55" s="127">
        <f>V54+U55</f>
        <v/>
      </c>
      <c r="W55" s="127">
        <f>W54+V55</f>
        <v/>
      </c>
      <c r="X55" s="127">
        <f>X54+W55</f>
        <v/>
      </c>
      <c r="Y55" s="127">
        <f>Y54+X55</f>
        <v/>
      </c>
      <c r="Z55" s="127">
        <f>Z54+Y55</f>
        <v/>
      </c>
      <c r="AA55" s="127">
        <f>AA54+Z55</f>
        <v/>
      </c>
      <c r="AB55" s="127">
        <f>AB54+AA55</f>
        <v/>
      </c>
      <c r="AC55" s="127">
        <f>AC54+AB55</f>
        <v/>
      </c>
      <c r="AD55" s="127">
        <f>AD54+AC55</f>
        <v/>
      </c>
      <c r="AE55" s="127">
        <f>AE54+AD55</f>
        <v/>
      </c>
      <c r="AF55" s="127">
        <f>AF54+AE55</f>
        <v/>
      </c>
      <c r="AG55" s="127" t="n"/>
      <c r="AH55" s="25" t="n"/>
    </row>
    <row r="56" ht="15.75" customHeight="1" thickTop="1"/>
    <row r="61">
      <c r="A61" s="96" t="inlineStr">
        <is>
          <t xml:space="preserve">Chasing </t>
        </is>
      </c>
    </row>
    <row r="62">
      <c r="A62" s="15" t="inlineStr">
        <is>
          <t>Birmingham</t>
        </is>
      </c>
      <c r="B62" s="106" t="n">
        <v>22056.76</v>
      </c>
    </row>
    <row r="63">
      <c r="A63" s="15" t="inlineStr">
        <is>
          <t>Sandwell</t>
        </is>
      </c>
      <c r="B63" s="106" t="n">
        <v>20108.87</v>
      </c>
    </row>
    <row r="64">
      <c r="A64" s="15" t="inlineStr">
        <is>
          <t>NHS Black country</t>
        </is>
      </c>
      <c r="B64" s="106" t="n">
        <v>12111.16</v>
      </c>
    </row>
    <row r="65">
      <c r="A65" s="15" t="inlineStr">
        <is>
          <t>NHS Black Country TRUST</t>
        </is>
      </c>
      <c r="B65" s="106">
        <f>10272-H52-O52</f>
        <v/>
      </c>
    </row>
    <row r="66">
      <c r="A66" s="15" t="inlineStr">
        <is>
          <t xml:space="preserve">NHS Birmingham </t>
        </is>
      </c>
      <c r="B66" s="106" t="n">
        <v>7442.08</v>
      </c>
    </row>
    <row r="67">
      <c r="A67" s="15" t="inlineStr">
        <is>
          <t>Wolverhampton</t>
        </is>
      </c>
      <c r="B67" s="106" t="n"/>
      <c r="I67" s="25" t="n"/>
    </row>
    <row r="68">
      <c r="A68" s="15" t="inlineStr">
        <is>
          <t>Walsall</t>
        </is>
      </c>
      <c r="B68" s="106">
        <f>62613.6-L52</f>
        <v/>
      </c>
      <c r="I68" s="25" t="n"/>
    </row>
    <row r="69">
      <c r="A69" s="15" t="inlineStr">
        <is>
          <t>People plus</t>
        </is>
      </c>
      <c r="B69" s="106" t="n"/>
      <c r="I69" s="25" t="n"/>
    </row>
    <row r="70">
      <c r="A70" s="15" t="inlineStr">
        <is>
          <t>Go Digital Grant</t>
        </is>
      </c>
      <c r="B70" s="106">
        <f>37000+8000-M52-N52</f>
        <v/>
      </c>
      <c r="I70" s="25" t="n"/>
    </row>
    <row r="71">
      <c r="A71" s="15" t="inlineStr">
        <is>
          <t>HB and SC for all clients</t>
        </is>
      </c>
      <c r="B71" s="106" t="n">
        <v>47061</v>
      </c>
      <c r="I71" s="25" t="n"/>
    </row>
    <row r="72" ht="15.75" customHeight="1" thickBot="1">
      <c r="A72" s="53" t="inlineStr">
        <is>
          <t>Total</t>
        </is>
      </c>
      <c r="B72" s="120">
        <f>SUM(B62:B69)</f>
        <v/>
      </c>
    </row>
    <row r="73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/>
  </sheetPr>
  <dimension ref="A3:AL60"/>
  <sheetViews>
    <sheetView topLeftCell="A32" zoomScale="85" zoomScaleNormal="85" workbookViewId="0">
      <pane xSplit="1" topLeftCell="T1" activePane="topRight" state="frozen"/>
      <selection activeCell="I36" sqref="I36"/>
      <selection pane="topRight" activeCell="I36" sqref="I36"/>
    </sheetView>
  </sheetViews>
  <sheetFormatPr baseColWidth="8" defaultRowHeight="15"/>
  <cols>
    <col width="40.42578125" bestFit="1" customWidth="1" min="1" max="1"/>
    <col width="12.85546875" bestFit="1" customWidth="1" min="2" max="2"/>
    <col width="13.140625" bestFit="1" customWidth="1" min="3" max="10"/>
    <col width="12.85546875" bestFit="1" customWidth="1" min="11" max="11"/>
    <col width="12.5703125" bestFit="1" customWidth="1" min="12" max="12"/>
    <col width="13.140625" bestFit="1" customWidth="1" min="13" max="13"/>
    <col width="12.85546875" bestFit="1" customWidth="1" min="14" max="19"/>
    <col width="13.140625" customWidth="1" min="20" max="20"/>
    <col width="13.140625" bestFit="1" customWidth="1" min="21" max="21"/>
    <col width="12.85546875" bestFit="1" customWidth="1" min="22" max="22"/>
    <col width="13.140625" bestFit="1" customWidth="1" min="23" max="26"/>
    <col width="13.85546875" bestFit="1" customWidth="1" min="27" max="29"/>
    <col width="13.42578125" bestFit="1" customWidth="1" min="30" max="30"/>
    <col width="13" bestFit="1" customWidth="1" min="31" max="31"/>
    <col width="13.42578125" bestFit="1" customWidth="1" min="32" max="32"/>
    <col width="11.140625" bestFit="1" customWidth="1" min="33" max="33"/>
    <col width="14.28515625" bestFit="1" customWidth="1" min="34" max="34"/>
  </cols>
  <sheetData>
    <row r="1" hidden="1"/>
    <row r="2" hidden="1"/>
    <row r="3" hidden="1">
      <c r="A3" s="1" t="n"/>
      <c r="B3" s="2" t="inlineStr">
        <is>
          <t>March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1" t="n"/>
      <c r="AF3" s="1" t="n"/>
      <c r="AG3" s="1" t="n"/>
    </row>
    <row r="4" hidden="1">
      <c r="A4" s="1" t="n"/>
      <c r="B4" s="2" t="inlineStr">
        <is>
          <t>Saturday</t>
        </is>
      </c>
      <c r="C4" s="2" t="inlineStr">
        <is>
          <t>Sunday</t>
        </is>
      </c>
      <c r="D4" s="2" t="inlineStr">
        <is>
          <t>Monday</t>
        </is>
      </c>
      <c r="E4" s="2" t="inlineStr">
        <is>
          <t>Tuesday</t>
        </is>
      </c>
      <c r="F4" s="2" t="inlineStr">
        <is>
          <t>Wednesday</t>
        </is>
      </c>
      <c r="G4" s="2" t="inlineStr">
        <is>
          <t>Thursday</t>
        </is>
      </c>
      <c r="H4" s="2" t="inlineStr">
        <is>
          <t>Friday</t>
        </is>
      </c>
      <c r="I4" s="2" t="inlineStr">
        <is>
          <t>Saturday</t>
        </is>
      </c>
      <c r="J4" s="2" t="inlineStr">
        <is>
          <t>Sunday</t>
        </is>
      </c>
      <c r="K4" s="2" t="inlineStr">
        <is>
          <t>Monday</t>
        </is>
      </c>
      <c r="L4" s="2" t="inlineStr">
        <is>
          <t>Tuesday</t>
        </is>
      </c>
      <c r="M4" s="2" t="inlineStr">
        <is>
          <t>Wednesday</t>
        </is>
      </c>
      <c r="N4" s="2" t="inlineStr">
        <is>
          <t>Thursday</t>
        </is>
      </c>
      <c r="O4" s="2" t="inlineStr">
        <is>
          <t>Friday</t>
        </is>
      </c>
      <c r="P4" s="2" t="inlineStr">
        <is>
          <t>Saturday</t>
        </is>
      </c>
      <c r="Q4" s="2" t="inlineStr">
        <is>
          <t>Sunday</t>
        </is>
      </c>
      <c r="R4" s="2" t="inlineStr">
        <is>
          <t>Monday</t>
        </is>
      </c>
      <c r="S4" s="2" t="inlineStr">
        <is>
          <t>Tuesday</t>
        </is>
      </c>
      <c r="T4" s="2" t="inlineStr">
        <is>
          <t>Wednesday</t>
        </is>
      </c>
      <c r="U4" s="2" t="inlineStr">
        <is>
          <t>Thursday</t>
        </is>
      </c>
      <c r="V4" s="2" t="inlineStr">
        <is>
          <t>Friday</t>
        </is>
      </c>
      <c r="W4" s="2" t="inlineStr">
        <is>
          <t>Saturday</t>
        </is>
      </c>
      <c r="X4" s="2" t="inlineStr">
        <is>
          <t>Sunday</t>
        </is>
      </c>
      <c r="Y4" s="2" t="inlineStr">
        <is>
          <t>Monday</t>
        </is>
      </c>
      <c r="Z4" s="2" t="inlineStr">
        <is>
          <t>Tuesday</t>
        </is>
      </c>
      <c r="AA4" s="2" t="inlineStr">
        <is>
          <t>Wednesday</t>
        </is>
      </c>
      <c r="AB4" s="2" t="inlineStr">
        <is>
          <t>Thursday</t>
        </is>
      </c>
      <c r="AC4" s="2" t="inlineStr">
        <is>
          <t>Friday</t>
        </is>
      </c>
      <c r="AD4" s="2" t="inlineStr">
        <is>
          <t>Saturday</t>
        </is>
      </c>
      <c r="AE4" s="2" t="inlineStr">
        <is>
          <t>Sunday</t>
        </is>
      </c>
      <c r="AF4" s="2" t="inlineStr">
        <is>
          <t>Monday</t>
        </is>
      </c>
      <c r="AG4" s="2" t="inlineStr">
        <is>
          <t>Total</t>
        </is>
      </c>
    </row>
    <row r="5" hidden="1">
      <c r="A5" s="1" t="n"/>
      <c r="B5" s="7" t="inlineStr">
        <is>
          <t>1st</t>
        </is>
      </c>
      <c r="C5" s="7" t="inlineStr">
        <is>
          <t>2nd</t>
        </is>
      </c>
      <c r="D5" s="4" t="inlineStr">
        <is>
          <t>3rd</t>
        </is>
      </c>
      <c r="E5" s="4" t="inlineStr">
        <is>
          <t>4th</t>
        </is>
      </c>
      <c r="F5" s="4" t="inlineStr">
        <is>
          <t>5th</t>
        </is>
      </c>
      <c r="G5" s="4" t="inlineStr">
        <is>
          <t>6th</t>
        </is>
      </c>
      <c r="H5" s="4" t="inlineStr">
        <is>
          <t>7th</t>
        </is>
      </c>
      <c r="I5" s="4" t="inlineStr">
        <is>
          <t>8th</t>
        </is>
      </c>
      <c r="J5" s="4" t="inlineStr">
        <is>
          <t>9th</t>
        </is>
      </c>
      <c r="K5" s="5" t="inlineStr">
        <is>
          <t>10th</t>
        </is>
      </c>
      <c r="L5" s="5" t="inlineStr">
        <is>
          <t>11th</t>
        </is>
      </c>
      <c r="M5" s="5" t="inlineStr">
        <is>
          <t>12th</t>
        </is>
      </c>
      <c r="N5" s="5" t="inlineStr">
        <is>
          <t>13th</t>
        </is>
      </c>
      <c r="O5" s="5" t="inlineStr">
        <is>
          <t>14th</t>
        </is>
      </c>
      <c r="P5" s="5" t="inlineStr">
        <is>
          <t>15th</t>
        </is>
      </c>
      <c r="Q5" s="5" t="inlineStr">
        <is>
          <t>16th</t>
        </is>
      </c>
      <c r="R5" s="6" t="inlineStr">
        <is>
          <t>17th</t>
        </is>
      </c>
      <c r="S5" s="6" t="inlineStr">
        <is>
          <t>18th</t>
        </is>
      </c>
      <c r="T5" s="6" t="inlineStr">
        <is>
          <t>19th</t>
        </is>
      </c>
      <c r="U5" s="6" t="inlineStr">
        <is>
          <t>20th</t>
        </is>
      </c>
      <c r="V5" s="6" t="inlineStr">
        <is>
          <t>21st</t>
        </is>
      </c>
      <c r="W5" s="6" t="inlineStr">
        <is>
          <t>22nd</t>
        </is>
      </c>
      <c r="X5" s="6" t="inlineStr">
        <is>
          <t>23rd</t>
        </is>
      </c>
      <c r="Y5" s="3" t="inlineStr">
        <is>
          <t>24th</t>
        </is>
      </c>
      <c r="Z5" s="3" t="inlineStr">
        <is>
          <t>25th</t>
        </is>
      </c>
      <c r="AA5" s="3" t="inlineStr">
        <is>
          <t>26th</t>
        </is>
      </c>
      <c r="AB5" s="3" t="inlineStr">
        <is>
          <t>27th</t>
        </is>
      </c>
      <c r="AC5" s="3" t="inlineStr">
        <is>
          <t>28th</t>
        </is>
      </c>
      <c r="AD5" s="3" t="inlineStr">
        <is>
          <t>29th</t>
        </is>
      </c>
      <c r="AE5" s="3" t="inlineStr">
        <is>
          <t>30th</t>
        </is>
      </c>
      <c r="AF5" s="7" t="inlineStr">
        <is>
          <t>31st</t>
        </is>
      </c>
      <c r="AG5" s="1" t="n"/>
    </row>
    <row r="6" hidden="1" ht="15.75" customHeight="1">
      <c r="A6" s="8" t="inlineStr">
        <is>
          <t>B-HAM CITY COUNCIL-200790-70489166</t>
        </is>
      </c>
      <c r="B6" s="122" t="n"/>
      <c r="C6" s="122" t="n"/>
      <c r="D6" s="122" t="n"/>
      <c r="E6" s="122" t="n"/>
      <c r="F6" s="122" t="n"/>
      <c r="G6" s="74" t="n"/>
      <c r="H6" s="122" t="n"/>
      <c r="I6" s="122" t="n"/>
      <c r="J6" s="122" t="n"/>
      <c r="K6" s="122" t="n"/>
      <c r="L6" s="122" t="n"/>
      <c r="M6" s="74" t="n"/>
      <c r="N6" s="122" t="n"/>
      <c r="O6" s="122" t="n"/>
      <c r="P6" s="122" t="n"/>
      <c r="Q6" s="122" t="n"/>
      <c r="R6" s="12" t="n"/>
      <c r="S6" s="122" t="n"/>
      <c r="T6" s="122" t="n"/>
      <c r="U6" s="12" t="n"/>
      <c r="V6" s="122" t="n"/>
      <c r="W6" s="122" t="n"/>
      <c r="X6" s="122" t="n"/>
      <c r="Y6" s="74" t="n"/>
      <c r="Z6" s="12" t="n"/>
      <c r="AA6" s="74" t="n">
        <v>61393.72</v>
      </c>
      <c r="AB6" s="12" t="n"/>
      <c r="AC6" s="74" t="n"/>
      <c r="AD6" s="122" t="n"/>
      <c r="AE6" s="122" t="n"/>
      <c r="AF6" s="122" t="n"/>
      <c r="AG6" s="74" t="n"/>
      <c r="AH6" s="18">
        <f>SUM(B6:AG6)</f>
        <v/>
      </c>
      <c r="AI6" s="99" t="n"/>
      <c r="AL6" s="99" t="n"/>
    </row>
    <row r="7" hidden="1" ht="15.75" customHeight="1">
      <c r="A7" s="8" t="inlineStr">
        <is>
          <t>Buckingham</t>
        </is>
      </c>
      <c r="B7" s="74" t="n"/>
      <c r="C7" s="10" t="n"/>
      <c r="D7" s="10" t="n"/>
      <c r="E7" s="74" t="n"/>
      <c r="F7" s="10" t="n"/>
      <c r="G7" s="10" t="n"/>
      <c r="H7" s="10" t="n"/>
      <c r="I7" s="10" t="n"/>
      <c r="J7" s="10" t="n"/>
      <c r="K7" s="10" t="n"/>
      <c r="L7" s="10" t="n"/>
      <c r="M7" s="10" t="n"/>
      <c r="N7" s="74" t="n"/>
      <c r="O7" s="12" t="n"/>
      <c r="P7" s="12" t="n">
        <v>5134.44</v>
      </c>
      <c r="Q7" s="10" t="n"/>
      <c r="R7" s="74" t="n"/>
      <c r="S7" s="10" t="n"/>
      <c r="T7" s="10" t="n"/>
      <c r="U7" s="74" t="n"/>
      <c r="V7" s="10" t="n"/>
      <c r="W7" s="74" t="n"/>
      <c r="X7" s="74" t="n"/>
      <c r="Y7" s="10" t="n"/>
      <c r="Z7" s="74" t="n"/>
      <c r="AA7" s="74" t="n"/>
      <c r="AB7" s="10" t="n"/>
      <c r="AC7" s="74" t="n"/>
      <c r="AD7" s="10" t="n"/>
      <c r="AE7" s="74" t="n"/>
      <c r="AF7" s="74" t="n"/>
      <c r="AG7" s="74" t="n"/>
      <c r="AH7" s="18">
        <f>SUM(B7:AG7)</f>
        <v/>
      </c>
      <c r="AI7" s="99" t="n"/>
      <c r="AL7" s="99" t="n"/>
    </row>
    <row r="8" hidden="1" ht="15.75" customHeight="1">
      <c r="A8" s="8" t="inlineStr">
        <is>
          <t>Sandwell Respite</t>
        </is>
      </c>
      <c r="B8" s="74" t="n"/>
      <c r="C8" s="74" t="n"/>
      <c r="D8" s="10" t="n"/>
      <c r="E8" s="74" t="n"/>
      <c r="F8" s="74" t="n"/>
      <c r="G8" s="10" t="n"/>
      <c r="H8" s="74" t="n"/>
      <c r="I8" s="10" t="n"/>
      <c r="J8" s="74" t="n"/>
      <c r="K8" s="10" t="n"/>
      <c r="L8" s="10" t="n"/>
      <c r="M8" s="10" t="n"/>
      <c r="N8" s="12" t="n"/>
      <c r="O8" s="12" t="n">
        <v>10270.15</v>
      </c>
      <c r="P8" s="10" t="n"/>
      <c r="Q8" s="74" t="n"/>
      <c r="R8" s="74" t="n"/>
      <c r="S8" s="10" t="n"/>
      <c r="T8" s="10" t="n"/>
      <c r="U8" s="10" t="n"/>
      <c r="V8" s="10" t="n"/>
      <c r="W8" s="10" t="n"/>
      <c r="X8" s="10" t="n"/>
      <c r="Y8" s="10" t="n"/>
      <c r="Z8" s="74" t="n"/>
      <c r="AA8" s="10" t="n"/>
      <c r="AB8" s="10" t="n"/>
      <c r="AC8" s="74" t="n"/>
      <c r="AD8" s="74" t="n"/>
      <c r="AE8" s="74" t="n"/>
      <c r="AF8" s="74" t="n"/>
      <c r="AG8" s="74" t="n"/>
      <c r="AH8" s="18">
        <f>SUM(B8:AG8)</f>
        <v/>
      </c>
      <c r="AI8" s="99" t="n"/>
      <c r="AL8" s="99" t="n"/>
    </row>
    <row r="9" hidden="1" ht="15.75" customHeight="1">
      <c r="A9" s="8" t="inlineStr">
        <is>
          <t>Sandwell Daycare</t>
        </is>
      </c>
      <c r="B9" s="74" t="n"/>
      <c r="C9" s="10" t="n"/>
      <c r="D9" s="10" t="n"/>
      <c r="E9" s="10" t="n"/>
      <c r="F9" s="10" t="n"/>
      <c r="G9" s="10" t="n"/>
      <c r="H9" s="10" t="n"/>
      <c r="I9" s="10" t="n"/>
      <c r="J9" s="10" t="n"/>
      <c r="K9" s="10" t="n"/>
      <c r="L9" s="10" t="n"/>
      <c r="M9" s="10" t="n"/>
      <c r="N9" s="10" t="n"/>
      <c r="O9" s="10" t="n"/>
      <c r="P9" s="10" t="n"/>
      <c r="Q9" s="74" t="n"/>
      <c r="R9" s="74" t="n"/>
      <c r="S9" s="10" t="n"/>
      <c r="T9" s="10" t="n"/>
      <c r="U9" s="74" t="n"/>
      <c r="V9" s="10" t="n"/>
      <c r="W9" s="74" t="n"/>
      <c r="X9" s="10" t="n"/>
      <c r="Y9" s="10" t="n"/>
      <c r="Z9" s="74" t="n"/>
      <c r="AA9" s="10" t="n"/>
      <c r="AB9" s="10" t="n"/>
      <c r="AC9" s="10" t="n"/>
      <c r="AD9" s="74" t="n"/>
      <c r="AE9" s="74" t="n"/>
      <c r="AF9" s="10" t="n"/>
      <c r="AG9" s="74" t="n"/>
      <c r="AH9" s="18">
        <f>SUM(B9:AG9)</f>
        <v/>
      </c>
      <c r="AI9" s="99" t="n"/>
      <c r="AL9" s="99" t="n"/>
    </row>
    <row r="10" hidden="1" ht="15.75" customHeight="1">
      <c r="A10" s="8" t="inlineStr">
        <is>
          <t xml:space="preserve">Wolverhampton Respite </t>
        </is>
      </c>
      <c r="B10" s="74" t="n"/>
      <c r="C10" s="10" t="n"/>
      <c r="D10" s="74" t="n"/>
      <c r="E10" s="10" t="n"/>
      <c r="F10" s="10" t="n"/>
      <c r="G10" s="74" t="n"/>
      <c r="H10" s="74" t="n"/>
      <c r="I10" s="74" t="n"/>
      <c r="J10" s="74" t="n"/>
      <c r="K10" s="74" t="n"/>
      <c r="L10" s="74" t="n"/>
      <c r="M10" s="74" t="n"/>
      <c r="N10" s="74" t="n"/>
      <c r="O10" s="74" t="n"/>
      <c r="P10" s="74" t="n"/>
      <c r="Q10" s="74" t="n"/>
      <c r="R10" s="74" t="n"/>
      <c r="S10" s="74" t="n"/>
      <c r="T10" s="74" t="n"/>
      <c r="U10" s="74" t="n"/>
      <c r="V10" s="74" t="n"/>
      <c r="W10" s="74" t="n"/>
      <c r="X10" s="74" t="n"/>
      <c r="Y10" s="74" t="n"/>
      <c r="Z10" s="74" t="n"/>
      <c r="AA10" s="74" t="n"/>
      <c r="AB10" s="74" t="n"/>
      <c r="AC10" s="10" t="n"/>
      <c r="AD10" s="74" t="n"/>
      <c r="AE10" s="74" t="n"/>
      <c r="AF10" s="74" t="n"/>
      <c r="AG10" s="10" t="n">
        <v>17000</v>
      </c>
      <c r="AH10" s="18">
        <f>SUM(B10:AG10)</f>
        <v/>
      </c>
      <c r="AI10" s="99" t="n"/>
      <c r="AL10" s="99" t="n"/>
    </row>
    <row r="11" hidden="1" ht="15.75" customHeight="1">
      <c r="A11" s="8" t="inlineStr">
        <is>
          <t>Wolverhampton Daycare</t>
        </is>
      </c>
      <c r="B11" s="10" t="n"/>
      <c r="C11" s="10" t="n"/>
      <c r="D11" s="74" t="n"/>
      <c r="E11" s="10" t="n"/>
      <c r="F11" s="74" t="n"/>
      <c r="G11" s="10" t="n"/>
      <c r="H11" s="10" t="n">
        <v>5800.66</v>
      </c>
      <c r="I11" s="74" t="n"/>
      <c r="J11" s="10" t="n"/>
      <c r="K11" s="10" t="n"/>
      <c r="L11" s="74" t="n"/>
      <c r="M11" s="10" t="n"/>
      <c r="N11" s="10" t="n"/>
      <c r="O11" s="10" t="n">
        <v>5800.66</v>
      </c>
      <c r="P11" s="10" t="n"/>
      <c r="Q11" s="10" t="n"/>
      <c r="R11" s="10" t="n"/>
      <c r="S11" s="10" t="n"/>
      <c r="T11" s="10" t="n"/>
      <c r="U11" s="10" t="n"/>
      <c r="V11" s="10" t="n">
        <v>5800.66</v>
      </c>
      <c r="W11" s="10" t="n"/>
      <c r="X11" s="10" t="n"/>
      <c r="Y11" s="10" t="n"/>
      <c r="Z11" s="10" t="n"/>
      <c r="AA11" s="10" t="n"/>
      <c r="AB11" s="10" t="n"/>
      <c r="AC11" s="10" t="n">
        <v>5800.66</v>
      </c>
      <c r="AD11" s="74" t="n"/>
      <c r="AE11" s="10" t="n"/>
      <c r="AF11" s="10" t="n"/>
      <c r="AG11" s="74" t="n"/>
      <c r="AH11" s="18">
        <f>SUM(B11:AG11)</f>
        <v/>
      </c>
      <c r="AI11" s="99" t="n"/>
      <c r="AL11" s="99" t="n"/>
    </row>
    <row r="12" hidden="1" ht="15.75" customHeight="1">
      <c r="A12" s="8" t="inlineStr">
        <is>
          <t>Walsall Respite</t>
        </is>
      </c>
      <c r="B12" s="74" t="n"/>
      <c r="C12" s="10" t="n"/>
      <c r="D12" s="10" t="n"/>
      <c r="E12" s="74" t="n"/>
      <c r="F12" s="74" t="n"/>
      <c r="G12" s="10" t="n"/>
      <c r="H12" s="10" t="n"/>
      <c r="I12" s="10" t="n"/>
      <c r="J12" s="10" t="n"/>
      <c r="K12" s="10" t="n"/>
      <c r="L12" s="74" t="n"/>
      <c r="M12" s="74" t="n"/>
      <c r="N12" s="74" t="n"/>
      <c r="O12" s="10" t="n"/>
      <c r="P12" s="74" t="n"/>
      <c r="Q12" s="10" t="n"/>
      <c r="R12" s="10" t="n"/>
      <c r="S12" s="74" t="n"/>
      <c r="T12" s="10" t="n"/>
      <c r="U12" s="10" t="n"/>
      <c r="V12" s="10" t="n"/>
      <c r="W12" s="10" t="n"/>
      <c r="X12" s="10" t="n"/>
      <c r="Y12" s="74" t="n"/>
      <c r="Z12" s="10" t="n"/>
      <c r="AA12" s="10" t="n"/>
      <c r="AB12" s="10" t="n"/>
      <c r="AC12" s="10" t="n"/>
      <c r="AD12" s="74" t="n"/>
      <c r="AE12" s="74" t="n"/>
      <c r="AF12" s="74" t="n"/>
      <c r="AG12" s="74" t="n"/>
      <c r="AH12" s="18">
        <f>SUM(B12:AG12)</f>
        <v/>
      </c>
      <c r="AI12" s="99" t="n"/>
      <c r="AL12" s="99" t="n"/>
    </row>
    <row r="13" hidden="1" ht="15.75" customHeight="1">
      <c r="A13" s="8" t="inlineStr">
        <is>
          <t>Walsall Daycare</t>
        </is>
      </c>
      <c r="B13" s="74" t="n"/>
      <c r="C13" s="10" t="n"/>
      <c r="D13" s="10" t="n"/>
      <c r="E13" s="74" t="n"/>
      <c r="F13" s="74" t="n"/>
      <c r="G13" s="10" t="n"/>
      <c r="H13" s="10" t="n"/>
      <c r="I13" s="10" t="n"/>
      <c r="J13" s="10" t="n"/>
      <c r="K13" s="10" t="n"/>
      <c r="L13" s="10" t="n"/>
      <c r="M13" s="10" t="n"/>
      <c r="N13" s="74" t="n"/>
      <c r="O13" s="10" t="n"/>
      <c r="P13" s="10" t="n">
        <v>16000</v>
      </c>
      <c r="Q13" s="10" t="n"/>
      <c r="R13" s="10" t="n"/>
      <c r="S13" s="74" t="n"/>
      <c r="T13" s="74" t="n"/>
      <c r="U13" s="10" t="n"/>
      <c r="V13" s="12" t="n"/>
      <c r="W13" s="10" t="n"/>
      <c r="X13" s="10" t="n"/>
      <c r="Y13" s="10" t="n"/>
      <c r="Z13" s="10" t="n"/>
      <c r="AA13" s="10" t="n"/>
      <c r="AB13" s="10" t="n"/>
      <c r="AC13" s="10" t="n"/>
      <c r="AD13" s="74" t="n"/>
      <c r="AE13" s="74" t="n"/>
      <c r="AF13" s="10" t="n"/>
      <c r="AG13" s="74" t="n"/>
      <c r="AH13" s="18">
        <f>SUM(B13:AG13)</f>
        <v/>
      </c>
      <c r="AI13" s="99" t="n"/>
    </row>
    <row r="14" hidden="1" ht="18.75" customHeight="1">
      <c r="A14" s="8" t="inlineStr">
        <is>
          <t>Ideal for All Ltd</t>
        </is>
      </c>
      <c r="B14" s="74" t="n"/>
      <c r="C14" s="74" t="n"/>
      <c r="D14" s="74" t="n"/>
      <c r="E14" s="74" t="n"/>
      <c r="F14" s="74" t="n"/>
      <c r="G14" s="74" t="n"/>
      <c r="H14" s="74" t="n"/>
      <c r="I14" s="74" t="n"/>
      <c r="J14" s="129" t="n"/>
      <c r="K14" s="129" t="n"/>
      <c r="L14" s="10" t="n"/>
      <c r="M14" s="10" t="n"/>
      <c r="N14" s="74" t="n"/>
      <c r="O14" s="10" t="n"/>
      <c r="P14" s="10" t="n"/>
      <c r="Q14" s="10" t="n"/>
      <c r="R14" s="10" t="n"/>
      <c r="S14" s="10" t="n"/>
      <c r="T14" s="10" t="n"/>
      <c r="U14" s="10" t="n"/>
      <c r="V14" s="10" t="n"/>
      <c r="W14" s="10" t="n"/>
      <c r="X14" s="10" t="n"/>
      <c r="Y14" s="10" t="n"/>
      <c r="Z14" s="74" t="n"/>
      <c r="AA14" s="74" t="n"/>
      <c r="AB14" s="10" t="n"/>
      <c r="AC14" s="74" t="n"/>
      <c r="AD14" s="10" t="n"/>
      <c r="AE14" s="74" t="n"/>
      <c r="AF14" s="74" t="n"/>
      <c r="AG14" s="74" t="n"/>
      <c r="AH14" s="18">
        <f>SUM(B14:AG14)</f>
        <v/>
      </c>
      <c r="AI14" s="99" t="n"/>
    </row>
    <row r="15" hidden="1" ht="15.75" customHeight="1">
      <c r="A15" s="8" t="inlineStr">
        <is>
          <t>KIRKLEES COUNCIL-204312-63046958</t>
        </is>
      </c>
      <c r="B15" s="74" t="n"/>
      <c r="C15" s="74" t="n"/>
      <c r="D15" s="10" t="n"/>
      <c r="E15" s="10" t="n"/>
      <c r="F15" s="10" t="n"/>
      <c r="G15" s="74" t="n"/>
      <c r="H15" s="10" t="n"/>
      <c r="I15" s="10" t="n"/>
      <c r="J15" s="10" t="n"/>
      <c r="K15" s="10" t="n"/>
      <c r="L15" s="74" t="n">
        <v>5888.14</v>
      </c>
      <c r="M15" s="10" t="n"/>
      <c r="N15" s="74" t="n"/>
      <c r="O15" s="74" t="n"/>
      <c r="P15" s="74" t="n"/>
      <c r="Q15" s="74" t="n"/>
      <c r="R15" s="74" t="n"/>
      <c r="S15" s="10" t="n"/>
      <c r="T15" s="74" t="n"/>
      <c r="U15" s="10" t="n"/>
      <c r="V15" s="74" t="n"/>
      <c r="W15" s="74" t="n"/>
      <c r="X15" s="10" t="n"/>
      <c r="Y15" s="10" t="n"/>
      <c r="Z15" s="10" t="n"/>
      <c r="AA15" s="10" t="n"/>
      <c r="AB15" s="10" t="n"/>
      <c r="AC15" s="10" t="n"/>
      <c r="AD15" s="74" t="n"/>
      <c r="AE15" s="10" t="n"/>
      <c r="AF15" s="10" t="n"/>
      <c r="AG15" s="74" t="n"/>
      <c r="AH15" s="18">
        <f>SUM(B15:AG15)</f>
        <v/>
      </c>
      <c r="AI15" s="99" t="n"/>
    </row>
    <row r="16" hidden="1" ht="15.75" customHeight="1">
      <c r="A16" s="8" t="inlineStr">
        <is>
          <t>LBH PAYMENTS BACS-602210-72430192</t>
        </is>
      </c>
      <c r="B16" s="74" t="n"/>
      <c r="C16" s="10" t="n"/>
      <c r="D16" s="74" t="n"/>
      <c r="E16" s="74" t="n"/>
      <c r="F16" s="74" t="n"/>
      <c r="G16" s="10" t="n"/>
      <c r="H16" s="74" t="n"/>
      <c r="I16" s="74" t="n"/>
      <c r="J16" s="74" t="n"/>
      <c r="K16" s="74" t="n"/>
      <c r="L16" s="74" t="n"/>
      <c r="M16" s="10" t="n"/>
      <c r="N16" s="10" t="n"/>
      <c r="O16" s="10" t="n"/>
      <c r="P16" s="74" t="n"/>
      <c r="Q16" s="74" t="n"/>
      <c r="R16" s="74" t="n"/>
      <c r="S16" s="74" t="n"/>
      <c r="T16" s="74" t="n"/>
      <c r="U16" s="10" t="n"/>
      <c r="V16" s="74" t="n">
        <v>5203.8</v>
      </c>
      <c r="W16" s="10" t="n"/>
      <c r="X16" s="10" t="n"/>
      <c r="Y16" s="10" t="n"/>
      <c r="Z16" s="74" t="n"/>
      <c r="AA16" s="10" t="n"/>
      <c r="AB16" s="10" t="n"/>
      <c r="AC16" s="10" t="n"/>
      <c r="AD16" s="10" t="n"/>
      <c r="AE16" s="10" t="n"/>
      <c r="AF16" s="74" t="n"/>
      <c r="AG16" s="74" t="n"/>
      <c r="AH16" s="18">
        <f>SUM(B16:AG16)</f>
        <v/>
      </c>
      <c r="AI16" s="99" t="n"/>
    </row>
    <row r="17" hidden="1" ht="15.75" customHeight="1">
      <c r="A17" s="8" t="inlineStr">
        <is>
          <t>NHS BIRMINGHAM &amp; S-607080-10017097</t>
        </is>
      </c>
      <c r="B17" s="74" t="n"/>
      <c r="C17" s="74" t="n"/>
      <c r="D17" s="74" t="n"/>
      <c r="E17" s="10" t="n"/>
      <c r="F17" s="74" t="n"/>
      <c r="G17" s="74" t="n"/>
      <c r="H17" s="10" t="n"/>
      <c r="I17" s="74" t="n"/>
      <c r="J17" s="10" t="n"/>
      <c r="K17" s="74" t="n"/>
      <c r="L17" s="74" t="n"/>
      <c r="M17" s="74" t="n"/>
      <c r="N17" s="12" t="n"/>
      <c r="O17" s="12" t="n"/>
      <c r="P17" s="10" t="n"/>
      <c r="Q17" s="10" t="n"/>
      <c r="R17" s="74" t="n"/>
      <c r="S17" s="12" t="n">
        <v>7442.08</v>
      </c>
      <c r="T17" s="74" t="n"/>
      <c r="U17" s="74" t="n"/>
      <c r="V17" s="12" t="n"/>
      <c r="W17" s="74" t="n"/>
      <c r="X17" s="74" t="n"/>
      <c r="Y17" s="12" t="n"/>
      <c r="Z17" s="10" t="n"/>
      <c r="AA17" s="12" t="n"/>
      <c r="AB17" s="74" t="n"/>
      <c r="AC17" s="10" t="n"/>
      <c r="AD17" s="74" t="n"/>
      <c r="AE17" s="10" t="n"/>
      <c r="AF17" s="10" t="n"/>
      <c r="AG17" s="74" t="n"/>
      <c r="AH17" s="18">
        <f>SUM(B17:AG17)</f>
        <v/>
      </c>
      <c r="AI17" s="99" t="n"/>
    </row>
    <row r="18" hidden="1" ht="15.75" customHeight="1">
      <c r="A18" s="8" t="inlineStr">
        <is>
          <t>NHS BLACK COUNTRY-607080-10015272</t>
        </is>
      </c>
      <c r="B18" s="74" t="n"/>
      <c r="C18" s="74" t="n"/>
      <c r="D18" s="74" t="n"/>
      <c r="E18" s="74" t="n"/>
      <c r="F18" s="74" t="n"/>
      <c r="G18" s="74" t="n"/>
      <c r="H18" s="74" t="n">
        <v>2261.76</v>
      </c>
      <c r="I18" s="74" t="n"/>
      <c r="J18" s="74" t="n"/>
      <c r="K18" s="12" t="n"/>
      <c r="L18" s="74" t="n"/>
      <c r="M18" s="74" t="n">
        <v>1101.6</v>
      </c>
      <c r="N18" s="74" t="n"/>
      <c r="O18" s="74" t="n"/>
      <c r="P18" s="74" t="n"/>
      <c r="Q18" s="74" t="n"/>
      <c r="R18" s="12" t="n"/>
      <c r="S18" s="12" t="n">
        <v>16206.76</v>
      </c>
      <c r="T18" s="74" t="n"/>
      <c r="U18" s="10" t="n"/>
      <c r="V18" s="74" t="n"/>
      <c r="W18" s="74" t="n"/>
      <c r="X18" s="10" t="n"/>
      <c r="Y18" s="74" t="n"/>
      <c r="Z18" s="74" t="n"/>
      <c r="AA18" s="10" t="n"/>
      <c r="AB18" s="12" t="n"/>
      <c r="AC18" s="12" t="n">
        <v>4273.4</v>
      </c>
      <c r="AD18" s="74" t="n"/>
      <c r="AE18" s="74" t="n"/>
      <c r="AF18" s="74" t="n"/>
      <c r="AG18" s="74" t="n"/>
      <c r="AH18" s="18">
        <f>SUM(B18:AG18)</f>
        <v/>
      </c>
      <c r="AI18" s="99" t="n"/>
    </row>
    <row r="19" hidden="1" ht="15.75" customHeight="1">
      <c r="A19" s="14" t="inlineStr">
        <is>
          <t>SANDWELL MBC  BEN-601539-69624151</t>
        </is>
      </c>
      <c r="B19" s="74" t="n"/>
      <c r="C19" s="10" t="n"/>
      <c r="D19" s="74" t="n"/>
      <c r="E19" s="10" t="n"/>
      <c r="F19" s="74" t="n">
        <v>2660</v>
      </c>
      <c r="G19" s="74" t="n"/>
      <c r="H19" s="74" t="n"/>
      <c r="I19" s="10" t="n"/>
      <c r="J19" s="10" t="n"/>
      <c r="K19" s="74" t="n"/>
      <c r="L19" s="74" t="n"/>
      <c r="M19" s="10" t="n"/>
      <c r="N19" s="74" t="n"/>
      <c r="O19" s="74" t="n"/>
      <c r="P19" s="74" t="n"/>
      <c r="Q19" s="74" t="n"/>
      <c r="R19" s="10" t="n"/>
      <c r="S19" s="10" t="n"/>
      <c r="T19" s="10" t="n"/>
      <c r="U19" s="74" t="n"/>
      <c r="V19" s="10" t="n"/>
      <c r="W19" s="74" t="n"/>
      <c r="X19" s="10" t="n"/>
      <c r="Y19" s="74" t="n"/>
      <c r="Z19" s="10" t="n"/>
      <c r="AA19" s="10" t="n"/>
      <c r="AB19" s="10" t="n"/>
      <c r="AC19" s="74" t="n"/>
      <c r="AD19" s="74" t="n"/>
      <c r="AE19" s="74" t="n"/>
      <c r="AF19" s="74" t="n"/>
      <c r="AG19" s="74" t="n"/>
      <c r="AH19" s="18">
        <f>SUM(B19:AG19)</f>
        <v/>
      </c>
      <c r="AI19" s="99" t="n"/>
    </row>
    <row r="20" hidden="1" ht="15.75" customHeight="1">
      <c r="A20" s="14" t="inlineStr">
        <is>
          <t>SANDWELL MBC-601539-69624135</t>
        </is>
      </c>
      <c r="B20" s="10" t="n"/>
      <c r="C20" s="74" t="n"/>
      <c r="D20" s="74" t="n"/>
      <c r="E20" s="74" t="n"/>
      <c r="F20" s="108" t="n"/>
      <c r="G20" s="10" t="n"/>
      <c r="H20" s="10" t="n"/>
      <c r="I20" s="10" t="n"/>
      <c r="J20" s="74" t="n"/>
      <c r="K20" s="74" t="n"/>
      <c r="L20" s="74" t="n"/>
      <c r="M20" s="10" t="n"/>
      <c r="N20" s="74" t="n"/>
      <c r="O20" s="12" t="n"/>
      <c r="P20" s="74" t="n">
        <v>128558.08</v>
      </c>
      <c r="Q20" s="74" t="n"/>
      <c r="R20" s="74" t="n"/>
      <c r="S20" s="74" t="n"/>
      <c r="T20" s="108" t="n"/>
      <c r="U20" s="74" t="n"/>
      <c r="V20" s="10" t="n"/>
      <c r="W20" s="74" t="n"/>
      <c r="X20" s="10" t="n"/>
      <c r="Y20" s="74" t="n"/>
      <c r="Z20" s="108" t="n"/>
      <c r="AA20" s="10" t="n"/>
      <c r="AB20" s="74" t="n"/>
      <c r="AC20" s="74" t="n"/>
      <c r="AD20" s="74" t="n">
        <v>128558.08</v>
      </c>
      <c r="AE20" s="74" t="n"/>
      <c r="AF20" s="74" t="n"/>
      <c r="AG20" s="74" t="n"/>
      <c r="AH20" s="18">
        <f>SUM(B20:AG20)</f>
        <v/>
      </c>
      <c r="AI20" s="99" t="n"/>
    </row>
    <row r="21" hidden="1" ht="15.75" customHeight="1">
      <c r="A21" s="15" t="inlineStr">
        <is>
          <t>SOLIHULL MBC EXP.-200771-00561525</t>
        </is>
      </c>
      <c r="B21" s="74" t="n"/>
      <c r="C21" s="74" t="n"/>
      <c r="D21" s="74" t="n"/>
      <c r="E21" s="74" t="n"/>
      <c r="F21" s="74" t="n"/>
      <c r="G21" s="74" t="n"/>
      <c r="H21" s="74" t="n"/>
      <c r="I21" s="10" t="n"/>
      <c r="J21" s="74" t="n"/>
      <c r="K21" s="74" t="n"/>
      <c r="L21" s="74" t="n"/>
      <c r="M21" s="74" t="n"/>
      <c r="N21" s="74" t="n"/>
      <c r="O21" s="74" t="n"/>
      <c r="P21" s="74" t="n"/>
      <c r="Q21" s="74" t="n"/>
      <c r="R21" s="74" t="n"/>
      <c r="S21" s="74" t="n"/>
      <c r="T21" s="74" t="n"/>
      <c r="U21" s="74" t="n"/>
      <c r="V21" s="74" t="n"/>
      <c r="W21" s="74" t="n"/>
      <c r="X21" s="74" t="n"/>
      <c r="Y21" s="12" t="n"/>
      <c r="Z21" s="74" t="n"/>
      <c r="AA21" s="74" t="n"/>
      <c r="AB21" s="12" t="n">
        <v>32010.44</v>
      </c>
      <c r="AC21" s="74" t="n"/>
      <c r="AD21" s="74" t="n"/>
      <c r="AE21" s="74" t="n"/>
      <c r="AF21" s="74" t="n"/>
      <c r="AG21" s="74" t="n"/>
      <c r="AH21" s="18">
        <f>SUM(B21:AG21)</f>
        <v/>
      </c>
      <c r="AI21" s="99" t="n"/>
    </row>
    <row r="22" hidden="1" ht="15.75" customHeight="1">
      <c r="A22" s="15" t="inlineStr">
        <is>
          <t>WALSALL MBC BARC-209073-10731692</t>
        </is>
      </c>
      <c r="B22" s="10" t="n"/>
      <c r="C22" s="74" t="n"/>
      <c r="D22" s="74" t="n"/>
      <c r="E22" s="74" t="n"/>
      <c r="F22" s="74" t="n"/>
      <c r="G22" s="74" t="n"/>
      <c r="H22" s="74" t="n"/>
      <c r="I22" s="10" t="n"/>
      <c r="J22" s="74" t="n"/>
      <c r="K22" s="74" t="n"/>
      <c r="L22" s="74" t="n"/>
      <c r="M22" s="74" t="n"/>
      <c r="N22" s="74" t="n"/>
      <c r="O22" s="74" t="n"/>
      <c r="P22" s="74" t="n">
        <v>224310.68</v>
      </c>
      <c r="Q22" s="74" t="n"/>
      <c r="R22" s="74" t="n"/>
      <c r="S22" s="74" t="n"/>
      <c r="T22" s="74" t="n"/>
      <c r="U22" s="74" t="n"/>
      <c r="V22" s="74" t="n"/>
      <c r="W22" s="10" t="n"/>
      <c r="X22" s="74" t="n"/>
      <c r="Y22" s="74" t="n"/>
      <c r="Z22" s="74" t="n"/>
      <c r="AA22" s="74" t="n"/>
      <c r="AB22" s="74" t="n"/>
      <c r="AC22" s="74" t="n"/>
      <c r="AD22" s="74" t="n"/>
      <c r="AE22" s="74" t="n"/>
      <c r="AF22" s="74" t="n"/>
      <c r="AG22" s="74" t="n"/>
      <c r="AH22" s="18">
        <f>SUM(B22:AG22)</f>
        <v/>
      </c>
      <c r="AI22" s="99" t="n"/>
    </row>
    <row r="23" hidden="1" ht="15.75" customHeight="1">
      <c r="A23" s="15" t="inlineStr">
        <is>
          <t>WOLVERHAMPTON CC-560069-44470320</t>
        </is>
      </c>
      <c r="B23" s="10" t="n"/>
      <c r="C23" s="10" t="n"/>
      <c r="D23" s="74" t="n"/>
      <c r="E23" s="74" t="n"/>
      <c r="F23" s="10" t="n"/>
      <c r="G23" s="74" t="n"/>
      <c r="H23" s="74">
        <f>122628.58-H11</f>
        <v/>
      </c>
      <c r="I23" s="74" t="n"/>
      <c r="J23" s="74" t="n"/>
      <c r="K23" s="10" t="n"/>
      <c r="L23" s="74" t="n"/>
      <c r="M23" s="10" t="n"/>
      <c r="N23" s="74" t="n"/>
      <c r="O23" s="74">
        <f>122628.58-O11</f>
        <v/>
      </c>
      <c r="P23" s="74" t="n"/>
      <c r="Q23" s="10" t="n"/>
      <c r="R23" s="10" t="n"/>
      <c r="S23" s="74" t="n"/>
      <c r="T23" s="10" t="n"/>
      <c r="U23" s="74" t="n"/>
      <c r="V23" s="74">
        <f>122628.58-V11</f>
        <v/>
      </c>
      <c r="W23" s="74" t="n"/>
      <c r="X23" s="74" t="n"/>
      <c r="Y23" s="10" t="n"/>
      <c r="Z23" s="74" t="n"/>
      <c r="AA23" s="10" t="n"/>
      <c r="AB23" s="74" t="n"/>
      <c r="AC23" s="74">
        <f>122628.58-AC11</f>
        <v/>
      </c>
      <c r="AD23" s="74" t="n"/>
      <c r="AE23" s="10" t="n"/>
      <c r="AF23" s="10" t="n"/>
      <c r="AG23" s="74" t="n"/>
      <c r="AH23" s="18">
        <f>SUM(B23:AG23)</f>
        <v/>
      </c>
      <c r="AI23" s="99" t="n"/>
    </row>
    <row r="24" hidden="1" ht="15.75" customHeight="1">
      <c r="A24" s="15" t="inlineStr">
        <is>
          <t>People Plus</t>
        </is>
      </c>
      <c r="B24" s="10" t="n"/>
      <c r="C24" s="74" t="n"/>
      <c r="D24" s="74" t="n"/>
      <c r="E24" s="74" t="n"/>
      <c r="F24" s="74" t="n">
        <v>6688</v>
      </c>
      <c r="G24" s="10" t="n"/>
      <c r="H24" s="74" t="n"/>
      <c r="I24" s="74" t="n"/>
      <c r="J24" s="74" t="n"/>
      <c r="K24" s="74" t="n"/>
      <c r="L24" s="74" t="n"/>
      <c r="M24" s="12" t="n">
        <v>2355.2</v>
      </c>
      <c r="N24" s="74" t="n"/>
      <c r="O24" s="74" t="n"/>
      <c r="P24" s="74" t="n"/>
      <c r="Q24" s="74" t="n"/>
      <c r="R24" s="12" t="n"/>
      <c r="S24" s="12" t="n">
        <v>3690</v>
      </c>
      <c r="T24" s="74" t="n"/>
      <c r="U24" s="12" t="n"/>
      <c r="V24" s="74" t="n"/>
      <c r="W24" s="74" t="n"/>
      <c r="X24" s="74" t="n"/>
      <c r="Y24" s="74" t="n"/>
      <c r="Z24" s="74" t="n">
        <v>3831.8</v>
      </c>
      <c r="AA24" s="74" t="n"/>
      <c r="AB24" s="74" t="n"/>
      <c r="AC24" s="74" t="n"/>
      <c r="AD24" s="10" t="n"/>
      <c r="AE24" s="74" t="n"/>
      <c r="AF24" s="74" t="n"/>
      <c r="AG24" s="74" t="n"/>
      <c r="AH24" s="18">
        <f>SUM(B24:AG24)</f>
        <v/>
      </c>
      <c r="AI24" s="99" t="n"/>
    </row>
    <row r="25" hidden="1" ht="15.75" customHeight="1">
      <c r="A25" s="15" t="inlineStr">
        <is>
          <t xml:space="preserve">Middlesbrough council </t>
        </is>
      </c>
      <c r="B25" s="10" t="n"/>
      <c r="C25" s="74" t="n"/>
      <c r="D25" s="74" t="n"/>
      <c r="E25" s="74" t="n"/>
      <c r="F25" s="74" t="n"/>
      <c r="G25" s="74" t="n"/>
      <c r="H25" s="12" t="n"/>
      <c r="I25" s="10" t="n"/>
      <c r="J25" s="74" t="n"/>
      <c r="K25" s="74" t="n"/>
      <c r="L25" s="74" t="n"/>
      <c r="M25" s="74" t="n"/>
      <c r="N25" s="74" t="n"/>
      <c r="O25" s="74" t="n"/>
      <c r="P25" s="74" t="n"/>
      <c r="Q25" s="74" t="n"/>
      <c r="R25" s="74" t="n"/>
      <c r="S25" s="74" t="n"/>
      <c r="T25" s="74" t="n"/>
      <c r="U25" s="12" t="n"/>
      <c r="V25" s="74" t="n"/>
      <c r="W25" s="12" t="n">
        <v>5544</v>
      </c>
      <c r="X25" s="74" t="n"/>
      <c r="Y25" s="74" t="n"/>
      <c r="Z25" s="12" t="n"/>
      <c r="AA25" s="74" t="n"/>
      <c r="AB25" s="74" t="n"/>
      <c r="AC25" s="74" t="n"/>
      <c r="AD25" s="10" t="n"/>
      <c r="AE25" s="74" t="n"/>
      <c r="AF25" s="74" t="n"/>
      <c r="AG25" s="74" t="n"/>
      <c r="AH25" s="18">
        <f>SUM(B25:AG25)</f>
        <v/>
      </c>
      <c r="AI25" s="99" t="n"/>
    </row>
    <row r="26" hidden="1" ht="15.75" customHeight="1">
      <c r="A26" s="15" t="inlineStr">
        <is>
          <t>CHASING</t>
        </is>
      </c>
      <c r="B26" s="74" t="n"/>
      <c r="C26" s="74" t="n"/>
      <c r="D26" s="74" t="n"/>
      <c r="E26" s="74" t="n"/>
      <c r="F26" s="74" t="n"/>
      <c r="G26" s="74" t="n"/>
      <c r="H26" s="74" t="n">
        <v>57264.48</v>
      </c>
      <c r="I26" s="74" t="n"/>
      <c r="J26" s="74" t="n"/>
      <c r="K26" s="74" t="n"/>
      <c r="L26" s="74" t="n"/>
      <c r="M26" s="74" t="n"/>
      <c r="N26" s="74" t="n"/>
      <c r="O26" s="74" t="n"/>
      <c r="P26" s="74" t="n"/>
      <c r="Q26" s="74" t="n"/>
      <c r="R26" s="74" t="n"/>
      <c r="S26" s="74" t="n"/>
      <c r="T26" s="74" t="n"/>
      <c r="U26" s="12" t="n"/>
      <c r="V26" s="12" t="n"/>
      <c r="W26" s="74" t="n"/>
      <c r="X26" s="74" t="n"/>
      <c r="Y26" s="74" t="n"/>
      <c r="Z26" s="74" t="n"/>
      <c r="AA26" s="74" t="n"/>
      <c r="AB26" s="74" t="n"/>
      <c r="AC26" s="74" t="n"/>
      <c r="AD26" s="74" t="n"/>
      <c r="AE26" s="74" t="n"/>
      <c r="AF26" s="74" t="n"/>
      <c r="AG26" s="74" t="n">
        <v>30000</v>
      </c>
      <c r="AH26" s="18">
        <f>SUM(B26:AG26)</f>
        <v/>
      </c>
      <c r="AI26" s="99" t="n"/>
    </row>
    <row r="27" hidden="1" ht="15.75" customHeight="1">
      <c r="A27" s="15" t="inlineStr">
        <is>
          <t>HB SC</t>
        </is>
      </c>
      <c r="B27" s="74" t="n">
        <v>4000</v>
      </c>
      <c r="C27" s="74" t="n">
        <v>4000</v>
      </c>
      <c r="D27" s="74" t="n">
        <v>4000</v>
      </c>
      <c r="E27" s="74" t="n">
        <v>4000</v>
      </c>
      <c r="F27" s="74" t="n">
        <v>4000</v>
      </c>
      <c r="G27" s="74" t="n">
        <v>4000</v>
      </c>
      <c r="H27" s="74" t="n">
        <v>4000</v>
      </c>
      <c r="I27" s="74" t="n">
        <v>4000</v>
      </c>
      <c r="J27" s="74" t="n">
        <v>4000</v>
      </c>
      <c r="K27" s="74" t="n">
        <v>4000</v>
      </c>
      <c r="L27" s="74" t="n">
        <v>4000</v>
      </c>
      <c r="M27" s="74" t="n">
        <v>4000</v>
      </c>
      <c r="N27" s="74" t="n">
        <v>4000</v>
      </c>
      <c r="O27" s="74" t="n">
        <v>4000</v>
      </c>
      <c r="P27" s="74" t="n">
        <v>4000</v>
      </c>
      <c r="Q27" s="74" t="n">
        <v>4000</v>
      </c>
      <c r="R27" s="74" t="n">
        <v>4000</v>
      </c>
      <c r="S27" s="74" t="n">
        <v>4000</v>
      </c>
      <c r="T27" s="74" t="n">
        <v>4000</v>
      </c>
      <c r="U27" s="74" t="n">
        <v>4000</v>
      </c>
      <c r="V27" s="74" t="n">
        <v>4000</v>
      </c>
      <c r="W27" s="74" t="n">
        <v>4000</v>
      </c>
      <c r="X27" s="74" t="n">
        <v>4000</v>
      </c>
      <c r="Y27" s="74" t="n">
        <v>4000</v>
      </c>
      <c r="Z27" s="74" t="n">
        <v>4000</v>
      </c>
      <c r="AA27" s="74" t="n">
        <v>4000</v>
      </c>
      <c r="AB27" s="74" t="n">
        <v>4000</v>
      </c>
      <c r="AC27" s="74" t="n">
        <v>4000</v>
      </c>
      <c r="AD27" s="74" t="n">
        <v>4000</v>
      </c>
      <c r="AE27" s="74" t="n">
        <v>4000</v>
      </c>
      <c r="AF27" s="74" t="n">
        <v>4000</v>
      </c>
      <c r="AG27" s="74" t="n"/>
      <c r="AH27" s="18">
        <f>SUM(B27:AG27)</f>
        <v/>
      </c>
      <c r="AI27" s="99" t="n"/>
    </row>
    <row r="28" hidden="1" ht="16.5" customHeight="1" thickBot="1">
      <c r="A28" s="15" t="inlineStr">
        <is>
          <t xml:space="preserve">Total </t>
        </is>
      </c>
      <c r="B28" s="124">
        <f>SUM(B6:B27)</f>
        <v/>
      </c>
      <c r="C28" s="124">
        <f>SUM(C6:C27)</f>
        <v/>
      </c>
      <c r="D28" s="124">
        <f>SUM(D6:D27)</f>
        <v/>
      </c>
      <c r="E28" s="124">
        <f>SUM(E6:E27)</f>
        <v/>
      </c>
      <c r="F28" s="124">
        <f>SUM(F6:F27)</f>
        <v/>
      </c>
      <c r="G28" s="125">
        <f>SUM(G6:G27)</f>
        <v/>
      </c>
      <c r="H28" s="125">
        <f>SUM(H6:H27)</f>
        <v/>
      </c>
      <c r="I28" s="124">
        <f>SUM(I6:I27)</f>
        <v/>
      </c>
      <c r="J28" s="124">
        <f>SUM(J6:J27)</f>
        <v/>
      </c>
      <c r="K28" s="124">
        <f>SUM(K6:K27)</f>
        <v/>
      </c>
      <c r="L28" s="124">
        <f>SUM(L6:L27)</f>
        <v/>
      </c>
      <c r="M28" s="124">
        <f>SUM(M6:M27)</f>
        <v/>
      </c>
      <c r="N28" s="124">
        <f>SUM(N6:N27)</f>
        <v/>
      </c>
      <c r="O28" s="124">
        <f>SUM(O6:O27)</f>
        <v/>
      </c>
      <c r="P28" s="124">
        <f>SUM(P6:P27)</f>
        <v/>
      </c>
      <c r="Q28" s="124">
        <f>SUM(Q6:Q27)</f>
        <v/>
      </c>
      <c r="R28" s="124">
        <f>SUM(R6:R27)</f>
        <v/>
      </c>
      <c r="S28" s="125">
        <f>SUM(S6:S27)</f>
        <v/>
      </c>
      <c r="T28" s="125">
        <f>SUM(T6:T27)</f>
        <v/>
      </c>
      <c r="U28" s="124">
        <f>SUM(U6:U27)</f>
        <v/>
      </c>
      <c r="V28" s="124">
        <f>SUM(V6:V27)</f>
        <v/>
      </c>
      <c r="W28" s="124">
        <f>SUM(W6:W27)</f>
        <v/>
      </c>
      <c r="X28" s="124">
        <f>SUM(X6:X27)</f>
        <v/>
      </c>
      <c r="Y28" s="124">
        <f>SUM(Y6:Y27)</f>
        <v/>
      </c>
      <c r="Z28" s="124">
        <f>SUM(Z6:Z27)</f>
        <v/>
      </c>
      <c r="AA28" s="124">
        <f>SUM(AA6:AA27)</f>
        <v/>
      </c>
      <c r="AB28" s="124">
        <f>SUM(AB6:AB27)</f>
        <v/>
      </c>
      <c r="AC28" s="124">
        <f>SUM(AC6:AC27)</f>
        <v/>
      </c>
      <c r="AD28" s="124">
        <f>SUM(AD6:AD27)</f>
        <v/>
      </c>
      <c r="AE28" s="124">
        <f>SUM(AE6:AE27)</f>
        <v/>
      </c>
      <c r="AF28" s="124">
        <f>SUM(AF6:AF27)</f>
        <v/>
      </c>
      <c r="AG28" s="124" t="n"/>
      <c r="AH28" s="126">
        <f>SUM(AH4:AH27)</f>
        <v/>
      </c>
    </row>
    <row r="29" hidden="1" ht="16.5" customHeight="1" thickBot="1" thickTop="1">
      <c r="A29" s="15" t="inlineStr">
        <is>
          <t>Running Total</t>
        </is>
      </c>
      <c r="B29" s="127">
        <f>B28</f>
        <v/>
      </c>
      <c r="C29" s="127">
        <f>C28+B29</f>
        <v/>
      </c>
      <c r="D29" s="127">
        <f>D28+C29</f>
        <v/>
      </c>
      <c r="E29" s="127">
        <f>E28+D29</f>
        <v/>
      </c>
      <c r="F29" s="128">
        <f>F28+E29</f>
        <v/>
      </c>
      <c r="G29" s="128">
        <f>G28+F29</f>
        <v/>
      </c>
      <c r="H29" s="127">
        <f>H28+G29</f>
        <v/>
      </c>
      <c r="I29" s="127">
        <f>I28+H29</f>
        <v/>
      </c>
      <c r="J29" s="127">
        <f>J28+I29</f>
        <v/>
      </c>
      <c r="K29" s="127">
        <f>K28+J29</f>
        <v/>
      </c>
      <c r="L29" s="127">
        <f>L28+K29</f>
        <v/>
      </c>
      <c r="M29" s="127">
        <f>M28+L29</f>
        <v/>
      </c>
      <c r="N29" s="127">
        <f>N28+M29</f>
        <v/>
      </c>
      <c r="O29" s="127">
        <f>O28+N29</f>
        <v/>
      </c>
      <c r="P29" s="127">
        <f>P28+O29</f>
        <v/>
      </c>
      <c r="Q29" s="127">
        <f>Q28+P29</f>
        <v/>
      </c>
      <c r="R29" s="127">
        <f>R28+Q29</f>
        <v/>
      </c>
      <c r="S29" s="127">
        <f>S28+R29</f>
        <v/>
      </c>
      <c r="T29" s="127">
        <f>T28+S29</f>
        <v/>
      </c>
      <c r="U29" s="127">
        <f>U28+T29</f>
        <v/>
      </c>
      <c r="V29" s="127">
        <f>V28+U29</f>
        <v/>
      </c>
      <c r="W29" s="127">
        <f>W28+V29</f>
        <v/>
      </c>
      <c r="X29" s="127">
        <f>X28+W29</f>
        <v/>
      </c>
      <c r="Y29" s="127">
        <f>Y28+X29</f>
        <v/>
      </c>
      <c r="Z29" s="127">
        <f>Z28+Y29</f>
        <v/>
      </c>
      <c r="AA29" s="127">
        <f>AA28+Z29</f>
        <v/>
      </c>
      <c r="AB29" s="127">
        <f>AB28+AA29</f>
        <v/>
      </c>
      <c r="AC29" s="127">
        <f>AC28+AB29</f>
        <v/>
      </c>
      <c r="AD29" s="127">
        <f>AD28+AC29</f>
        <v/>
      </c>
      <c r="AE29" s="127">
        <f>AE28+AD29</f>
        <v/>
      </c>
      <c r="AF29" s="127">
        <f>AF28+AE29</f>
        <v/>
      </c>
      <c r="AG29" s="127" t="n"/>
      <c r="AH29" s="25" t="n"/>
    </row>
    <row r="30" hidden="1"/>
    <row r="31" hidden="1"/>
    <row r="34">
      <c r="A34" s="1" t="n"/>
      <c r="B34" s="2" t="inlineStr">
        <is>
          <t>March</t>
        </is>
      </c>
      <c r="C34" s="2" t="n"/>
      <c r="D34" s="2" t="n"/>
      <c r="E34" s="2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2" t="n"/>
      <c r="S34" s="2" t="n"/>
      <c r="T34" s="2" t="n"/>
      <c r="U34" s="2" t="n"/>
      <c r="V34" s="2" t="n"/>
      <c r="W34" s="2" t="n"/>
      <c r="X34" s="2" t="n"/>
      <c r="Y34" s="2" t="n"/>
      <c r="Z34" s="2" t="n"/>
      <c r="AA34" s="2" t="n"/>
      <c r="AB34" s="2" t="n"/>
      <c r="AC34" s="2" t="n"/>
      <c r="AD34" s="2" t="n"/>
      <c r="AE34" s="1" t="n"/>
      <c r="AF34" s="1" t="n"/>
      <c r="AG34" s="1" t="n"/>
    </row>
    <row r="35">
      <c r="A35" s="1" t="n"/>
      <c r="B35" s="2" t="inlineStr">
        <is>
          <t>Saturday</t>
        </is>
      </c>
      <c r="C35" s="2" t="inlineStr">
        <is>
          <t>Sunday</t>
        </is>
      </c>
      <c r="D35" s="2" t="inlineStr">
        <is>
          <t>Monday</t>
        </is>
      </c>
      <c r="E35" s="2" t="inlineStr">
        <is>
          <t>Tuesday</t>
        </is>
      </c>
      <c r="F35" s="2" t="inlineStr">
        <is>
          <t>Wednesday</t>
        </is>
      </c>
      <c r="G35" s="2" t="inlineStr">
        <is>
          <t>Thursday</t>
        </is>
      </c>
      <c r="H35" s="2" t="inlineStr">
        <is>
          <t>Friday</t>
        </is>
      </c>
      <c r="I35" s="2" t="inlineStr">
        <is>
          <t>Saturday</t>
        </is>
      </c>
      <c r="J35" s="2" t="inlineStr">
        <is>
          <t>Sunday</t>
        </is>
      </c>
      <c r="K35" s="2" t="inlineStr">
        <is>
          <t>Monday</t>
        </is>
      </c>
      <c r="L35" s="2" t="inlineStr">
        <is>
          <t>Tuesday</t>
        </is>
      </c>
      <c r="M35" s="2" t="inlineStr">
        <is>
          <t>Wednesday</t>
        </is>
      </c>
      <c r="N35" s="2" t="inlineStr">
        <is>
          <t>Thursday</t>
        </is>
      </c>
      <c r="O35" s="2" t="inlineStr">
        <is>
          <t>Friday</t>
        </is>
      </c>
      <c r="P35" s="2" t="inlineStr">
        <is>
          <t>Saturday</t>
        </is>
      </c>
      <c r="Q35" s="2" t="inlineStr">
        <is>
          <t>Sunday</t>
        </is>
      </c>
      <c r="R35" s="2" t="inlineStr">
        <is>
          <t>Monday</t>
        </is>
      </c>
      <c r="S35" s="2" t="inlineStr">
        <is>
          <t>Tuesday</t>
        </is>
      </c>
      <c r="T35" s="2" t="inlineStr">
        <is>
          <t>Wednesday</t>
        </is>
      </c>
      <c r="U35" s="2" t="inlineStr">
        <is>
          <t>Thursday</t>
        </is>
      </c>
      <c r="V35" s="2" t="inlineStr">
        <is>
          <t>Friday</t>
        </is>
      </c>
      <c r="W35" s="2" t="inlineStr">
        <is>
          <t>Saturday</t>
        </is>
      </c>
      <c r="X35" s="2" t="inlineStr">
        <is>
          <t>Sunday</t>
        </is>
      </c>
      <c r="Y35" s="2" t="inlineStr">
        <is>
          <t>Monday</t>
        </is>
      </c>
      <c r="Z35" s="2" t="inlineStr">
        <is>
          <t>Tuesday</t>
        </is>
      </c>
      <c r="AA35" s="2" t="inlineStr">
        <is>
          <t>Wednesday</t>
        </is>
      </c>
      <c r="AB35" s="2" t="inlineStr">
        <is>
          <t>Thursday</t>
        </is>
      </c>
      <c r="AC35" s="2" t="inlineStr">
        <is>
          <t>Friday</t>
        </is>
      </c>
      <c r="AD35" s="2" t="inlineStr">
        <is>
          <t>Saturday</t>
        </is>
      </c>
      <c r="AE35" s="2" t="inlineStr">
        <is>
          <t>Sunday</t>
        </is>
      </c>
      <c r="AF35" s="2" t="inlineStr">
        <is>
          <t>Monday</t>
        </is>
      </c>
      <c r="AG35" s="2" t="inlineStr">
        <is>
          <t>Total</t>
        </is>
      </c>
    </row>
    <row r="36">
      <c r="A36" s="1" t="n"/>
      <c r="B36" s="7" t="inlineStr">
        <is>
          <t>1st</t>
        </is>
      </c>
      <c r="C36" s="7" t="inlineStr">
        <is>
          <t>2nd</t>
        </is>
      </c>
      <c r="D36" s="4" t="inlineStr">
        <is>
          <t>3rd</t>
        </is>
      </c>
      <c r="E36" s="4" t="inlineStr">
        <is>
          <t>4th</t>
        </is>
      </c>
      <c r="F36" s="4" t="inlineStr">
        <is>
          <t>5th</t>
        </is>
      </c>
      <c r="G36" s="4" t="inlineStr">
        <is>
          <t>6th</t>
        </is>
      </c>
      <c r="H36" s="4" t="inlineStr">
        <is>
          <t>7th</t>
        </is>
      </c>
      <c r="I36" s="4" t="inlineStr">
        <is>
          <t>8th</t>
        </is>
      </c>
      <c r="J36" s="4" t="inlineStr">
        <is>
          <t>9th</t>
        </is>
      </c>
      <c r="K36" s="5" t="inlineStr">
        <is>
          <t>10th</t>
        </is>
      </c>
      <c r="L36" s="5" t="inlineStr">
        <is>
          <t>11th</t>
        </is>
      </c>
      <c r="M36" s="5" t="inlineStr">
        <is>
          <t>12th</t>
        </is>
      </c>
      <c r="N36" s="5" t="inlineStr">
        <is>
          <t>13th</t>
        </is>
      </c>
      <c r="O36" s="5" t="inlineStr">
        <is>
          <t>14th</t>
        </is>
      </c>
      <c r="P36" s="5" t="inlineStr">
        <is>
          <t>15th</t>
        </is>
      </c>
      <c r="Q36" s="5" t="inlineStr">
        <is>
          <t>16th</t>
        </is>
      </c>
      <c r="R36" s="6" t="inlineStr">
        <is>
          <t>17th</t>
        </is>
      </c>
      <c r="S36" s="6" t="inlineStr">
        <is>
          <t>18th</t>
        </is>
      </c>
      <c r="T36" s="6" t="inlineStr">
        <is>
          <t>19th</t>
        </is>
      </c>
      <c r="U36" s="6" t="inlineStr">
        <is>
          <t>20th</t>
        </is>
      </c>
      <c r="V36" s="6" t="inlineStr">
        <is>
          <t>21st</t>
        </is>
      </c>
      <c r="W36" s="6" t="inlineStr">
        <is>
          <t>22nd</t>
        </is>
      </c>
      <c r="X36" s="6" t="inlineStr">
        <is>
          <t>23rd</t>
        </is>
      </c>
      <c r="Y36" s="3" t="inlineStr">
        <is>
          <t>24th</t>
        </is>
      </c>
      <c r="Z36" s="3" t="inlineStr">
        <is>
          <t>25th</t>
        </is>
      </c>
      <c r="AA36" s="3" t="inlineStr">
        <is>
          <t>26th</t>
        </is>
      </c>
      <c r="AB36" s="3" t="inlineStr">
        <is>
          <t>27th</t>
        </is>
      </c>
      <c r="AC36" s="3" t="inlineStr">
        <is>
          <t>28th</t>
        </is>
      </c>
      <c r="AD36" s="3" t="inlineStr">
        <is>
          <t>29th</t>
        </is>
      </c>
      <c r="AE36" s="3" t="inlineStr">
        <is>
          <t>30th</t>
        </is>
      </c>
      <c r="AF36" s="7" t="inlineStr">
        <is>
          <t>31st</t>
        </is>
      </c>
      <c r="AG36" s="1" t="n"/>
    </row>
    <row r="37" ht="15.75" customHeight="1">
      <c r="A37" s="8" t="inlineStr">
        <is>
          <t>B-HAM CITY COUNCIL-200790-70489166</t>
        </is>
      </c>
      <c r="B37" s="122" t="n"/>
      <c r="C37" s="122" t="n"/>
      <c r="D37" s="122" t="n"/>
      <c r="E37" s="122" t="n"/>
      <c r="F37" s="122" t="n"/>
      <c r="G37" s="74" t="n"/>
      <c r="H37" s="122" t="n"/>
      <c r="I37" s="122" t="n"/>
      <c r="J37" s="122" t="n"/>
      <c r="K37" s="122" t="n"/>
      <c r="L37" s="122" t="n"/>
      <c r="M37" s="74" t="n"/>
      <c r="N37" s="122" t="n"/>
      <c r="O37" s="122" t="n"/>
      <c r="P37" s="122" t="n"/>
      <c r="Q37" s="122" t="n"/>
      <c r="R37" s="12" t="n"/>
      <c r="S37" s="122" t="n"/>
      <c r="T37" s="122" t="n"/>
      <c r="U37" s="12" t="n"/>
      <c r="V37" s="122" t="n"/>
      <c r="W37" s="122" t="n"/>
      <c r="X37" s="122" t="n"/>
      <c r="Z37" s="74" t="n">
        <v>61393.72</v>
      </c>
      <c r="AB37" s="12" t="n"/>
      <c r="AD37" s="122" t="n"/>
      <c r="AE37" s="122" t="n"/>
      <c r="AF37" s="122" t="n"/>
      <c r="AG37" s="74" t="n"/>
      <c r="AH37" s="18">
        <f>SUM(B37:AG37)</f>
        <v/>
      </c>
      <c r="AI37" s="99" t="n"/>
      <c r="AL37" s="99" t="n"/>
    </row>
    <row r="38" ht="15.75" customHeight="1">
      <c r="A38" s="8" t="inlineStr">
        <is>
          <t>Buckingham</t>
        </is>
      </c>
      <c r="B38" s="74" t="n"/>
      <c r="C38" s="10" t="n"/>
      <c r="D38" s="10" t="n"/>
      <c r="E38" s="74" t="n"/>
      <c r="F38" s="10" t="n"/>
      <c r="G38" s="10" t="n"/>
      <c r="H38" s="10" t="n"/>
      <c r="I38" s="10" t="n"/>
      <c r="J38" s="10" t="n"/>
      <c r="K38" s="10" t="n"/>
      <c r="L38" s="10" t="n"/>
      <c r="M38" s="10" t="n"/>
      <c r="N38" s="74" t="n"/>
      <c r="O38" s="31" t="n">
        <v>5134.44</v>
      </c>
      <c r="Q38" s="10" t="n"/>
      <c r="R38" s="74" t="n"/>
      <c r="S38" s="10" t="n"/>
      <c r="T38" s="10" t="n"/>
      <c r="U38" s="74" t="n"/>
      <c r="V38" s="10" t="n"/>
      <c r="W38" s="74" t="n"/>
      <c r="X38" s="74" t="n"/>
      <c r="Y38" s="10" t="n"/>
      <c r="Z38" s="74" t="n"/>
      <c r="AA38" s="74" t="n"/>
      <c r="AB38" s="10" t="n"/>
      <c r="AC38" s="74" t="n"/>
      <c r="AD38" s="10" t="n"/>
      <c r="AE38" s="74" t="n"/>
      <c r="AF38" s="74" t="n"/>
      <c r="AG38" s="74" t="n"/>
      <c r="AH38" s="18">
        <f>SUM(B38:AG38)</f>
        <v/>
      </c>
      <c r="AI38" s="99" t="n"/>
      <c r="AL38" s="99" t="n"/>
    </row>
    <row r="39" ht="15.75" customHeight="1">
      <c r="A39" s="8" t="inlineStr">
        <is>
          <t>Sandwell Respite</t>
        </is>
      </c>
      <c r="B39" s="74" t="n"/>
      <c r="C39" s="74" t="n"/>
      <c r="D39" s="10" t="n"/>
      <c r="E39" s="74" t="n"/>
      <c r="F39" s="74" t="n"/>
      <c r="G39" s="10" t="n"/>
      <c r="H39" s="74" t="n"/>
      <c r="I39" s="10" t="n"/>
      <c r="J39" s="74" t="n"/>
      <c r="K39" s="10" t="n"/>
      <c r="L39" s="10" t="n"/>
      <c r="M39" s="10" t="n"/>
      <c r="N39" t="n">
        <v>15408.52</v>
      </c>
      <c r="O39" s="31" t="n"/>
      <c r="P39" s="10" t="n"/>
      <c r="S39" s="10" t="n"/>
      <c r="T39" s="10" t="n"/>
      <c r="U39" s="10" t="n"/>
      <c r="V39" s="10" t="n"/>
      <c r="W39" s="10" t="n"/>
      <c r="X39" s="10" t="n"/>
      <c r="Y39" s="10" t="n"/>
      <c r="Z39" s="74" t="n"/>
      <c r="AA39" s="10" t="n"/>
      <c r="AB39" s="10" t="n"/>
      <c r="AC39" s="74" t="n"/>
      <c r="AD39" s="74" t="n"/>
      <c r="AE39" s="74" t="n"/>
      <c r="AF39" s="74" t="n"/>
      <c r="AG39" s="74" t="n"/>
      <c r="AH39" s="18">
        <f>SUM(B39:AG39)</f>
        <v/>
      </c>
      <c r="AI39" s="99" t="n"/>
      <c r="AL39" s="99" t="n"/>
    </row>
    <row r="40" ht="15.75" customHeight="1">
      <c r="A40" s="8" t="inlineStr">
        <is>
          <t>Sandwell Daycare</t>
        </is>
      </c>
      <c r="B40" s="74" t="n"/>
      <c r="C40" s="10" t="n"/>
      <c r="D40" s="10" t="n"/>
      <c r="F40" s="10" t="n"/>
      <c r="G40" s="10" t="n"/>
      <c r="H40" s="10" t="n"/>
      <c r="I40" s="10" t="n"/>
      <c r="J40" s="10" t="n"/>
      <c r="K40" s="10" t="n"/>
      <c r="L40" s="10" t="n"/>
      <c r="M40" s="10" t="n"/>
      <c r="N40" s="10" t="n"/>
      <c r="O40" s="16" t="n"/>
      <c r="P40" s="10" t="n"/>
      <c r="R40" s="74" t="n"/>
      <c r="S40" s="10" t="n"/>
      <c r="T40" s="10" t="n"/>
      <c r="U40" s="74" t="n"/>
      <c r="V40" s="10" t="n"/>
      <c r="W40" s="74" t="n"/>
      <c r="X40" s="10" t="n"/>
      <c r="Y40" s="10" t="n"/>
      <c r="Z40" s="74" t="n"/>
      <c r="AA40" s="10" t="n"/>
      <c r="AB40" s="10" t="n"/>
      <c r="AC40" s="10" t="n"/>
      <c r="AD40" s="74" t="n"/>
      <c r="AE40" s="74" t="n"/>
      <c r="AF40" s="10" t="n"/>
      <c r="AG40" s="74" t="n"/>
      <c r="AH40" s="18">
        <f>SUM(B40:AG40)</f>
        <v/>
      </c>
      <c r="AI40" s="99" t="n"/>
      <c r="AL40" s="99" t="n"/>
    </row>
    <row r="41" ht="15.75" customHeight="1">
      <c r="A41" s="8" t="inlineStr">
        <is>
          <t xml:space="preserve">Wolverhampton Respite </t>
        </is>
      </c>
      <c r="B41" s="74" t="n"/>
      <c r="C41" s="10" t="n"/>
      <c r="F41" s="31" t="n"/>
      <c r="G41" s="75" t="n"/>
      <c r="H41" s="75" t="n"/>
      <c r="I41" s="75" t="n"/>
      <c r="J41" s="75" t="n"/>
      <c r="K41" s="75" t="n"/>
      <c r="L41" s="74" t="n"/>
      <c r="M41" s="74" t="n"/>
      <c r="N41" s="74" t="n"/>
      <c r="O41" s="75" t="n"/>
      <c r="P41" s="74" t="n"/>
      <c r="R41" s="74" t="n"/>
      <c r="S41" s="75" t="n"/>
      <c r="T41" s="75" t="n"/>
      <c r="U41" s="75" t="n"/>
      <c r="V41" s="74" t="n"/>
      <c r="W41" s="74" t="n"/>
      <c r="X41" s="74" t="n"/>
      <c r="Y41" s="74" t="n"/>
      <c r="Z41" s="74" t="n"/>
      <c r="AA41" s="74" t="n"/>
      <c r="AB41" s="74" t="n"/>
      <c r="AC41" s="10" t="n"/>
      <c r="AD41" s="74" t="n"/>
      <c r="AE41" s="74" t="n"/>
      <c r="AF41" s="74" t="n"/>
      <c r="AG41" s="10" t="n"/>
      <c r="AH41" s="18">
        <f>SUM(B41:AG41)</f>
        <v/>
      </c>
      <c r="AI41" s="99" t="n"/>
      <c r="AL41" s="99" t="n"/>
    </row>
    <row r="42" ht="15.75" customHeight="1">
      <c r="A42" s="8" t="inlineStr">
        <is>
          <t>Wolverhampton Daycare</t>
        </is>
      </c>
      <c r="B42" s="10" t="n"/>
      <c r="C42" s="10" t="n"/>
      <c r="D42" s="74" t="n"/>
      <c r="E42" s="10" t="n"/>
      <c r="F42" s="75" t="n"/>
      <c r="G42" s="31" t="n"/>
      <c r="H42" s="16" t="n">
        <v>5800.66</v>
      </c>
      <c r="I42" s="75" t="n"/>
      <c r="J42" s="16" t="n"/>
      <c r="K42" s="16" t="n"/>
      <c r="L42" s="74" t="n"/>
      <c r="M42" s="10" t="n"/>
      <c r="N42" s="16" t="n">
        <v>5800.66</v>
      </c>
      <c r="O42" s="31" t="n"/>
      <c r="P42" s="10" t="n"/>
      <c r="R42" s="10" t="n"/>
      <c r="S42" s="16" t="n"/>
      <c r="T42" s="16" t="n"/>
      <c r="U42" s="16" t="n">
        <v>5800.66</v>
      </c>
      <c r="W42" s="10" t="n"/>
      <c r="X42" s="10" t="n"/>
      <c r="Y42" s="10" t="n"/>
      <c r="Z42" s="10" t="n"/>
      <c r="AA42" s="10" t="n"/>
      <c r="AB42" s="16" t="n">
        <v>5800.66</v>
      </c>
      <c r="AC42" s="31" t="n"/>
      <c r="AD42" s="75" t="n"/>
      <c r="AE42" s="16" t="n"/>
      <c r="AF42" s="16" t="n"/>
      <c r="AG42" s="74" t="n"/>
      <c r="AH42" s="18">
        <f>SUM(B42:AG42)</f>
        <v/>
      </c>
      <c r="AI42" s="99" t="n"/>
      <c r="AL42" s="99" t="n"/>
    </row>
    <row r="43" ht="15.75" customHeight="1">
      <c r="A43" s="8" t="inlineStr">
        <is>
          <t>Walsall Respite</t>
        </is>
      </c>
      <c r="B43" s="74" t="n"/>
      <c r="C43" s="10" t="n"/>
      <c r="D43" s="10" t="n"/>
      <c r="E43" s="74" t="n"/>
      <c r="F43" s="75" t="n"/>
      <c r="G43" s="16" t="n"/>
      <c r="H43" s="31" t="n"/>
      <c r="I43" s="16" t="n"/>
      <c r="J43" s="16" t="n"/>
      <c r="K43" s="16" t="n"/>
      <c r="L43" s="75" t="n">
        <v>14980.8</v>
      </c>
      <c r="M43" s="75" t="n"/>
      <c r="N43" s="10" t="n"/>
      <c r="O43" s="31" t="n"/>
      <c r="P43" s="74" t="n"/>
      <c r="R43" s="10" t="n"/>
      <c r="S43" s="75" t="n"/>
      <c r="T43" s="16" t="n"/>
      <c r="U43" s="16" t="n"/>
      <c r="V43" t="n">
        <v>3040</v>
      </c>
      <c r="W43" s="10" t="n"/>
      <c r="X43" s="10" t="n"/>
      <c r="Y43" s="74" t="n"/>
      <c r="Z43" s="10" t="n"/>
      <c r="AA43" s="10" t="n"/>
      <c r="AB43" s="16" t="n"/>
      <c r="AC43" s="31" t="n"/>
      <c r="AD43" s="75" t="n"/>
      <c r="AE43" s="75" t="n"/>
      <c r="AF43" s="75" t="n"/>
      <c r="AG43" s="74" t="n"/>
      <c r="AH43" s="18">
        <f>SUM(B43:AG43)</f>
        <v/>
      </c>
      <c r="AI43" s="99" t="n"/>
      <c r="AL43" s="99" t="n"/>
    </row>
    <row r="44" ht="15.75" customHeight="1">
      <c r="A44" s="8" t="inlineStr">
        <is>
          <t>Walsall Daycare</t>
        </is>
      </c>
      <c r="B44" s="74" t="n"/>
      <c r="C44" s="10" t="n"/>
      <c r="D44" s="10" t="n"/>
      <c r="E44" s="74" t="n"/>
      <c r="F44" s="75" t="n"/>
      <c r="G44" s="16" t="n"/>
      <c r="H44" s="31" t="n"/>
      <c r="I44" s="16" t="n"/>
      <c r="J44" s="16" t="n"/>
      <c r="K44" s="16" t="n"/>
      <c r="L44" s="16" t="n"/>
      <c r="M44" s="16" t="n"/>
      <c r="N44" s="10" t="n"/>
      <c r="O44" s="16" t="n"/>
      <c r="S44" s="75" t="n"/>
      <c r="T44" s="75" t="n"/>
      <c r="U44" s="31" t="n"/>
      <c r="W44" s="10" t="n"/>
      <c r="X44" s="10" t="n"/>
      <c r="Y44" s="10" t="n"/>
      <c r="Z44" s="10" t="n"/>
      <c r="AA44" s="10" t="n"/>
      <c r="AB44" s="16" t="n"/>
      <c r="AC44" s="31" t="n"/>
      <c r="AD44" s="75" t="n"/>
      <c r="AE44" s="75" t="n"/>
      <c r="AF44" s="16" t="n"/>
      <c r="AG44" s="74" t="n"/>
      <c r="AH44" s="18">
        <f>SUM(B44:AG44)</f>
        <v/>
      </c>
      <c r="AI44" s="99" t="n"/>
    </row>
    <row r="45" ht="18.75" customHeight="1">
      <c r="A45" s="8" t="inlineStr">
        <is>
          <t>Ideal for All Ltd</t>
        </is>
      </c>
      <c r="B45" s="74" t="n"/>
      <c r="C45" s="74" t="n"/>
      <c r="D45" s="74" t="n"/>
      <c r="E45" s="74" t="n"/>
      <c r="F45" s="75" t="n"/>
      <c r="G45" s="75" t="n"/>
      <c r="H45" s="31" t="n"/>
      <c r="I45" s="75" t="n"/>
      <c r="J45" s="123" t="n"/>
      <c r="K45" t="n">
        <v>4120.88</v>
      </c>
      <c r="L45" s="16" t="n"/>
      <c r="M45" s="16" t="n"/>
      <c r="N45" s="10" t="n"/>
      <c r="O45" s="31" t="n"/>
      <c r="R45" s="10" t="n"/>
      <c r="S45" s="16" t="n"/>
      <c r="T45" s="16" t="n"/>
      <c r="U45" s="16" t="n"/>
      <c r="W45" s="10" t="n"/>
      <c r="X45" s="10" t="n"/>
      <c r="Y45" s="10" t="n"/>
      <c r="Z45" s="74" t="n"/>
      <c r="AA45" s="74" t="n"/>
      <c r="AB45" s="75" t="n"/>
      <c r="AC45" s="31" t="n"/>
      <c r="AD45" s="16" t="n"/>
      <c r="AE45" s="75" t="n"/>
      <c r="AF45" s="75" t="n"/>
      <c r="AG45" s="74" t="n"/>
      <c r="AH45" s="18">
        <f>SUM(B45:AG45)</f>
        <v/>
      </c>
      <c r="AI45" s="99" t="n"/>
    </row>
    <row r="46" ht="15.75" customHeight="1">
      <c r="A46" s="8" t="inlineStr">
        <is>
          <t>KIRKLEES COUNCIL-204312-63046958</t>
        </is>
      </c>
      <c r="B46" s="74" t="n"/>
      <c r="C46" s="74" t="n"/>
      <c r="D46" s="10" t="n"/>
      <c r="E46" s="10" t="n"/>
      <c r="F46" s="16" t="n"/>
      <c r="G46" s="16" t="n"/>
      <c r="H46" s="31" t="n"/>
      <c r="I46" s="16" t="n"/>
      <c r="J46" s="16" t="n"/>
      <c r="K46" s="16" t="n"/>
      <c r="L46" s="31" t="n"/>
      <c r="M46" s="31" t="n">
        <v>5318.32</v>
      </c>
      <c r="N46" s="74" t="n"/>
      <c r="O46" s="31" t="n"/>
      <c r="R46" s="74" t="n"/>
      <c r="S46" s="16" t="n"/>
      <c r="T46" s="75" t="n"/>
      <c r="U46" s="75" t="n"/>
      <c r="W46" s="74" t="n"/>
      <c r="X46" s="10" t="n"/>
      <c r="Y46" s="10" t="n"/>
      <c r="Z46" s="10" t="n"/>
      <c r="AA46" s="10" t="n"/>
      <c r="AB46" s="16" t="n"/>
      <c r="AC46" s="31" t="n"/>
      <c r="AD46" s="75" t="n"/>
      <c r="AE46" s="16" t="n"/>
      <c r="AF46" s="16" t="n"/>
      <c r="AG46" s="74" t="n"/>
      <c r="AH46" s="18">
        <f>SUM(B46:AG46)</f>
        <v/>
      </c>
      <c r="AI46" s="99" t="n"/>
    </row>
    <row r="47" ht="15.75" customHeight="1">
      <c r="A47" s="8" t="inlineStr">
        <is>
          <t>LBH PAYMENTS BACS-602210-72430192</t>
        </is>
      </c>
      <c r="B47" s="74" t="n"/>
      <c r="C47" s="10" t="n"/>
      <c r="D47" s="74" t="n"/>
      <c r="E47" s="74" t="n"/>
      <c r="F47" s="75" t="n"/>
      <c r="G47" s="75" t="n"/>
      <c r="H47" s="31" t="n"/>
      <c r="I47" s="75" t="n"/>
      <c r="J47" s="75" t="n"/>
      <c r="K47" s="75" t="n"/>
      <c r="L47" s="75" t="n"/>
      <c r="M47" s="16" t="n"/>
      <c r="N47" s="10" t="n"/>
      <c r="O47" s="31" t="n"/>
      <c r="R47" s="74" t="n"/>
      <c r="S47" s="75" t="n"/>
      <c r="T47" s="75" t="n"/>
      <c r="U47" s="75" t="n">
        <v>5203.8</v>
      </c>
      <c r="W47" s="10" t="n"/>
      <c r="X47" s="10" t="n"/>
      <c r="Y47" s="10" t="n"/>
      <c r="Z47" s="74" t="n"/>
      <c r="AA47" s="10" t="n"/>
      <c r="AB47" s="16" t="n"/>
      <c r="AC47" s="31" t="n"/>
      <c r="AD47" s="16" t="n"/>
      <c r="AE47" s="16" t="n"/>
      <c r="AF47" s="75" t="n"/>
      <c r="AG47" s="74" t="n"/>
      <c r="AH47" s="18">
        <f>SUM(B47:AG47)</f>
        <v/>
      </c>
      <c r="AI47" s="99" t="n"/>
    </row>
    <row r="48" ht="15.75" customHeight="1">
      <c r="A48" s="8" t="inlineStr">
        <is>
          <t>NHS BIRMINGHAM &amp; S-607080-10017097</t>
        </is>
      </c>
      <c r="B48" s="74" t="n"/>
      <c r="C48" s="74" t="n"/>
      <c r="D48" s="74" t="n"/>
      <c r="E48" s="10" t="n"/>
      <c r="F48" s="75" t="n"/>
      <c r="G48" s="16" t="n"/>
      <c r="H48" s="31" t="n"/>
      <c r="I48" s="75" t="n"/>
      <c r="J48" s="16" t="n"/>
      <c r="K48" s="75" t="n"/>
      <c r="L48" s="75" t="n"/>
      <c r="M48" s="75" t="n"/>
      <c r="N48" s="12" t="n"/>
      <c r="O48" s="31" t="n">
        <v>6721.88</v>
      </c>
      <c r="R48" s="10" t="n"/>
      <c r="S48" s="31" t="n"/>
      <c r="T48" s="75" t="n"/>
      <c r="U48" s="31" t="n"/>
      <c r="W48" s="74" t="n"/>
      <c r="X48" s="74" t="n"/>
      <c r="Y48" s="12" t="n"/>
      <c r="Z48" s="10" t="n"/>
      <c r="AA48" s="12" t="n"/>
      <c r="AB48" s="16" t="n"/>
      <c r="AC48" s="31" t="n"/>
      <c r="AD48" s="75" t="n"/>
      <c r="AE48" s="16" t="n"/>
      <c r="AF48" s="16" t="n"/>
      <c r="AG48" s="74" t="n"/>
      <c r="AH48" s="18">
        <f>SUM(B48:AG48)</f>
        <v/>
      </c>
      <c r="AI48" s="99" t="n"/>
    </row>
    <row r="49" ht="15.75" customHeight="1">
      <c r="A49" s="8" t="inlineStr">
        <is>
          <t>NHS BLACK COUNTRY-607080-10015272</t>
        </is>
      </c>
      <c r="B49" s="74" t="n"/>
      <c r="C49" s="74" t="n"/>
      <c r="D49" t="n">
        <v>2261.76</v>
      </c>
      <c r="E49" s="74" t="n"/>
      <c r="F49" s="75" t="n"/>
      <c r="G49" s="75" t="n"/>
      <c r="H49" s="31" t="n"/>
      <c r="I49" s="75" t="n"/>
      <c r="J49" s="75" t="n"/>
      <c r="K49" s="31" t="n"/>
      <c r="L49" s="75" t="n"/>
      <c r="M49" s="31" t="n"/>
      <c r="N49" s="74" t="n"/>
      <c r="O49" s="31" t="n">
        <v>17943.19</v>
      </c>
      <c r="R49" s="74" t="n"/>
      <c r="S49" s="31" t="n"/>
      <c r="T49" s="75" t="n"/>
      <c r="U49" s="75" t="n"/>
      <c r="W49" s="74" t="n"/>
      <c r="X49" s="10" t="n"/>
      <c r="Z49" s="74" t="n"/>
      <c r="AB49" s="31" t="n"/>
      <c r="AC49" s="31" t="n"/>
      <c r="AD49" s="75" t="n"/>
      <c r="AE49" s="31" t="n">
        <v>4273.4</v>
      </c>
      <c r="AF49" s="75" t="n"/>
      <c r="AG49" s="74" t="n"/>
      <c r="AH49" s="18">
        <f>SUM(B49:AG49)</f>
        <v/>
      </c>
      <c r="AI49" s="99" t="n"/>
    </row>
    <row r="50" ht="15.75" customHeight="1">
      <c r="A50" s="14" t="inlineStr">
        <is>
          <t>SANDWELL MBC  BEN-601539-69624151</t>
        </is>
      </c>
      <c r="B50" s="74" t="n"/>
      <c r="C50" s="10" t="n"/>
      <c r="D50" t="n">
        <v>2660</v>
      </c>
      <c r="E50" s="10" t="n"/>
      <c r="F50" s="75" t="n"/>
      <c r="G50" s="75" t="n"/>
      <c r="H50" s="31" t="n"/>
      <c r="I50" s="16" t="n"/>
      <c r="J50" s="16" t="n"/>
      <c r="K50" s="75" t="n"/>
      <c r="L50" s="75" t="n"/>
      <c r="M50" s="31" t="n"/>
      <c r="N50" s="74" t="n"/>
      <c r="O50" s="31" t="n"/>
      <c r="R50" s="74" t="n"/>
      <c r="S50" s="16" t="n"/>
      <c r="T50" s="16" t="n"/>
      <c r="U50" s="16" t="n"/>
      <c r="W50" s="74" t="n"/>
      <c r="X50" s="10" t="n"/>
      <c r="Y50" s="10" t="n"/>
      <c r="Z50" s="10" t="n"/>
      <c r="AB50" s="16" t="n"/>
      <c r="AC50" s="75" t="n"/>
      <c r="AD50" s="16" t="n"/>
      <c r="AE50" s="75" t="n"/>
      <c r="AF50" t="n">
        <v>2660</v>
      </c>
      <c r="AG50" s="74" t="n"/>
      <c r="AH50" s="18">
        <f>SUM(B50:AG50)</f>
        <v/>
      </c>
      <c r="AI50" s="99" t="n"/>
    </row>
    <row r="51" ht="15.75" customHeight="1">
      <c r="A51" s="14" t="inlineStr">
        <is>
          <t>SANDWELL MBC-601539-69624135</t>
        </is>
      </c>
      <c r="B51" s="10" t="n"/>
      <c r="C51" s="74" t="n"/>
      <c r="D51" s="74" t="n"/>
      <c r="E51" s="74" t="n"/>
      <c r="F51" s="100" t="n"/>
      <c r="G51" s="16" t="n"/>
      <c r="H51" s="31" t="n"/>
      <c r="I51" s="16" t="n"/>
      <c r="J51" s="75" t="n"/>
      <c r="K51" s="75" t="n"/>
      <c r="L51" s="75" t="n"/>
      <c r="M51" s="31" t="n"/>
      <c r="N51" s="12" t="n"/>
      <c r="O51" s="75" t="n">
        <v>128558.08</v>
      </c>
      <c r="S51" s="75" t="n"/>
      <c r="T51" s="100" t="n"/>
      <c r="U51" s="16" t="n"/>
      <c r="W51" s="74" t="n"/>
      <c r="X51" s="10" t="n"/>
      <c r="Y51" s="10" t="n"/>
      <c r="Z51" s="108" t="n"/>
      <c r="AB51" s="31" t="n"/>
      <c r="AC51" s="75" t="n">
        <v>128558.08</v>
      </c>
      <c r="AD51" s="16" t="n"/>
      <c r="AE51" s="75" t="n"/>
      <c r="AF51" s="75" t="n"/>
      <c r="AG51" s="74" t="n"/>
      <c r="AH51" s="18">
        <f>SUM(B51:AG51)</f>
        <v/>
      </c>
      <c r="AI51" s="99" t="n"/>
    </row>
    <row r="52" ht="15.75" customHeight="1">
      <c r="A52" s="15" t="inlineStr">
        <is>
          <t>SOLIHULL MBC EXP.-200771-00561525</t>
        </is>
      </c>
      <c r="B52" s="74" t="n"/>
      <c r="C52" s="74" t="n"/>
      <c r="D52" s="74" t="n"/>
      <c r="E52" s="74" t="n"/>
      <c r="F52" s="75" t="n"/>
      <c r="G52" s="75" t="n"/>
      <c r="H52" s="31" t="n"/>
      <c r="I52" s="16" t="n"/>
      <c r="J52" s="75" t="n"/>
      <c r="K52" s="75" t="n"/>
      <c r="L52" s="75" t="n"/>
      <c r="M52" s="31" t="n"/>
      <c r="N52" s="74" t="n"/>
      <c r="O52" s="31" t="n"/>
      <c r="R52" s="74" t="n"/>
      <c r="S52" s="75" t="n"/>
      <c r="T52" s="75" t="n"/>
      <c r="U52" s="75" t="n"/>
      <c r="W52" s="74" t="n"/>
      <c r="X52" s="74" t="n"/>
      <c r="Y52" t="n">
        <v>32010.44</v>
      </c>
      <c r="Z52" s="74" t="n"/>
      <c r="AB52" s="31" t="n"/>
      <c r="AC52" s="75" t="n"/>
      <c r="AD52" s="75" t="n"/>
      <c r="AE52" s="75" t="n"/>
      <c r="AF52" s="75" t="n"/>
      <c r="AG52" s="74" t="n"/>
      <c r="AH52" s="18">
        <f>SUM(B52:AG52)</f>
        <v/>
      </c>
      <c r="AI52" s="99" t="n"/>
    </row>
    <row r="53" ht="15.75" customHeight="1">
      <c r="A53" s="15" t="inlineStr">
        <is>
          <t>WALSALL MBC BARC-209073-10731692</t>
        </is>
      </c>
      <c r="B53" s="10" t="n"/>
      <c r="C53" s="74" t="n"/>
      <c r="D53" s="74" t="n"/>
      <c r="E53" s="74" t="n"/>
      <c r="F53" s="75" t="n"/>
      <c r="G53" s="75" t="n"/>
      <c r="H53" s="31" t="n"/>
      <c r="I53" s="16" t="n"/>
      <c r="J53" s="75" t="n"/>
      <c r="K53" s="75" t="n"/>
      <c r="L53" s="75">
        <f>238289.8-L43</f>
        <v/>
      </c>
      <c r="M53" s="31" t="n">
        <v>7441.92</v>
      </c>
      <c r="N53" s="74" t="n"/>
      <c r="O53" s="31" t="n"/>
      <c r="S53" s="75" t="n"/>
      <c r="T53" s="75" t="n"/>
      <c r="U53" s="75" t="n"/>
      <c r="W53" s="10" t="n"/>
      <c r="X53" s="74" t="n"/>
      <c r="Y53" s="74" t="n"/>
      <c r="Z53" s="74" t="n"/>
      <c r="AB53" s="75" t="n"/>
      <c r="AC53" s="75" t="n"/>
      <c r="AD53" s="75" t="n"/>
      <c r="AE53" s="75" t="n"/>
      <c r="AF53" s="75" t="n"/>
      <c r="AG53" s="74" t="n"/>
      <c r="AH53" s="18">
        <f>SUM(B53:AG53)</f>
        <v/>
      </c>
      <c r="AI53" s="99" t="n"/>
    </row>
    <row r="54" ht="15.75" customHeight="1">
      <c r="A54" s="15" t="inlineStr">
        <is>
          <t>WOLVERHAMPTON CC-560069-44470320</t>
        </is>
      </c>
      <c r="B54" s="16" t="n"/>
      <c r="C54" s="16" t="n"/>
      <c r="D54" s="31" t="n">
        <v>11780</v>
      </c>
      <c r="E54" s="75" t="n"/>
      <c r="F54" s="16" t="n"/>
      <c r="G54" s="31" t="n"/>
      <c r="H54" s="75">
        <f>120189.22-H42</f>
        <v/>
      </c>
      <c r="I54" s="75" t="n"/>
      <c r="J54" s="75" t="n"/>
      <c r="K54" s="16" t="n"/>
      <c r="L54" s="75" t="n"/>
      <c r="M54" s="31" t="n"/>
      <c r="N54" s="25">
        <f>120345.86-N42</f>
        <v/>
      </c>
      <c r="O54" s="31" t="n"/>
      <c r="Q54" s="10" t="n"/>
      <c r="R54" s="10" t="n"/>
      <c r="S54" s="75" t="n"/>
      <c r="T54" s="16" t="n"/>
      <c r="U54" s="75">
        <f>120345.86-U42</f>
        <v/>
      </c>
      <c r="W54" s="74" t="n"/>
      <c r="X54" s="74" t="n"/>
      <c r="Y54" s="10" t="n"/>
      <c r="Z54" s="74" t="n"/>
      <c r="AB54" s="75">
        <f>120345.86-AB42</f>
        <v/>
      </c>
      <c r="AC54" s="31" t="n"/>
      <c r="AD54" s="16" t="n"/>
      <c r="AE54" s="16" t="n"/>
      <c r="AF54" s="31" t="n">
        <v>11400</v>
      </c>
      <c r="AG54" s="74" t="n"/>
      <c r="AH54" s="18">
        <f>SUM(B54:AG54)</f>
        <v/>
      </c>
      <c r="AI54" s="99" t="n"/>
    </row>
    <row r="55" ht="15.75" customHeight="1">
      <c r="A55" s="15" t="inlineStr">
        <is>
          <t>People Plus</t>
        </is>
      </c>
      <c r="B55" s="16" t="n"/>
      <c r="C55" s="75" t="n"/>
      <c r="D55" s="75" t="n"/>
      <c r="E55" s="75" t="n"/>
      <c r="F55" s="31" t="n"/>
      <c r="G55" s="75" t="n"/>
      <c r="H55" s="31" t="n"/>
      <c r="I55" s="75" t="n"/>
      <c r="J55" s="75" t="n"/>
      <c r="K55" s="75" t="n"/>
      <c r="L55" s="75" t="n"/>
      <c r="M55" s="31" t="n"/>
      <c r="N55" s="74" t="n"/>
      <c r="O55" s="31" t="n"/>
      <c r="Q55" s="74" t="n"/>
      <c r="S55" s="31" t="n"/>
      <c r="T55" s="31" t="n">
        <v>3436</v>
      </c>
      <c r="U55" s="31" t="n"/>
      <c r="V55" s="12" t="n"/>
      <c r="W55" s="74" t="n"/>
      <c r="X55" s="74" t="n"/>
      <c r="AB55" s="31" t="n"/>
      <c r="AC55" s="75" t="n"/>
      <c r="AD55" s="31" t="n"/>
      <c r="AE55" s="75" t="n"/>
      <c r="AF55" s="75" t="n"/>
      <c r="AG55" s="74" t="n"/>
      <c r="AH55" s="18">
        <f>SUM(B55:AG55)</f>
        <v/>
      </c>
      <c r="AI55" s="99" t="n"/>
    </row>
    <row r="56" ht="15.75" customHeight="1">
      <c r="A56" s="15" t="inlineStr">
        <is>
          <t xml:space="preserve">Middlesbrough council </t>
        </is>
      </c>
      <c r="B56" s="16" t="n"/>
      <c r="C56" s="75" t="n"/>
      <c r="D56" s="75" t="n"/>
      <c r="E56" s="75" t="n"/>
      <c r="F56" s="75" t="n"/>
      <c r="G56" s="31" t="n"/>
      <c r="H56" s="31" t="n"/>
      <c r="I56" s="16" t="n"/>
      <c r="J56" s="75" t="n"/>
      <c r="K56" s="75" t="n"/>
      <c r="L56" s="75" t="n"/>
      <c r="M56" s="75" t="n"/>
      <c r="N56" s="74" t="n"/>
      <c r="O56" s="75" t="n"/>
      <c r="P56" s="74" t="n"/>
      <c r="Q56" s="74" t="n"/>
      <c r="R56" s="74" t="n"/>
      <c r="S56" s="75" t="n"/>
      <c r="T56" s="75" t="n"/>
      <c r="U56" s="31" t="n"/>
      <c r="X56" s="74" t="n"/>
      <c r="Y56" s="74" t="n"/>
      <c r="AA56" s="74" t="n"/>
      <c r="AB56" s="75" t="n"/>
      <c r="AC56" s="75" t="n"/>
      <c r="AD56" s="16" t="n"/>
      <c r="AE56" s="31" t="n"/>
      <c r="AF56" s="75" t="n"/>
      <c r="AG56" s="74" t="n"/>
      <c r="AH56" s="18">
        <f>SUM(B56:AG56)</f>
        <v/>
      </c>
      <c r="AI56" s="99" t="n"/>
    </row>
    <row r="57" ht="15.75" customHeight="1">
      <c r="A57" s="15" t="inlineStr">
        <is>
          <t>CHASING</t>
        </is>
      </c>
      <c r="B57" s="75" t="n"/>
      <c r="C57" s="75" t="n"/>
      <c r="D57" s="75" t="n"/>
      <c r="E57" s="75" t="n"/>
      <c r="F57" s="31" t="n">
        <v>7207.87</v>
      </c>
      <c r="G57" s="31" t="n"/>
      <c r="H57" s="31" t="n"/>
      <c r="I57" s="75" t="n"/>
      <c r="J57" s="75" t="n"/>
      <c r="K57" s="75" t="n"/>
      <c r="L57" s="75" t="n"/>
      <c r="M57" s="31" t="n"/>
      <c r="N57" s="74" t="n"/>
      <c r="O57" s="75" t="n">
        <v>74884.32000000001</v>
      </c>
      <c r="P57" s="74" t="n"/>
      <c r="Q57" s="74" t="n"/>
      <c r="S57" s="75" t="n"/>
      <c r="T57" s="75" t="n"/>
      <c r="U57" s="31" t="n"/>
      <c r="V57" s="31" t="n"/>
      <c r="W57" s="75" t="n"/>
      <c r="X57" s="75" t="n"/>
      <c r="Y57" s="75" t="n"/>
      <c r="Z57" s="74" t="n"/>
      <c r="AA57" s="74" t="n"/>
      <c r="AB57" s="75" t="n"/>
      <c r="AC57" s="75" t="n"/>
      <c r="AD57" s="75" t="n"/>
      <c r="AE57" s="75" t="n"/>
      <c r="AF57" s="75" t="n"/>
      <c r="AG57" s="74" t="n"/>
      <c r="AH57" s="18">
        <f>SUM(B57:AG57)</f>
        <v/>
      </c>
      <c r="AI57" s="99" t="n"/>
    </row>
    <row r="58" ht="15.75" customHeight="1">
      <c r="A58" s="15" t="inlineStr">
        <is>
          <t>HB SC</t>
        </is>
      </c>
      <c r="B58" s="75" t="n">
        <v>590</v>
      </c>
      <c r="C58" s="75" t="n">
        <v>200</v>
      </c>
      <c r="D58" s="75" t="n">
        <v>7944.640000000001</v>
      </c>
      <c r="E58" s="75" t="n">
        <v>2667.73</v>
      </c>
      <c r="F58" s="75" t="n">
        <v>1554.7</v>
      </c>
      <c r="G58" s="75" t="n">
        <v>2363.37</v>
      </c>
      <c r="H58" s="75" t="n">
        <v>3024.179999999993</v>
      </c>
      <c r="I58" s="75" t="n">
        <v>0</v>
      </c>
      <c r="J58" s="75" t="n">
        <v>200</v>
      </c>
      <c r="K58" s="75" t="n">
        <v>4676.19</v>
      </c>
      <c r="L58" s="75" t="n">
        <v>2457.350000000006</v>
      </c>
      <c r="M58" s="75">
        <f>9239.94-M53</f>
        <v/>
      </c>
      <c r="N58" s="75" t="n">
        <v>1654.389999999989</v>
      </c>
      <c r="O58" s="75" t="n">
        <v>5790.909999999999</v>
      </c>
      <c r="P58" s="75" t="n">
        <v>0</v>
      </c>
      <c r="Q58" s="75" t="n">
        <v>0</v>
      </c>
      <c r="R58" s="75" t="n">
        <v>4682.63</v>
      </c>
      <c r="S58" s="75" t="n">
        <v>10235.95</v>
      </c>
      <c r="T58" s="75" t="n">
        <v>1673.41</v>
      </c>
      <c r="U58" s="75" t="n">
        <v>5188.050000000006</v>
      </c>
      <c r="V58" s="75" t="n">
        <v>5418.41</v>
      </c>
      <c r="W58" s="75" t="n">
        <v>200</v>
      </c>
      <c r="X58" s="75" t="n">
        <v>0</v>
      </c>
      <c r="Y58" s="75" t="n">
        <v>16322.69</v>
      </c>
      <c r="Z58" s="75" t="n">
        <v>1685.400000000001</v>
      </c>
      <c r="AA58" s="75" t="n">
        <v>4079.67</v>
      </c>
      <c r="AB58" s="75" t="n">
        <v>5874.260000000009</v>
      </c>
      <c r="AC58" s="75" t="n">
        <v>6381.360000000001</v>
      </c>
      <c r="AD58" s="75" t="n">
        <v>590</v>
      </c>
      <c r="AE58" s="75" t="n">
        <v>0</v>
      </c>
      <c r="AF58" s="75" t="n">
        <v>6153.599999999999</v>
      </c>
      <c r="AG58" s="74" t="n"/>
      <c r="AH58" s="18">
        <f>SUM(B58:AG58)</f>
        <v/>
      </c>
      <c r="AI58" s="99" t="n"/>
    </row>
    <row r="59" ht="16.5" customHeight="1" thickBot="1">
      <c r="A59" s="15" t="inlineStr">
        <is>
          <t xml:space="preserve">Total </t>
        </is>
      </c>
      <c r="B59" s="124">
        <f>SUM(B37:B58)</f>
        <v/>
      </c>
      <c r="C59" s="124">
        <f>SUM(C37:C58)</f>
        <v/>
      </c>
      <c r="D59" s="124">
        <f>SUM(D37:D58)</f>
        <v/>
      </c>
      <c r="E59" s="124">
        <f>SUM(E37:E58)</f>
        <v/>
      </c>
      <c r="F59" s="124">
        <f>SUM(F37:F58)</f>
        <v/>
      </c>
      <c r="G59" s="125">
        <f>SUM(G37:G58)</f>
        <v/>
      </c>
      <c r="H59" s="125">
        <f>SUM(H37:H58)</f>
        <v/>
      </c>
      <c r="I59" s="124">
        <f>SUM(I37:I58)</f>
        <v/>
      </c>
      <c r="J59" s="124">
        <f>SUM(J37:J58)</f>
        <v/>
      </c>
      <c r="K59" s="124">
        <f>SUM(K37:K58)</f>
        <v/>
      </c>
      <c r="L59" s="124">
        <f>SUM(L37:L58)</f>
        <v/>
      </c>
      <c r="M59" s="124">
        <f>SUM(M37:M58)</f>
        <v/>
      </c>
      <c r="N59" s="124">
        <f>SUM(N37:N58)</f>
        <v/>
      </c>
      <c r="O59" s="124">
        <f>SUM(O37:O58)</f>
        <v/>
      </c>
      <c r="P59" s="124">
        <f>SUM(P37:P58)</f>
        <v/>
      </c>
      <c r="Q59" s="124">
        <f>SUM(Q37:Q58)</f>
        <v/>
      </c>
      <c r="R59" s="124">
        <f>SUM(R37:R58)</f>
        <v/>
      </c>
      <c r="S59" s="125">
        <f>SUM(S37:S58)</f>
        <v/>
      </c>
      <c r="T59" s="125">
        <f>SUM(T37:T58)</f>
        <v/>
      </c>
      <c r="U59" s="124">
        <f>SUM(U37:U58)</f>
        <v/>
      </c>
      <c r="V59" s="124">
        <f>SUM(V37:V58)</f>
        <v/>
      </c>
      <c r="W59" s="124">
        <f>SUM(W37:W58)</f>
        <v/>
      </c>
      <c r="X59" s="124">
        <f>SUM(X37:X58)</f>
        <v/>
      </c>
      <c r="Y59" s="124">
        <f>SUM(Y37:Y58)</f>
        <v/>
      </c>
      <c r="Z59" s="124">
        <f>SUM(Z37:Z58)</f>
        <v/>
      </c>
      <c r="AA59" s="124">
        <f>SUM(AA37:AA58)</f>
        <v/>
      </c>
      <c r="AB59" s="124">
        <f>SUM(AB37:AB58)</f>
        <v/>
      </c>
      <c r="AC59" s="124">
        <f>SUM(AC37:AC58)</f>
        <v/>
      </c>
      <c r="AD59" s="124">
        <f>SUM(AD37:AD58)</f>
        <v/>
      </c>
      <c r="AE59" s="124">
        <f>SUM(AE37:AE58)</f>
        <v/>
      </c>
      <c r="AF59" s="124">
        <f>SUM(AF37:AF58)</f>
        <v/>
      </c>
      <c r="AG59" s="124" t="n"/>
      <c r="AH59" s="126">
        <f>SUM(AH35:AH58)</f>
        <v/>
      </c>
    </row>
    <row r="60" ht="16.5" customHeight="1" thickBot="1" thickTop="1">
      <c r="A60" s="15" t="inlineStr">
        <is>
          <t>Running Total</t>
        </is>
      </c>
      <c r="B60" s="127">
        <f>B59</f>
        <v/>
      </c>
      <c r="C60" s="127">
        <f>C59+B60</f>
        <v/>
      </c>
      <c r="D60" s="127">
        <f>D59+C60</f>
        <v/>
      </c>
      <c r="E60" s="127">
        <f>E59+D60</f>
        <v/>
      </c>
      <c r="F60" s="128">
        <f>F59+E60</f>
        <v/>
      </c>
      <c r="G60" s="128">
        <f>G59+F60</f>
        <v/>
      </c>
      <c r="H60" s="127">
        <f>H59+G60</f>
        <v/>
      </c>
      <c r="I60" s="127">
        <f>I59+H60</f>
        <v/>
      </c>
      <c r="J60" s="127">
        <f>J59+I60</f>
        <v/>
      </c>
      <c r="K60" s="127">
        <f>K59+J60</f>
        <v/>
      </c>
      <c r="L60" s="127">
        <f>L59+K60</f>
        <v/>
      </c>
      <c r="M60" s="127">
        <f>M59+L60</f>
        <v/>
      </c>
      <c r="N60" s="127">
        <f>N59+M60</f>
        <v/>
      </c>
      <c r="O60" s="127">
        <f>O59+N60</f>
        <v/>
      </c>
      <c r="P60" s="127">
        <f>P59+O60</f>
        <v/>
      </c>
      <c r="Q60" s="127">
        <f>Q59+P60</f>
        <v/>
      </c>
      <c r="R60" s="127">
        <f>R59+Q60</f>
        <v/>
      </c>
      <c r="S60" s="127">
        <f>S59+R60</f>
        <v/>
      </c>
      <c r="T60" s="127">
        <f>T59+S60</f>
        <v/>
      </c>
      <c r="U60" s="127">
        <f>U59+T60</f>
        <v/>
      </c>
      <c r="V60" s="127">
        <f>V59+U60</f>
        <v/>
      </c>
      <c r="W60" s="127">
        <f>W59+V60</f>
        <v/>
      </c>
      <c r="X60" s="127">
        <f>X59+W60</f>
        <v/>
      </c>
      <c r="Y60" s="127">
        <f>Y59+X60</f>
        <v/>
      </c>
      <c r="Z60" s="127">
        <f>Z59+Y60</f>
        <v/>
      </c>
      <c r="AA60" s="127">
        <f>AA59+Z60</f>
        <v/>
      </c>
      <c r="AB60" s="127">
        <f>AB59+AA60</f>
        <v/>
      </c>
      <c r="AC60" s="127">
        <f>AC59+AB60</f>
        <v/>
      </c>
      <c r="AD60" s="127">
        <f>AD59+AC60</f>
        <v/>
      </c>
      <c r="AE60" s="127">
        <f>AE59+AD60</f>
        <v/>
      </c>
      <c r="AF60" s="127">
        <f>AF59+AE60</f>
        <v/>
      </c>
      <c r="AG60" s="127" t="n"/>
      <c r="AH60" s="25" t="n"/>
    </row>
    <row r="61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/>
  </sheetPr>
  <dimension ref="A2:AL69"/>
  <sheetViews>
    <sheetView zoomScale="60" zoomScaleNormal="60" workbookViewId="0">
      <pane xSplit="1" topLeftCell="U1" activePane="topRight" state="frozen"/>
      <selection activeCell="I36" sqref="I36"/>
      <selection pane="topRight" activeCell="I36" sqref="I36"/>
    </sheetView>
  </sheetViews>
  <sheetFormatPr baseColWidth="8" defaultRowHeight="15"/>
  <cols>
    <col width="43.28515625" bestFit="1" customWidth="1" min="1" max="1"/>
    <col width="23" bestFit="1" customWidth="1" min="2" max="2"/>
    <col width="14.140625" bestFit="1" customWidth="1" min="3" max="3"/>
    <col width="11.85546875" bestFit="1" customWidth="1" min="4" max="4"/>
    <col width="10.7109375" bestFit="1" customWidth="1" min="5" max="5"/>
    <col width="12" bestFit="1" customWidth="1" min="6" max="6"/>
    <col width="10.42578125" bestFit="1" customWidth="1" min="7" max="7"/>
    <col width="10.42578125" customWidth="1" min="8" max="8"/>
    <col width="12" bestFit="1" customWidth="1" min="9" max="9"/>
    <col width="14.140625" bestFit="1" customWidth="1" min="10" max="10"/>
    <col width="11.85546875" bestFit="1" customWidth="1" min="11" max="11"/>
    <col width="11.5703125" bestFit="1" customWidth="1" min="12" max="13"/>
    <col width="11.140625" bestFit="1" customWidth="1" min="14" max="14"/>
    <col width="12" bestFit="1" customWidth="1" min="15" max="16"/>
    <col width="14.140625" bestFit="1" customWidth="1" min="17" max="17"/>
    <col width="11.85546875" bestFit="1" customWidth="1" min="18" max="18"/>
    <col width="12" bestFit="1" customWidth="1" min="19" max="22"/>
    <col width="11.5703125" bestFit="1" customWidth="1" min="23" max="23"/>
    <col width="14.140625" bestFit="1" customWidth="1" min="24" max="24"/>
    <col width="13.28515625" bestFit="1" customWidth="1" min="25" max="26"/>
    <col width="12.85546875" bestFit="1" customWidth="1" min="27" max="27"/>
    <col width="13.28515625" bestFit="1" customWidth="1" min="28" max="29"/>
    <col width="12.85546875" bestFit="1" customWidth="1" min="30" max="30"/>
    <col width="14.140625" bestFit="1" customWidth="1" min="31" max="31"/>
    <col width="13.28515625" bestFit="1" customWidth="1" min="32" max="32"/>
    <col width="10.7109375" bestFit="1" customWidth="1" min="33" max="33"/>
    <col width="16.28515625" bestFit="1" customWidth="1" min="34" max="34"/>
  </cols>
  <sheetData>
    <row r="2">
      <c r="A2" s="1" t="n"/>
      <c r="B2" s="2" t="inlineStr">
        <is>
          <t>Apr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1" t="n"/>
      <c r="AF2" s="1" t="n"/>
      <c r="AG2" s="1" t="n"/>
    </row>
    <row r="3">
      <c r="A3" s="1" t="n"/>
      <c r="B3" s="2" t="inlineStr">
        <is>
          <t>Tuesday</t>
        </is>
      </c>
      <c r="C3" s="2" t="inlineStr">
        <is>
          <t>Wednesday</t>
        </is>
      </c>
      <c r="D3" s="2" t="inlineStr">
        <is>
          <t>Thursday</t>
        </is>
      </c>
      <c r="E3" s="2" t="inlineStr">
        <is>
          <t>Friday</t>
        </is>
      </c>
      <c r="F3" s="2" t="inlineStr">
        <is>
          <t>Saturday</t>
        </is>
      </c>
      <c r="G3" s="2" t="inlineStr">
        <is>
          <t>Sunday</t>
        </is>
      </c>
      <c r="H3" s="2" t="inlineStr">
        <is>
          <t>Monday</t>
        </is>
      </c>
      <c r="I3" s="2" t="inlineStr">
        <is>
          <t>Tuesday</t>
        </is>
      </c>
      <c r="J3" s="2" t="inlineStr">
        <is>
          <t>Wednesday</t>
        </is>
      </c>
      <c r="K3" s="2" t="inlineStr">
        <is>
          <t>Thursday</t>
        </is>
      </c>
      <c r="L3" s="2" t="inlineStr">
        <is>
          <t>Friday</t>
        </is>
      </c>
      <c r="M3" s="2" t="inlineStr">
        <is>
          <t>Saturday</t>
        </is>
      </c>
      <c r="N3" s="2" t="inlineStr">
        <is>
          <t>Sunday</t>
        </is>
      </c>
      <c r="O3" s="2" t="inlineStr">
        <is>
          <t>Monday</t>
        </is>
      </c>
      <c r="P3" s="2" t="inlineStr">
        <is>
          <t>Tuesday</t>
        </is>
      </c>
      <c r="Q3" s="2" t="inlineStr">
        <is>
          <t>Wednesday</t>
        </is>
      </c>
      <c r="R3" s="2" t="inlineStr">
        <is>
          <t>Thursday</t>
        </is>
      </c>
      <c r="S3" s="2" t="inlineStr">
        <is>
          <t>Friday</t>
        </is>
      </c>
      <c r="T3" s="2" t="inlineStr">
        <is>
          <t>Saturday</t>
        </is>
      </c>
      <c r="U3" s="2" t="inlineStr">
        <is>
          <t>Sunday</t>
        </is>
      </c>
      <c r="V3" s="2" t="inlineStr">
        <is>
          <t>Monday</t>
        </is>
      </c>
      <c r="W3" s="2" t="inlineStr">
        <is>
          <t>Tuesday</t>
        </is>
      </c>
      <c r="X3" s="2" t="inlineStr">
        <is>
          <t>Wednesday</t>
        </is>
      </c>
      <c r="Y3" s="2" t="inlineStr">
        <is>
          <t>Thursday</t>
        </is>
      </c>
      <c r="Z3" s="2" t="inlineStr">
        <is>
          <t>Friday</t>
        </is>
      </c>
      <c r="AA3" s="2" t="inlineStr">
        <is>
          <t>Saturday</t>
        </is>
      </c>
      <c r="AB3" s="2" t="inlineStr">
        <is>
          <t>Sunday</t>
        </is>
      </c>
      <c r="AC3" s="2" t="inlineStr">
        <is>
          <t>Monday</t>
        </is>
      </c>
      <c r="AD3" s="2" t="inlineStr">
        <is>
          <t>Tuesday</t>
        </is>
      </c>
      <c r="AE3" s="2" t="inlineStr">
        <is>
          <t>Wednesday</t>
        </is>
      </c>
      <c r="AF3" s="2" t="n"/>
      <c r="AH3" s="2" t="inlineStr">
        <is>
          <t>Total</t>
        </is>
      </c>
    </row>
    <row r="4">
      <c r="A4" s="1" t="inlineStr">
        <is>
          <t>April</t>
        </is>
      </c>
      <c r="B4" s="7" t="inlineStr">
        <is>
          <t>1st</t>
        </is>
      </c>
      <c r="C4" s="7" t="inlineStr">
        <is>
          <t>2nd</t>
        </is>
      </c>
      <c r="D4" s="7" t="inlineStr">
        <is>
          <t>3rd</t>
        </is>
      </c>
      <c r="E4" s="7" t="inlineStr">
        <is>
          <t>4th</t>
        </is>
      </c>
      <c r="F4" s="7" t="inlineStr">
        <is>
          <t>5th</t>
        </is>
      </c>
      <c r="G4" s="7" t="inlineStr">
        <is>
          <t>6th</t>
        </is>
      </c>
      <c r="H4" s="4" t="inlineStr">
        <is>
          <t>7th</t>
        </is>
      </c>
      <c r="I4" s="4" t="inlineStr">
        <is>
          <t>8th</t>
        </is>
      </c>
      <c r="J4" s="4" t="inlineStr">
        <is>
          <t>9th</t>
        </is>
      </c>
      <c r="K4" s="4" t="inlineStr">
        <is>
          <t>10th</t>
        </is>
      </c>
      <c r="L4" s="4" t="inlineStr">
        <is>
          <t>11th</t>
        </is>
      </c>
      <c r="M4" s="4" t="inlineStr">
        <is>
          <t>12th</t>
        </is>
      </c>
      <c r="N4" s="4" t="inlineStr">
        <is>
          <t>13th</t>
        </is>
      </c>
      <c r="O4" s="5" t="inlineStr">
        <is>
          <t>14th</t>
        </is>
      </c>
      <c r="P4" s="5" t="inlineStr">
        <is>
          <t>15th</t>
        </is>
      </c>
      <c r="Q4" s="5" t="inlineStr">
        <is>
          <t>16th</t>
        </is>
      </c>
      <c r="R4" s="5" t="inlineStr">
        <is>
          <t>17th</t>
        </is>
      </c>
      <c r="S4" s="5" t="inlineStr">
        <is>
          <t>18th</t>
        </is>
      </c>
      <c r="T4" s="5" t="inlineStr">
        <is>
          <t>19th</t>
        </is>
      </c>
      <c r="U4" s="5" t="inlineStr">
        <is>
          <t>20th</t>
        </is>
      </c>
      <c r="V4" s="6" t="inlineStr">
        <is>
          <t>21st</t>
        </is>
      </c>
      <c r="W4" s="6" t="inlineStr">
        <is>
          <t>22nd</t>
        </is>
      </c>
      <c r="X4" s="6" t="inlineStr">
        <is>
          <t>23rd</t>
        </is>
      </c>
      <c r="Y4" s="6" t="inlineStr">
        <is>
          <t>24th</t>
        </is>
      </c>
      <c r="Z4" s="6" t="inlineStr">
        <is>
          <t>25th</t>
        </is>
      </c>
      <c r="AA4" s="6" t="inlineStr">
        <is>
          <t>26th</t>
        </is>
      </c>
      <c r="AB4" s="6" t="inlineStr">
        <is>
          <t>27th</t>
        </is>
      </c>
      <c r="AC4" s="3" t="inlineStr">
        <is>
          <t>28th</t>
        </is>
      </c>
      <c r="AD4" s="3" t="inlineStr">
        <is>
          <t>29th</t>
        </is>
      </c>
      <c r="AE4" s="3" t="inlineStr">
        <is>
          <t>30th</t>
        </is>
      </c>
      <c r="AF4" s="3" t="n"/>
      <c r="AH4" s="1" t="n"/>
    </row>
    <row r="5" ht="15.75" customHeight="1">
      <c r="A5" s="8" t="inlineStr">
        <is>
          <t>B-HAM CITY COUNCIL-200790-70489166</t>
        </is>
      </c>
      <c r="B5" s="122" t="n"/>
      <c r="C5" s="122" t="n"/>
      <c r="D5" s="122" t="n"/>
      <c r="E5" s="122" t="n"/>
      <c r="F5" s="157" t="n"/>
      <c r="G5" s="157" t="n"/>
      <c r="H5" s="31" t="n"/>
      <c r="I5" s="157" t="n"/>
      <c r="J5" s="157" t="n"/>
      <c r="K5" s="31" t="n"/>
      <c r="L5" s="157" t="n"/>
      <c r="M5" s="157" t="n"/>
      <c r="N5" s="157" t="n"/>
      <c r="O5" s="75" t="n"/>
      <c r="P5" s="75" t="n"/>
      <c r="Q5" s="157" t="n"/>
      <c r="R5" s="12" t="n"/>
      <c r="S5" s="148" t="n"/>
      <c r="T5" s="122" t="n"/>
      <c r="U5" s="12" t="n"/>
      <c r="V5" s="148" t="n"/>
      <c r="W5" s="157" t="n"/>
      <c r="X5" s="157" t="n"/>
      <c r="Y5" s="75" t="n"/>
      <c r="Z5" s="75" t="n"/>
      <c r="AA5" s="31" t="n"/>
      <c r="AB5" s="31" t="n"/>
      <c r="AC5" s="31" t="n"/>
      <c r="AD5" s="122" t="n"/>
      <c r="AE5" s="122" t="n"/>
      <c r="AF5" s="122" t="n"/>
      <c r="AH5" s="18">
        <f>SUM(B5:AF5)</f>
        <v/>
      </c>
      <c r="AI5" s="99" t="n"/>
      <c r="AL5" s="99" t="n"/>
    </row>
    <row r="6" ht="15.75" customHeight="1">
      <c r="A6" s="8" t="inlineStr">
        <is>
          <t>Buckingham</t>
        </is>
      </c>
      <c r="B6" s="74" t="n"/>
      <c r="C6" s="10" t="n"/>
      <c r="D6" s="10" t="n"/>
      <c r="F6" s="31" t="n"/>
      <c r="G6" s="16" t="n"/>
      <c r="H6" s="75" t="n"/>
      <c r="I6" s="31" t="n"/>
      <c r="J6" s="31" t="n"/>
      <c r="K6" s="75" t="n"/>
      <c r="L6" s="31" t="n">
        <v>5317.35</v>
      </c>
      <c r="M6" s="75" t="n"/>
      <c r="N6" s="75" t="n"/>
      <c r="O6" s="16" t="n"/>
      <c r="P6" s="75" t="n"/>
      <c r="Q6" s="16" t="n"/>
      <c r="R6" s="74" t="n"/>
      <c r="S6" s="149" t="n"/>
      <c r="T6" s="10" t="n"/>
      <c r="U6" s="74" t="n"/>
      <c r="V6" s="149" t="n"/>
      <c r="W6" s="75" t="n"/>
      <c r="X6" s="75" t="n"/>
      <c r="Y6" s="16" t="n"/>
      <c r="Z6" s="75" t="n"/>
      <c r="AA6" s="75" t="n"/>
      <c r="AB6" s="16" t="n"/>
      <c r="AC6" s="75" t="n"/>
      <c r="AD6" s="10" t="n"/>
      <c r="AE6" s="74" t="n"/>
      <c r="AF6" s="74" t="n"/>
      <c r="AH6" s="18">
        <f>SUM(B6:AF6)</f>
        <v/>
      </c>
      <c r="AI6" s="99" t="n"/>
      <c r="AL6" s="99" t="n"/>
    </row>
    <row r="7" ht="15.75" customHeight="1">
      <c r="A7" s="8" t="inlineStr">
        <is>
          <t>Sandwell Respite</t>
        </is>
      </c>
      <c r="B7" s="74" t="n"/>
      <c r="C7" s="74" t="n"/>
      <c r="D7" s="10" t="n"/>
      <c r="E7" s="74" t="n"/>
      <c r="F7" s="75" t="n"/>
      <c r="G7" s="16" t="n"/>
      <c r="H7" s="75" t="n"/>
      <c r="I7" s="16" t="n"/>
      <c r="J7" s="75" t="n"/>
      <c r="K7" s="16" t="n"/>
      <c r="L7" s="16" t="n"/>
      <c r="M7" s="16" t="n"/>
      <c r="N7" s="31" t="n"/>
      <c r="O7" s="31" t="n"/>
      <c r="P7" s="16" t="n"/>
      <c r="Q7" s="31" t="n"/>
      <c r="R7" s="12" t="n"/>
      <c r="S7" t="n">
        <v>3192</v>
      </c>
      <c r="T7" s="10" t="n"/>
      <c r="U7" s="10" t="n"/>
      <c r="V7" s="149" t="n"/>
      <c r="W7" s="16" t="n"/>
      <c r="X7" s="16" t="n"/>
      <c r="Y7" s="16" t="n"/>
      <c r="Z7" s="75" t="n"/>
      <c r="AA7" s="16" t="n"/>
      <c r="AB7" s="16" t="n"/>
      <c r="AC7" s="75" t="n"/>
      <c r="AD7" s="74" t="n"/>
      <c r="AE7" s="74" t="n"/>
      <c r="AF7" s="74" t="n"/>
      <c r="AH7" s="18">
        <f>SUM(B7:AF7)</f>
        <v/>
      </c>
      <c r="AI7" s="99" t="n"/>
      <c r="AL7" s="99" t="n"/>
    </row>
    <row r="8" ht="15.75" customHeight="1">
      <c r="A8" s="8" t="inlineStr">
        <is>
          <t>Sandwell Daycare</t>
        </is>
      </c>
      <c r="B8" s="74" t="n"/>
      <c r="C8" s="10" t="n"/>
      <c r="D8" s="10" t="n"/>
      <c r="F8" s="16" t="n"/>
      <c r="G8" s="16" t="n"/>
      <c r="H8" s="16" t="n"/>
      <c r="I8" s="100" t="n">
        <v>7354.72</v>
      </c>
      <c r="J8" s="31" t="n"/>
      <c r="K8" s="16" t="n"/>
      <c r="L8" s="16" t="n"/>
      <c r="M8" s="16" t="n"/>
      <c r="N8" s="16" t="n"/>
      <c r="O8" s="16" t="n"/>
      <c r="P8" s="16" t="n"/>
      <c r="Q8" s="31" t="n"/>
      <c r="R8" s="74" t="n"/>
      <c r="S8" s="149" t="n"/>
      <c r="T8" s="10" t="n"/>
      <c r="U8" s="74" t="n"/>
      <c r="V8" s="149" t="n"/>
      <c r="W8" s="75" t="n"/>
      <c r="X8" s="16" t="n"/>
      <c r="Y8" s="16" t="n"/>
      <c r="Z8" s="75" t="n"/>
      <c r="AA8" s="16" t="n"/>
      <c r="AB8" s="16" t="n"/>
      <c r="AC8" s="16" t="n"/>
      <c r="AD8" s="74" t="n"/>
      <c r="AE8" s="74" t="n"/>
      <c r="AF8" s="10" t="n"/>
      <c r="AH8" s="18">
        <f>SUM(B8:AF8)</f>
        <v/>
      </c>
      <c r="AI8" s="99" t="n"/>
      <c r="AL8" s="99" t="n"/>
    </row>
    <row r="9" ht="15.75" customHeight="1">
      <c r="A9" s="8" t="inlineStr">
        <is>
          <t xml:space="preserve">Wolverhampton Respite </t>
        </is>
      </c>
      <c r="B9" s="74" t="n"/>
      <c r="C9" s="10" t="n"/>
      <c r="F9" s="31" t="n"/>
      <c r="G9" s="31" t="n"/>
      <c r="H9" s="31" t="n"/>
      <c r="I9" s="31" t="n"/>
      <c r="J9" s="31" t="n"/>
      <c r="K9" s="31" t="n"/>
      <c r="L9" s="31" t="n"/>
      <c r="M9" s="31" t="n"/>
      <c r="N9" s="31" t="n"/>
      <c r="O9" s="31" t="n"/>
      <c r="P9" s="31" t="n"/>
      <c r="Q9" s="31" t="n"/>
      <c r="R9" s="12" t="n"/>
      <c r="S9" s="150" t="n"/>
      <c r="T9" s="12" t="n"/>
      <c r="U9" s="12" t="n"/>
      <c r="V9" s="150" t="n"/>
      <c r="W9" s="31" t="n"/>
      <c r="X9" s="31" t="n"/>
      <c r="Y9" s="31" t="n"/>
      <c r="Z9" s="75" t="n"/>
      <c r="AA9" s="75" t="n"/>
      <c r="AB9" s="75" t="n"/>
      <c r="AC9" s="16" t="n"/>
      <c r="AD9" s="74" t="n"/>
      <c r="AE9" s="74" t="n"/>
      <c r="AF9" s="74" t="n"/>
      <c r="AH9" s="18">
        <f>SUM(B9:AF9)</f>
        <v/>
      </c>
      <c r="AI9" s="99" t="n"/>
      <c r="AL9" s="99" t="n"/>
    </row>
    <row r="10" ht="15.75" customHeight="1">
      <c r="A10" s="8" t="inlineStr">
        <is>
          <t>Wolverhampton Daycare</t>
        </is>
      </c>
      <c r="B10" s="10" t="n"/>
      <c r="C10" s="10" t="n"/>
      <c r="F10" s="31" t="n"/>
      <c r="G10" s="75" t="n"/>
      <c r="H10" s="75" t="n"/>
      <c r="I10" s="16" t="n">
        <v>5800.66</v>
      </c>
      <c r="J10" s="31" t="n"/>
      <c r="K10" s="31" t="n">
        <v>6039.74</v>
      </c>
      <c r="L10" s="31" t="n"/>
      <c r="M10" s="75" t="n"/>
      <c r="N10" s="75" t="n"/>
      <c r="O10" s="75" t="n"/>
      <c r="P10" s="75" t="n"/>
      <c r="Q10" s="31" t="n"/>
      <c r="R10" s="31" t="n">
        <v>6039.74</v>
      </c>
      <c r="S10" s="151" t="n"/>
      <c r="T10" s="74" t="n"/>
      <c r="U10" s="74" t="n"/>
      <c r="V10" s="151" t="n"/>
      <c r="W10" s="75" t="n"/>
      <c r="X10" s="75" t="n"/>
      <c r="Y10" s="31" t="n"/>
      <c r="Z10" s="31">
        <f>5800*106.61%</f>
        <v/>
      </c>
      <c r="AA10" s="16" t="n"/>
      <c r="AB10" s="16" t="n"/>
      <c r="AC10" s="31" t="n"/>
      <c r="AD10" s="74" t="n"/>
      <c r="AE10" s="10" t="n"/>
      <c r="AF10" s="10" t="n"/>
      <c r="AH10" s="18">
        <f>SUM(B10:AF10)</f>
        <v/>
      </c>
      <c r="AI10" s="99" t="n"/>
      <c r="AL10" s="99" t="n"/>
    </row>
    <row r="11" ht="15.75" customHeight="1">
      <c r="A11" s="8" t="inlineStr">
        <is>
          <t>Walsall Respite</t>
        </is>
      </c>
      <c r="B11" s="74" t="n"/>
      <c r="C11" s="10" t="n"/>
      <c r="D11" s="10" t="n"/>
      <c r="E11" s="74" t="n"/>
      <c r="F11" s="75" t="n"/>
      <c r="G11" s="16" t="n"/>
      <c r="H11" s="31" t="n"/>
      <c r="I11" s="155">
        <f>282859.64-I21</f>
        <v/>
      </c>
      <c r="J11" s="16" t="n"/>
      <c r="K11" s="16" t="n"/>
      <c r="L11" s="75" t="n"/>
      <c r="M11" s="75" t="n"/>
      <c r="N11" s="16" t="n"/>
      <c r="O11" s="31" t="n"/>
      <c r="P11" s="75" t="n"/>
      <c r="Q11" s="31" t="n"/>
      <c r="R11" s="10" t="n"/>
      <c r="S11" s="151" t="n"/>
      <c r="T11" s="10" t="n"/>
      <c r="U11" s="10" t="n"/>
      <c r="V11" s="150" t="n"/>
      <c r="W11" s="16" t="n"/>
      <c r="X11" s="16" t="n"/>
      <c r="Y11" s="75" t="n"/>
      <c r="Z11" s="16" t="n"/>
      <c r="AA11" s="16" t="n"/>
      <c r="AB11" s="16" t="n"/>
      <c r="AC11" s="31" t="n"/>
      <c r="AD11" s="74" t="n"/>
      <c r="AE11" s="74" t="n"/>
      <c r="AF11" s="74" t="n"/>
      <c r="AH11" s="18">
        <f>SUM(B11:AF11)</f>
        <v/>
      </c>
      <c r="AI11" s="99" t="n"/>
      <c r="AL11" s="99" t="n"/>
    </row>
    <row r="12" ht="15.75" customHeight="1">
      <c r="A12" s="8" t="inlineStr">
        <is>
          <t>Walsall Daycare</t>
        </is>
      </c>
      <c r="B12" s="74" t="n"/>
      <c r="C12" s="10" t="n"/>
      <c r="D12" s="10" t="n"/>
      <c r="E12" s="74" t="n"/>
      <c r="F12" s="75" t="n"/>
      <c r="G12" s="16" t="n"/>
      <c r="H12" s="31" t="n"/>
      <c r="I12" s="16" t="n"/>
      <c r="J12" s="16" t="n"/>
      <c r="K12" s="16" t="n"/>
      <c r="L12" s="16" t="n"/>
      <c r="M12" s="16" t="n"/>
      <c r="N12" s="16" t="n"/>
      <c r="O12" s="16" t="n"/>
      <c r="P12" s="31" t="n"/>
      <c r="Q12" s="31" t="n"/>
      <c r="R12" s="12" t="n"/>
      <c r="S12" s="151" t="n"/>
      <c r="T12" s="74" t="n"/>
      <c r="U12" s="12" t="n"/>
      <c r="V12" s="150" t="n"/>
      <c r="W12" s="16" t="n"/>
      <c r="X12" s="16" t="n"/>
      <c r="Y12" s="16" t="n"/>
      <c r="Z12" s="16" t="n"/>
      <c r="AA12" s="16" t="n"/>
      <c r="AB12" s="16" t="n"/>
      <c r="AC12" s="31" t="n"/>
      <c r="AD12" s="74" t="n"/>
      <c r="AE12" s="74" t="n"/>
      <c r="AF12" s="10" t="n"/>
      <c r="AH12" s="18">
        <f>SUM(B12:AF12)</f>
        <v/>
      </c>
      <c r="AI12" s="99" t="n"/>
    </row>
    <row r="13" ht="18.75" customHeight="1">
      <c r="A13" s="8" t="inlineStr">
        <is>
          <t>Ideal for All Ltd</t>
        </is>
      </c>
      <c r="B13" s="74" t="n"/>
      <c r="C13" s="74" t="n"/>
      <c r="D13" s="74" t="n"/>
      <c r="E13" s="74" t="n"/>
      <c r="F13" s="75" t="n"/>
      <c r="G13" s="75" t="n"/>
      <c r="H13" s="31" t="n"/>
      <c r="I13" s="31" t="n">
        <v>3767.31</v>
      </c>
      <c r="J13" s="123" t="n"/>
      <c r="K13" s="31" t="n"/>
      <c r="L13" s="16" t="n"/>
      <c r="M13" s="16" t="n"/>
      <c r="N13" s="16" t="n"/>
      <c r="O13" s="31" t="n"/>
      <c r="P13" s="31" t="n"/>
      <c r="Q13" s="31" t="n"/>
      <c r="R13" s="10" t="n"/>
      <c r="S13" s="149" t="n"/>
      <c r="T13" s="10" t="n"/>
      <c r="U13" s="10" t="n"/>
      <c r="V13" s="150" t="n"/>
      <c r="W13" s="16" t="n"/>
      <c r="X13" s="16" t="n"/>
      <c r="Y13" s="31" t="n"/>
      <c r="Z13" s="75" t="n"/>
      <c r="AA13" s="75" t="n"/>
      <c r="AB13" s="75" t="n"/>
      <c r="AC13" s="16" t="n"/>
      <c r="AD13" s="10" t="n"/>
      <c r="AE13" s="74" t="n"/>
      <c r="AF13" s="74" t="n"/>
      <c r="AH13" s="18">
        <f>SUM(B13:AF13)</f>
        <v/>
      </c>
      <c r="AI13" s="99" t="n"/>
    </row>
    <row r="14" ht="15.75" customHeight="1">
      <c r="A14" s="8" t="inlineStr">
        <is>
          <t>KIRKLEES COUNCIL-204312-63046958</t>
        </is>
      </c>
      <c r="B14" s="74" t="n"/>
      <c r="C14" s="74" t="n"/>
      <c r="D14" s="10" t="n"/>
      <c r="E14" s="10" t="n"/>
      <c r="F14" s="16" t="n"/>
      <c r="G14" s="16" t="n"/>
      <c r="H14" s="31" t="n"/>
      <c r="I14" s="16" t="n"/>
      <c r="J14" s="16" t="n"/>
      <c r="K14" s="16" t="n"/>
      <c r="L14" s="31" t="n"/>
      <c r="M14" s="31" t="n"/>
      <c r="N14" s="75" t="n"/>
      <c r="O14" s="31" t="n"/>
      <c r="P14" s="31" t="n"/>
      <c r="Q14" s="31" t="n"/>
      <c r="S14" s="149" t="n"/>
      <c r="T14" s="74" t="n"/>
      <c r="U14" s="74" t="n"/>
      <c r="V14" s="150" t="n"/>
      <c r="W14" s="75" t="n"/>
      <c r="X14" s="16" t="n"/>
      <c r="Y14" s="31" t="n"/>
      <c r="Z14" s="16" t="n"/>
      <c r="AA14" s="16" t="n"/>
      <c r="AB14" s="16" t="n"/>
      <c r="AC14" s="31" t="n"/>
      <c r="AE14" s="10" t="n"/>
      <c r="AF14" s="12" t="n"/>
      <c r="AH14" s="18">
        <f>SUM(B14:AF14)</f>
        <v/>
      </c>
      <c r="AI14" s="99" t="n"/>
    </row>
    <row r="15" ht="15.75" customHeight="1">
      <c r="A15" s="8" t="inlineStr">
        <is>
          <t>LBH PAYMENTS BACS-602210-72430192</t>
        </is>
      </c>
      <c r="B15" s="74" t="n"/>
      <c r="C15" s="10" t="n"/>
      <c r="D15" s="74" t="n"/>
      <c r="E15" s="74" t="n"/>
      <c r="F15" s="75" t="n"/>
      <c r="G15" s="75" t="n"/>
      <c r="H15" s="31" t="n"/>
      <c r="I15" s="75" t="n"/>
      <c r="J15" s="75" t="n"/>
      <c r="K15" s="75" t="n"/>
      <c r="L15" s="75" t="n"/>
      <c r="M15" s="16" t="n"/>
      <c r="N15" s="16" t="n"/>
      <c r="O15" s="31" t="n"/>
      <c r="P15" s="31" t="n"/>
      <c r="Q15" s="31" t="n"/>
      <c r="S15" s="151" t="n"/>
      <c r="T15" s="74" t="n"/>
      <c r="U15" s="12" t="n"/>
      <c r="V15" s="150" t="n"/>
      <c r="W15" s="16" t="n"/>
      <c r="X15" s="31" t="n"/>
      <c r="Y15" s="31" t="n">
        <v>5203.8</v>
      </c>
      <c r="Z15" s="75" t="n"/>
      <c r="AA15" s="16" t="n"/>
      <c r="AB15" s="16" t="n"/>
      <c r="AC15" s="31" t="n"/>
      <c r="AE15" s="10" t="n"/>
      <c r="AF15" s="10" t="n"/>
      <c r="AH15" s="18">
        <f>SUM(B15:AF15)</f>
        <v/>
      </c>
      <c r="AI15" s="99" t="n"/>
    </row>
    <row r="16" ht="15.75" customHeight="1">
      <c r="A16" s="8" t="inlineStr">
        <is>
          <t>NHS BIRMINGHAM &amp; S-607080-10017097</t>
        </is>
      </c>
      <c r="B16" s="74" t="n"/>
      <c r="C16" s="74" t="n"/>
      <c r="D16" s="74" t="n"/>
      <c r="E16" s="10" t="n"/>
      <c r="F16" s="75" t="n"/>
      <c r="G16" s="16" t="n"/>
      <c r="H16" s="31" t="n"/>
      <c r="I16" s="75" t="n"/>
      <c r="J16" s="16" t="n"/>
      <c r="K16" s="75" t="n"/>
      <c r="L16" s="75" t="n"/>
      <c r="M16" s="75" t="n"/>
      <c r="N16" s="31" t="n"/>
      <c r="O16" s="31" t="n"/>
      <c r="P16" s="31" t="n"/>
      <c r="Q16" s="31" t="n"/>
      <c r="S16" s="150" t="n"/>
      <c r="T16" s="74" t="n"/>
      <c r="U16" s="12" t="n"/>
      <c r="V16" s="150" t="n"/>
      <c r="W16" s="75" t="n"/>
      <c r="X16" s="16" t="n"/>
      <c r="Y16" s="31" t="n"/>
      <c r="Z16" s="16" t="n"/>
      <c r="AA16" s="31" t="n"/>
      <c r="AB16" s="16" t="n"/>
      <c r="AC16" s="31" t="n"/>
      <c r="AE16" s="10" t="n"/>
      <c r="AF16" s="12" t="n"/>
      <c r="AH16" s="18">
        <f>SUM(B16:AF16)</f>
        <v/>
      </c>
      <c r="AI16" s="99" t="n"/>
    </row>
    <row r="17" ht="15.75" customHeight="1">
      <c r="A17" s="8" t="inlineStr">
        <is>
          <t>NHS BLACK COUNTRY-607080-10015272</t>
        </is>
      </c>
      <c r="B17" s="74" t="n"/>
      <c r="C17" s="74" t="n"/>
      <c r="D17" t="n">
        <v>3716</v>
      </c>
      <c r="E17" s="74" t="n"/>
      <c r="F17" s="75" t="n"/>
      <c r="G17" s="75" t="n"/>
      <c r="H17" s="31" t="n"/>
      <c r="I17" s="75" t="n"/>
      <c r="J17" s="75" t="n"/>
      <c r="K17" s="31" t="n">
        <v>3304.8</v>
      </c>
      <c r="L17" s="75" t="n"/>
      <c r="M17" s="31" t="n"/>
      <c r="N17" s="75" t="n"/>
      <c r="O17" s="31" t="n"/>
      <c r="P17" s="31" t="n">
        <v>17364.38</v>
      </c>
      <c r="Q17" s="31" t="n"/>
      <c r="R17" t="n">
        <v>2261.76</v>
      </c>
      <c r="S17" s="150" t="n"/>
      <c r="T17" s="74" t="n"/>
      <c r="U17" s="74" t="n"/>
      <c r="V17" s="150" t="n"/>
      <c r="W17" s="75" t="n"/>
      <c r="X17" s="16" t="n"/>
      <c r="Y17" s="31" t="n"/>
      <c r="Z17" s="75" t="n"/>
      <c r="AA17" s="31" t="n"/>
      <c r="AB17" s="31" t="n"/>
      <c r="AC17" s="31" t="n"/>
      <c r="AF17" s="74" t="n"/>
      <c r="AG17" s="12" t="n"/>
      <c r="AH17" s="18">
        <f>SUM(B17:AF17)</f>
        <v/>
      </c>
      <c r="AI17" s="99" t="n"/>
    </row>
    <row r="18" ht="15.75" customHeight="1">
      <c r="A18" s="14" t="inlineStr">
        <is>
          <t>SANDWELL MBC  BEN-601539-69624151</t>
        </is>
      </c>
      <c r="B18" s="74" t="n"/>
      <c r="C18" s="10" t="n"/>
      <c r="E18" s="10" t="n"/>
      <c r="F18" s="75" t="n"/>
      <c r="G18" s="75" t="n"/>
      <c r="H18" s="31" t="n"/>
      <c r="I18" s="16" t="n"/>
      <c r="J18" s="31" t="n"/>
      <c r="K18" s="31" t="n"/>
      <c r="M18" s="31" t="n"/>
      <c r="N18" s="75" t="n"/>
      <c r="O18" t="n">
        <v>2660</v>
      </c>
      <c r="P18" s="31" t="n"/>
      <c r="Q18" s="31" t="n"/>
      <c r="R18" s="74" t="n"/>
      <c r="S18" s="149" t="n"/>
      <c r="T18" s="10" t="n"/>
      <c r="U18" s="10" t="n"/>
      <c r="V18" s="150" t="n"/>
      <c r="W18" s="75" t="n"/>
      <c r="X18" s="16" t="n"/>
      <c r="Y18" s="31" t="n"/>
      <c r="Z18" s="16" t="n"/>
      <c r="AA18" s="16" t="n"/>
      <c r="AB18" s="16" t="n"/>
      <c r="AC18" s="16" t="n"/>
      <c r="AD18" s="74" t="n"/>
      <c r="AE18" s="74" t="n"/>
      <c r="AF18" s="74" t="n"/>
      <c r="AH18" s="18">
        <f>SUM(B18:AF18)</f>
        <v/>
      </c>
      <c r="AI18" s="99" t="n"/>
    </row>
    <row r="19" ht="15.75" customHeight="1">
      <c r="A19" s="14" t="inlineStr">
        <is>
          <t>SANDWELL MBC-601539-69624135</t>
        </is>
      </c>
      <c r="B19" s="10" t="n"/>
      <c r="C19" s="74" t="n"/>
      <c r="E19" t="n">
        <v>3040</v>
      </c>
      <c r="F19" s="100" t="n"/>
      <c r="G19" s="16" t="n"/>
      <c r="H19" s="75" t="n"/>
      <c r="I19" s="16" t="n"/>
      <c r="J19" s="31" t="n">
        <v>7442.08</v>
      </c>
      <c r="K19" s="75" t="n"/>
      <c r="L19" s="31" t="n">
        <v>2665.6</v>
      </c>
      <c r="M19" s="31" t="n"/>
      <c r="N19" s="31" t="n"/>
      <c r="O19" s="75" t="n">
        <v>138489.36</v>
      </c>
      <c r="P19" s="31" t="n"/>
      <c r="Q19" s="31" t="n"/>
      <c r="R19" s="12" t="n"/>
      <c r="S19" s="149" t="n"/>
      <c r="T19" s="108" t="n"/>
      <c r="U19" s="10" t="n"/>
      <c r="V19" s="150" t="n"/>
      <c r="W19" s="75" t="n"/>
      <c r="X19" s="16" t="n"/>
      <c r="Y19" s="31" t="n"/>
      <c r="Z19" s="75" t="n"/>
      <c r="AA19" s="16" t="n"/>
      <c r="AB19" s="31" t="n"/>
      <c r="AC19" s="31" t="n">
        <v>134813.36</v>
      </c>
      <c r="AD19" s="12" t="n"/>
      <c r="AE19" s="74" t="n"/>
      <c r="AF19" s="74" t="n"/>
      <c r="AH19" s="18">
        <f>SUM(B19:AF19)</f>
        <v/>
      </c>
      <c r="AI19" s="99" t="n"/>
    </row>
    <row r="20" ht="15.75" customHeight="1">
      <c r="A20" s="15" t="inlineStr">
        <is>
          <t>SOLIHULL MBC EXP.-200771-00561525</t>
        </is>
      </c>
      <c r="B20" s="74" t="n"/>
      <c r="C20" s="74" t="n"/>
      <c r="E20" s="74" t="n"/>
      <c r="F20" s="75" t="n"/>
      <c r="G20" s="75" t="n"/>
      <c r="H20" s="75" t="n"/>
      <c r="I20" s="16" t="n"/>
      <c r="J20" s="75" t="n"/>
      <c r="K20" s="75" t="n"/>
      <c r="L20" s="75" t="n"/>
      <c r="M20" s="31" t="n"/>
      <c r="N20" s="75" t="n"/>
      <c r="O20" s="31" t="n"/>
      <c r="P20" s="31" t="n"/>
      <c r="Q20" s="31" t="n"/>
      <c r="R20" s="74" t="n"/>
      <c r="S20" s="151" t="n"/>
      <c r="T20" s="74" t="n"/>
      <c r="U20" s="74" t="n"/>
      <c r="V20" s="150" t="n"/>
      <c r="W20" s="75" t="n"/>
      <c r="X20" s="161" t="n">
        <v>32521.02</v>
      </c>
      <c r="Y20" s="31" t="n"/>
      <c r="Z20" s="75" t="n"/>
      <c r="AA20" s="75" t="n"/>
      <c r="AB20" s="31" t="n"/>
      <c r="AC20" s="31" t="n"/>
      <c r="AD20" s="74" t="n"/>
      <c r="AE20" s="74" t="n"/>
      <c r="AF20" s="74" t="n"/>
      <c r="AH20" s="18">
        <f>SUM(B20:AF20)</f>
        <v/>
      </c>
      <c r="AI20" s="99" t="n"/>
    </row>
    <row r="21" ht="15.75" customHeight="1">
      <c r="A21" s="15" t="inlineStr">
        <is>
          <t>WALSALL MBC BARC-209073-10731692</t>
        </is>
      </c>
      <c r="B21" s="10" t="n"/>
      <c r="C21" s="74" t="n"/>
      <c r="E21" s="74" t="n"/>
      <c r="F21" s="75" t="n"/>
      <c r="G21" s="75" t="n"/>
      <c r="H21" s="75" t="n"/>
      <c r="I21" s="75" t="n">
        <v>252792.44</v>
      </c>
      <c r="J21" s="75" t="n"/>
      <c r="K21" s="75" t="n"/>
      <c r="L21" s="75" t="n"/>
      <c r="M21" s="75" t="n"/>
      <c r="N21" s="31" t="n"/>
      <c r="O21" s="31" t="n"/>
      <c r="P21" s="31" t="n"/>
      <c r="Q21" s="31" t="n"/>
      <c r="R21">
        <f>3040+2577.44</f>
        <v/>
      </c>
      <c r="S21" s="151" t="n"/>
      <c r="T21" s="74" t="n"/>
      <c r="U21" s="12" t="n"/>
      <c r="V21" s="149" t="n"/>
      <c r="W21" s="75" t="n"/>
      <c r="X21" s="16" t="n"/>
      <c r="Y21" s="31" t="n"/>
      <c r="Z21" s="75" t="n"/>
      <c r="AA21" s="75" t="n"/>
      <c r="AB21" s="75" t="n"/>
      <c r="AC21" s="75" t="n"/>
      <c r="AD21" s="74" t="n"/>
      <c r="AE21" s="74" t="n"/>
      <c r="AF21" s="74" t="n"/>
      <c r="AH21" s="18">
        <f>SUM(B21:AF21)</f>
        <v/>
      </c>
    </row>
    <row r="22" ht="15.75" customHeight="1">
      <c r="A22" s="15" t="inlineStr">
        <is>
          <t>WOLVERHAMPTON CC-560069-44470320</t>
        </is>
      </c>
      <c r="B22" s="16" t="n"/>
      <c r="C22" s="16" t="n"/>
      <c r="E22" t="n">
        <v>2267.2</v>
      </c>
      <c r="F22" s="31" t="n"/>
      <c r="G22" s="75" t="n"/>
      <c r="H22" s="31" t="n"/>
      <c r="I22" s="75">
        <f>120345.86-I10</f>
        <v/>
      </c>
      <c r="J22" s="31" t="n"/>
      <c r="K22" s="75">
        <f>130903.32-K10</f>
        <v/>
      </c>
      <c r="L22" s="31" t="n"/>
      <c r="M22" s="75" t="n"/>
      <c r="N22" s="31" t="n"/>
      <c r="O22" s="31" t="n"/>
      <c r="P22" s="16" t="n"/>
      <c r="Q22" s="16" t="n"/>
      <c r="R22" s="75">
        <f>130591.82-R10</f>
        <v/>
      </c>
      <c r="S22" s="149" t="n"/>
      <c r="T22" s="74" t="n"/>
      <c r="U22" s="12" t="n"/>
      <c r="V22" s="151" t="n"/>
      <c r="W22" s="75" t="n"/>
      <c r="X22" s="16" t="n"/>
      <c r="Y22" s="31" t="n"/>
      <c r="Z22" s="31">
        <f>130591.82-Z10</f>
        <v/>
      </c>
      <c r="AA22" s="75" t="n"/>
      <c r="AB22" s="31" t="n"/>
      <c r="AC22" s="31" t="n">
        <v>11047.14</v>
      </c>
      <c r="AD22" s="10" t="n"/>
      <c r="AE22" s="10" t="n"/>
      <c r="AF22" s="74" t="n"/>
      <c r="AH22" s="18">
        <f>SUM(B22:AF22)</f>
        <v/>
      </c>
    </row>
    <row r="23" ht="15.75" customHeight="1">
      <c r="A23" s="15" t="inlineStr">
        <is>
          <t>People Plus</t>
        </is>
      </c>
      <c r="B23" s="16" t="n"/>
      <c r="C23" s="75" t="n"/>
      <c r="E23" t="n">
        <v>4221</v>
      </c>
      <c r="F23" s="31" t="n"/>
      <c r="G23" s="75" t="n"/>
      <c r="H23" s="75" t="n"/>
      <c r="I23" s="31" t="n">
        <v>1640</v>
      </c>
      <c r="J23" s="75" t="n"/>
      <c r="K23" s="31" t="n">
        <v>1845</v>
      </c>
      <c r="L23" s="31" t="n">
        <v>4402.6</v>
      </c>
      <c r="M23" s="31" t="n"/>
      <c r="N23" s="75" t="n"/>
      <c r="O23" s="31" t="n"/>
      <c r="P23" s="31" t="n"/>
      <c r="Q23" s="31" t="n"/>
      <c r="R23" s="74" t="n"/>
      <c r="S23" s="149" t="n"/>
      <c r="T23" s="12" t="n"/>
      <c r="U23" s="12" t="n"/>
      <c r="V23" s="150" t="n"/>
      <c r="W23" s="75" t="n"/>
      <c r="X23" s="31" t="n"/>
      <c r="Y23" s="31" t="n"/>
      <c r="Z23" s="75" t="n"/>
      <c r="AA23" s="31" t="n"/>
      <c r="AB23" s="75" t="n"/>
      <c r="AC23" s="31" t="n"/>
      <c r="AE23" s="74" t="n"/>
      <c r="AF23" s="74" t="n"/>
      <c r="AH23" s="18">
        <f>SUM(B23:AF23)</f>
        <v/>
      </c>
      <c r="AI23" s="99" t="n"/>
    </row>
    <row r="24" ht="15.75" customHeight="1">
      <c r="A24" s="15" t="inlineStr">
        <is>
          <t xml:space="preserve">Middlesbrough council </t>
        </is>
      </c>
      <c r="B24" s="16" t="n"/>
      <c r="C24" s="75" t="n"/>
      <c r="E24" s="75" t="n"/>
      <c r="F24" s="75" t="n"/>
      <c r="G24" s="31" t="n"/>
      <c r="H24" s="31" t="n"/>
      <c r="I24" s="16" t="n"/>
      <c r="J24" s="75" t="n"/>
      <c r="K24" s="31" t="n"/>
      <c r="L24" s="75" t="n"/>
      <c r="M24" s="75" t="n"/>
      <c r="N24" s="75" t="n"/>
      <c r="O24" s="31" t="n"/>
      <c r="P24" s="75" t="n"/>
      <c r="Q24" s="31" t="n"/>
      <c r="R24" s="74" t="n"/>
      <c r="S24" s="149" t="n"/>
      <c r="U24" s="12" t="n"/>
      <c r="V24" s="150" t="n"/>
      <c r="W24" s="31" t="n"/>
      <c r="X24" s="75" t="n"/>
      <c r="Y24" s="31" t="n"/>
      <c r="Z24" s="31" t="n"/>
      <c r="AA24" s="75" t="n"/>
      <c r="AB24" s="75" t="n"/>
      <c r="AC24" s="31" t="n"/>
      <c r="AE24" s="74" t="n"/>
      <c r="AF24" s="12" t="n"/>
      <c r="AH24" s="18">
        <f>SUM(B24:AF24)</f>
        <v/>
      </c>
      <c r="AI24" s="99" t="n"/>
    </row>
    <row r="25" ht="15.75" customHeight="1">
      <c r="A25" s="15" t="inlineStr">
        <is>
          <t>West  Northamptonshire Council</t>
        </is>
      </c>
      <c r="B25" s="16" t="n"/>
      <c r="C25" s="75" t="n"/>
      <c r="D25" s="75" t="n"/>
      <c r="E25" s="75" t="n"/>
      <c r="F25" s="75" t="n"/>
      <c r="G25" s="31" t="n"/>
      <c r="H25" s="31" t="n"/>
      <c r="I25" s="16" t="n"/>
      <c r="J25" s="75" t="n"/>
      <c r="K25" s="75" t="n"/>
      <c r="L25" s="75" t="n"/>
      <c r="M25" s="75" t="n"/>
      <c r="N25" s="75" t="n"/>
      <c r="O25" s="75" t="n"/>
      <c r="P25" s="75" t="n"/>
      <c r="Q25" s="75" t="n"/>
      <c r="R25" s="74" t="n"/>
      <c r="S25" s="151" t="n"/>
      <c r="T25" s="74" t="n"/>
      <c r="U25" s="12" t="n"/>
      <c r="V25" s="150" t="n"/>
      <c r="W25" s="31" t="n"/>
      <c r="X25" s="75" t="n"/>
      <c r="Y25" s="31" t="n"/>
      <c r="Z25" s="31" t="n"/>
      <c r="AA25" s="75" t="n"/>
      <c r="AB25" s="75" t="n"/>
      <c r="AC25" s="75" t="n"/>
      <c r="AD25" s="10" t="n"/>
      <c r="AE25" s="74" t="n"/>
      <c r="AF25" s="74" t="n"/>
      <c r="AH25" s="18">
        <f>SUM(B25:AF25)</f>
        <v/>
      </c>
      <c r="AI25" s="99" t="n"/>
    </row>
    <row r="26" ht="15.75" customHeight="1">
      <c r="A26" s="15" t="inlineStr">
        <is>
          <t>CHASING</t>
        </is>
      </c>
      <c r="B26" s="75" t="n"/>
      <c r="C26" s="75" t="n"/>
      <c r="D26" s="75" t="n"/>
      <c r="E26" s="75" t="n"/>
      <c r="F26" s="31" t="n"/>
      <c r="G26" s="31" t="n"/>
      <c r="H26" s="31" t="n"/>
      <c r="I26" s="75" t="n"/>
      <c r="J26" s="75" t="n"/>
      <c r="K26" s="75" t="n"/>
      <c r="L26" s="75" t="n"/>
      <c r="M26" s="31" t="n"/>
      <c r="N26" s="75" t="n"/>
      <c r="O26" s="75" t="n"/>
      <c r="P26" s="75" t="n"/>
      <c r="Q26" s="75" t="n"/>
      <c r="R26" s="12" t="n"/>
      <c r="S26" s="158" t="n"/>
      <c r="T26" s="75" t="n"/>
      <c r="U26" s="31" t="n"/>
      <c r="V26" s="159" t="n"/>
      <c r="W26" s="75" t="n">
        <v>7318.08</v>
      </c>
      <c r="X26" s="31" t="n"/>
      <c r="Y26" s="75" t="n"/>
      <c r="Z26" s="75" t="n"/>
      <c r="AA26" s="75" t="n"/>
      <c r="AB26" s="75" t="n"/>
      <c r="AC26" s="31" t="n">
        <v>4878.72</v>
      </c>
      <c r="AD26" s="75" t="n">
        <v>3833.28</v>
      </c>
      <c r="AE26" s="75" t="n"/>
      <c r="AF26" s="75" t="n"/>
      <c r="AH26" s="18">
        <f>SUM(B26:AF26)</f>
        <v/>
      </c>
      <c r="AI26" s="99" t="n"/>
    </row>
    <row r="27" ht="15.75" customHeight="1">
      <c r="A27" s="15" t="inlineStr">
        <is>
          <t>HB SC</t>
        </is>
      </c>
      <c r="B27" s="75" t="n">
        <v>5286.93</v>
      </c>
      <c r="C27" s="75" t="n">
        <v>836.36</v>
      </c>
      <c r="D27" s="75" t="n">
        <v>1641.66</v>
      </c>
      <c r="E27" s="75" t="n">
        <v>4897.77</v>
      </c>
      <c r="F27" s="75" t="n">
        <v>0</v>
      </c>
      <c r="G27" s="75" t="n">
        <v>200</v>
      </c>
      <c r="H27" s="75" t="n">
        <v>4755.76</v>
      </c>
      <c r="I27" s="75" t="n">
        <v>1508.649999999992</v>
      </c>
      <c r="J27" s="75" t="n">
        <v>2763.58</v>
      </c>
      <c r="K27" s="75" t="n">
        <v>1539.860000000003</v>
      </c>
      <c r="L27" s="75" t="n">
        <v>4891.49</v>
      </c>
      <c r="M27" s="75" t="n">
        <v>240</v>
      </c>
      <c r="N27" s="75" t="n">
        <v>407.69</v>
      </c>
      <c r="O27" s="75" t="n">
        <v>3824.399999999994</v>
      </c>
      <c r="P27" s="75" t="n">
        <v>3296.84</v>
      </c>
      <c r="Q27" s="75" t="n">
        <v>3603.67</v>
      </c>
      <c r="R27" s="75" t="n">
        <v>6552.980000000021</v>
      </c>
      <c r="S27" s="31" t="n">
        <v>411.67</v>
      </c>
      <c r="T27" s="75" t="n">
        <v>0</v>
      </c>
      <c r="U27" s="75" t="n">
        <v>200</v>
      </c>
      <c r="V27" s="75" t="n">
        <v>1258.92</v>
      </c>
      <c r="W27" s="75" t="n">
        <v>17925.68</v>
      </c>
      <c r="X27" s="75" t="n">
        <v>2908.34</v>
      </c>
      <c r="Y27" s="75">
        <f>6184.48-Y15</f>
        <v/>
      </c>
      <c r="Z27" s="75" t="n">
        <v>4317.960000000021</v>
      </c>
      <c r="AA27" s="75" t="n">
        <v>345</v>
      </c>
      <c r="AB27" s="75" t="n">
        <v>590</v>
      </c>
      <c r="AC27" s="75" t="n">
        <v>6675.909999999974</v>
      </c>
      <c r="AD27" s="75" t="n">
        <v>2245.680000000014</v>
      </c>
      <c r="AE27" s="75" t="n">
        <v>8256.17</v>
      </c>
      <c r="AF27" s="75" t="n"/>
      <c r="AH27" s="18">
        <f>SUM(B27:AF27)</f>
        <v/>
      </c>
      <c r="AI27" s="99" t="n"/>
    </row>
    <row r="28" ht="16.5" customHeight="1" thickBot="1">
      <c r="A28" s="15" t="inlineStr">
        <is>
          <t xml:space="preserve">Total </t>
        </is>
      </c>
      <c r="B28" s="124">
        <f>SUM(B6:B27)</f>
        <v/>
      </c>
      <c r="C28" s="124">
        <f>SUM(C6:C27)</f>
        <v/>
      </c>
      <c r="D28" s="124">
        <f>SUM(D6:D27)</f>
        <v/>
      </c>
      <c r="E28" s="124">
        <f>SUM(E6:E27)</f>
        <v/>
      </c>
      <c r="F28" s="125">
        <f>SUM(F6:F27)</f>
        <v/>
      </c>
      <c r="G28" s="125">
        <f>SUM(G6:G27)</f>
        <v/>
      </c>
      <c r="H28" s="125">
        <f>SUM(H6:H27)</f>
        <v/>
      </c>
      <c r="I28" s="125">
        <f>SUM(I6:I27)</f>
        <v/>
      </c>
      <c r="J28" s="125">
        <f>SUM(J6:J27)</f>
        <v/>
      </c>
      <c r="K28" s="125">
        <f>SUM(K6:K27)</f>
        <v/>
      </c>
      <c r="L28" s="125">
        <f>SUM(L6:L27)</f>
        <v/>
      </c>
      <c r="M28" s="125">
        <f>SUM(M6:M27)</f>
        <v/>
      </c>
      <c r="N28" s="125">
        <f>SUM(N6:N27)</f>
        <v/>
      </c>
      <c r="O28" s="125">
        <f>SUM(O6:O27)</f>
        <v/>
      </c>
      <c r="P28" s="125">
        <f>SUM(P6:P27)</f>
        <v/>
      </c>
      <c r="Q28" s="125">
        <f>SUM(Q6:Q27)</f>
        <v/>
      </c>
      <c r="R28" s="125">
        <f>SUM(R6:R27)</f>
        <v/>
      </c>
      <c r="S28" s="125">
        <f>SUM(S6:S27)</f>
        <v/>
      </c>
      <c r="T28" s="125">
        <f>SUM(T6:T27)</f>
        <v/>
      </c>
      <c r="U28" s="125">
        <f>SUM(U6:U27)</f>
        <v/>
      </c>
      <c r="V28" s="125">
        <f>SUM(V6:V27)</f>
        <v/>
      </c>
      <c r="W28" s="125">
        <f>SUM(W6:W27)</f>
        <v/>
      </c>
      <c r="X28" s="125">
        <f>SUM(X6:X27)</f>
        <v/>
      </c>
      <c r="Y28" s="125">
        <f>SUM(Y6:Y27)</f>
        <v/>
      </c>
      <c r="Z28" s="125">
        <f>SUM(Z6:Z27)</f>
        <v/>
      </c>
      <c r="AA28" s="125">
        <f>SUM(AA6:AA27)</f>
        <v/>
      </c>
      <c r="AB28" s="125">
        <f>SUM(AB6:AB27)</f>
        <v/>
      </c>
      <c r="AC28" s="125">
        <f>SUM(AC6:AC27)</f>
        <v/>
      </c>
      <c r="AD28" s="125">
        <f>SUM(AD6:AD27)</f>
        <v/>
      </c>
      <c r="AE28" s="125">
        <f>SUM(AE6:AE27)</f>
        <v/>
      </c>
      <c r="AF28" s="125">
        <f>SUM(AF6:AF27)</f>
        <v/>
      </c>
      <c r="AG28" s="124" t="n"/>
      <c r="AH28" s="126">
        <f>SUM(AH4:AH27)</f>
        <v/>
      </c>
    </row>
    <row r="29" ht="16.5" customHeight="1" thickBot="1" thickTop="1">
      <c r="A29" s="15" t="inlineStr">
        <is>
          <t>Running Total</t>
        </is>
      </c>
      <c r="B29" s="127">
        <f>B28</f>
        <v/>
      </c>
      <c r="C29" s="127">
        <f>C28+B29</f>
        <v/>
      </c>
      <c r="D29" s="127">
        <f>D28+C29</f>
        <v/>
      </c>
      <c r="E29" s="127">
        <f>E28+D29</f>
        <v/>
      </c>
      <c r="F29" s="128">
        <f>F28+E29</f>
        <v/>
      </c>
      <c r="G29" s="128">
        <f>G28+F29</f>
        <v/>
      </c>
      <c r="H29" s="128">
        <f>H28+G29</f>
        <v/>
      </c>
      <c r="I29" s="128">
        <f>I28+H29</f>
        <v/>
      </c>
      <c r="J29" s="128">
        <f>J28+I29</f>
        <v/>
      </c>
      <c r="K29" s="128">
        <f>K28+J29</f>
        <v/>
      </c>
      <c r="L29" s="128">
        <f>L28+K29</f>
        <v/>
      </c>
      <c r="M29" s="128">
        <f>M28+L29</f>
        <v/>
      </c>
      <c r="N29" s="128">
        <f>N28+M29</f>
        <v/>
      </c>
      <c r="O29" s="128">
        <f>O28+N29</f>
        <v/>
      </c>
      <c r="P29" s="128">
        <f>P28+O29</f>
        <v/>
      </c>
      <c r="Q29" s="128">
        <f>Q28+P29</f>
        <v/>
      </c>
      <c r="R29" s="128">
        <f>R28+Q29</f>
        <v/>
      </c>
      <c r="S29" s="128">
        <f>S28+R29</f>
        <v/>
      </c>
      <c r="T29" s="128">
        <f>T28+S29</f>
        <v/>
      </c>
      <c r="U29" s="128">
        <f>U28+T29</f>
        <v/>
      </c>
      <c r="V29" s="128">
        <f>V28+U29</f>
        <v/>
      </c>
      <c r="W29" s="128">
        <f>W28+V29</f>
        <v/>
      </c>
      <c r="X29" s="128">
        <f>X28+W29</f>
        <v/>
      </c>
      <c r="Y29" s="128">
        <f>Y28+X29</f>
        <v/>
      </c>
      <c r="Z29" s="128">
        <f>Z28+Y29</f>
        <v/>
      </c>
      <c r="AA29" s="128">
        <f>AA28+Z29</f>
        <v/>
      </c>
      <c r="AB29" s="128">
        <f>AB28+AA29</f>
        <v/>
      </c>
      <c r="AC29" s="128">
        <f>AC28+AB29</f>
        <v/>
      </c>
      <c r="AD29" s="128">
        <f>AD28+AC29</f>
        <v/>
      </c>
      <c r="AE29" s="128">
        <f>AE28+AD29</f>
        <v/>
      </c>
      <c r="AF29" s="128">
        <f>AF28+AE29</f>
        <v/>
      </c>
      <c r="AG29" s="127" t="n"/>
      <c r="AH29" s="25" t="n"/>
    </row>
    <row r="30" ht="15.75" customHeight="1" thickTop="1"/>
    <row r="32">
      <c r="C32" t="inlineStr">
        <is>
          <t>Frequency</t>
        </is>
      </c>
      <c r="E32" t="inlineStr">
        <is>
          <t>Daycare</t>
        </is>
      </c>
      <c r="F32" t="inlineStr">
        <is>
          <t>% Increase</t>
        </is>
      </c>
    </row>
    <row r="33">
      <c r="A33" s="130" t="n">
        <v>45748</v>
      </c>
      <c r="B33" s="131" t="inlineStr">
        <is>
          <t xml:space="preserve">Birmingham </t>
        </is>
      </c>
      <c r="C33" s="132" t="inlineStr">
        <is>
          <t>4 weeks</t>
        </is>
      </c>
      <c r="D33" s="253" t="n">
        <v>21.42</v>
      </c>
      <c r="F33" s="99" t="n">
        <v>0.0801</v>
      </c>
    </row>
    <row r="34">
      <c r="B34" s="131" t="inlineStr">
        <is>
          <t>Sandwell</t>
        </is>
      </c>
      <c r="C34" s="132" t="inlineStr">
        <is>
          <t>2 weeks</t>
        </is>
      </c>
      <c r="D34" s="253" t="n">
        <v>20.6</v>
      </c>
      <c r="E34" s="99" t="n">
        <v>0.0835</v>
      </c>
      <c r="F34" s="99" t="n">
        <v>0.08193</v>
      </c>
    </row>
    <row r="35">
      <c r="B35" s="133" t="inlineStr">
        <is>
          <t>Walsall</t>
        </is>
      </c>
      <c r="C35" s="134" t="inlineStr">
        <is>
          <t>4 weeks</t>
        </is>
      </c>
      <c r="D35" s="253" t="n">
        <v>20.6</v>
      </c>
      <c r="E35" s="99" t="n">
        <v>0.1294</v>
      </c>
      <c r="F35" s="99" t="n">
        <v>0.1294</v>
      </c>
    </row>
    <row r="36">
      <c r="B36" s="135" t="inlineStr">
        <is>
          <t>Wolverhampton</t>
        </is>
      </c>
      <c r="C36" s="136" t="inlineStr">
        <is>
          <t>1 week</t>
        </is>
      </c>
      <c r="D36" s="253" t="n">
        <v>20.64</v>
      </c>
      <c r="F36" s="99" t="n">
        <v>0.06610000000000001</v>
      </c>
    </row>
    <row r="37">
      <c r="B37" s="137" t="inlineStr">
        <is>
          <t xml:space="preserve">Buckinghamshire </t>
        </is>
      </c>
      <c r="C37" t="inlineStr">
        <is>
          <t>4 weeks</t>
        </is>
      </c>
      <c r="D37" s="253" t="n"/>
      <c r="F37" s="99" t="n"/>
    </row>
    <row r="38">
      <c r="B38" s="133" t="inlineStr">
        <is>
          <t>Hillingdon</t>
        </is>
      </c>
      <c r="C38" s="134" t="inlineStr">
        <is>
          <t>4 weeks</t>
        </is>
      </c>
      <c r="D38" s="253" t="n"/>
      <c r="F38" s="99" t="n"/>
    </row>
    <row r="39">
      <c r="B39" s="131" t="inlineStr">
        <is>
          <t>Kirklees</t>
        </is>
      </c>
      <c r="C39" s="132" t="inlineStr">
        <is>
          <t>4 weeks</t>
        </is>
      </c>
      <c r="D39" s="253" t="n"/>
      <c r="F39" s="99" t="n"/>
    </row>
    <row r="40">
      <c r="B40" s="131" t="inlineStr">
        <is>
          <t>solihull</t>
        </is>
      </c>
      <c r="C40" s="132" t="inlineStr">
        <is>
          <t xml:space="preserve">4 weeks </t>
        </is>
      </c>
      <c r="D40" s="253" t="n"/>
      <c r="F40" s="99" t="n"/>
    </row>
    <row r="41">
      <c r="B41" s="138" t="inlineStr">
        <is>
          <t>Ideal 4 All</t>
        </is>
      </c>
      <c r="C41" s="139" t="inlineStr">
        <is>
          <t>4 weeks</t>
        </is>
      </c>
      <c r="F41" s="99" t="n"/>
    </row>
    <row r="42">
      <c r="B42" t="inlineStr">
        <is>
          <t>Sand CCG</t>
        </is>
      </c>
      <c r="C42" t="inlineStr">
        <is>
          <t>4 weeks</t>
        </is>
      </c>
      <c r="F42" s="99" t="n"/>
    </row>
    <row r="43">
      <c r="B43" s="140" t="inlineStr">
        <is>
          <t>Wolves CCG</t>
        </is>
      </c>
      <c r="C43" s="141" t="inlineStr">
        <is>
          <t>4 weeks</t>
        </is>
      </c>
      <c r="F43" s="99" t="n"/>
    </row>
    <row r="44">
      <c r="B44" s="142" t="inlineStr">
        <is>
          <t xml:space="preserve">Portsmouth </t>
        </is>
      </c>
      <c r="C44" s="143" t="inlineStr">
        <is>
          <t>4 weeks</t>
        </is>
      </c>
      <c r="F44" s="99" t="n"/>
    </row>
    <row r="45">
      <c r="B45" t="inlineStr">
        <is>
          <t>Birm CCG</t>
        </is>
      </c>
      <c r="F45" s="99" t="n"/>
    </row>
    <row r="46">
      <c r="B46" s="144" t="inlineStr">
        <is>
          <t>Middlesbrough</t>
        </is>
      </c>
      <c r="C46" t="inlineStr">
        <is>
          <t>4 weeks</t>
        </is>
      </c>
      <c r="F46" s="99" t="n"/>
    </row>
    <row r="47">
      <c r="B47" s="145" t="inlineStr">
        <is>
          <t>People Plus</t>
        </is>
      </c>
      <c r="C47" t="inlineStr">
        <is>
          <t>4 weeks</t>
        </is>
      </c>
      <c r="F47" s="99" t="n"/>
    </row>
    <row r="48">
      <c r="B48" s="146" t="inlineStr">
        <is>
          <t>DUDLEY</t>
        </is>
      </c>
      <c r="O48" s="160" t="n"/>
    </row>
    <row r="49">
      <c r="B49" s="147" t="inlineStr">
        <is>
          <t>WEST NORTHANTS</t>
        </is>
      </c>
      <c r="C49" t="inlineStr">
        <is>
          <t>4 Weeks</t>
        </is>
      </c>
    </row>
    <row r="50">
      <c r="E50" t="inlineStr">
        <is>
          <t>Average</t>
        </is>
      </c>
      <c r="F50" s="98">
        <f>AVERAGE(F33:F47)</f>
        <v/>
      </c>
    </row>
    <row r="52">
      <c r="A52" t="inlineStr">
        <is>
          <t>CHASING</t>
        </is>
      </c>
    </row>
    <row r="53">
      <c r="A53" s="15" t="inlineStr">
        <is>
          <t>Birmingham</t>
        </is>
      </c>
    </row>
    <row r="54">
      <c r="A54" s="15" t="inlineStr">
        <is>
          <t>Sandwell</t>
        </is>
      </c>
      <c r="B54" t="n">
        <v>9237.120000000001</v>
      </c>
    </row>
    <row r="55">
      <c r="A55" s="15" t="inlineStr">
        <is>
          <t>NHS Black country</t>
        </is>
      </c>
    </row>
    <row r="56">
      <c r="A56" s="15" t="inlineStr">
        <is>
          <t>NHS Black Country TRUST</t>
        </is>
      </c>
      <c r="B56" t="n">
        <v>10275.77</v>
      </c>
    </row>
    <row r="57">
      <c r="A57" s="15" t="inlineStr">
        <is>
          <t xml:space="preserve">NHS Birmingham </t>
        </is>
      </c>
    </row>
    <row r="58">
      <c r="A58" s="15" t="inlineStr">
        <is>
          <t>Wolverhampton</t>
        </is>
      </c>
      <c r="B58" s="25">
        <f>17739.29-W26</f>
        <v/>
      </c>
    </row>
    <row r="59">
      <c r="A59" s="15" t="inlineStr">
        <is>
          <t>Walsall</t>
        </is>
      </c>
      <c r="B59" t="n">
        <v>25136.64</v>
      </c>
    </row>
    <row r="60">
      <c r="A60" s="15" t="inlineStr">
        <is>
          <t>People plus</t>
        </is>
      </c>
      <c r="B60" t="n">
        <v>6572</v>
      </c>
    </row>
    <row r="61">
      <c r="A61" s="15" t="inlineStr">
        <is>
          <t>HB and SC for all clients</t>
        </is>
      </c>
    </row>
    <row r="62" ht="15.75" customHeight="1" thickBot="1">
      <c r="A62" s="53" t="inlineStr">
        <is>
          <t>Total</t>
        </is>
      </c>
      <c r="B62">
        <f>SUM(B53:B61)</f>
        <v/>
      </c>
    </row>
    <row r="63" ht="15.75" customHeight="1" thickTop="1"/>
    <row r="69">
      <c r="D69" s="152" t="n"/>
    </row>
  </sheetData>
  <conditionalFormatting sqref="B33:C41">
    <cfRule type="containsText" priority="4" operator="containsText" dxfId="12" text="Accord">
      <formula>NOT(ISERROR(SEARCH("Accord",B33)))</formula>
    </cfRule>
    <cfRule type="containsText" priority="5" operator="containsText" dxfId="11" text="Ideal 4 All">
      <formula>NOT(ISERROR(SEARCH("Ideal 4 All",B33)))</formula>
    </cfRule>
    <cfRule type="containsText" priority="6" operator="containsText" dxfId="10" text="Solihull">
      <formula>NOT(ISERROR(SEARCH("Solihull",B33)))</formula>
    </cfRule>
    <cfRule type="containsText" priority="7" operator="containsText" dxfId="9" text="Buckinghamshire">
      <formula>NOT(ISERROR(SEARCH("Buckinghamshire",B33)))</formula>
    </cfRule>
    <cfRule type="containsText" priority="8" operator="containsText" dxfId="8" text="Kirklees">
      <formula>NOT(ISERROR(SEARCH("Kirklees",B33)))</formula>
    </cfRule>
    <cfRule type="containsText" priority="9" operator="containsText" dxfId="7" text="Hillingdon">
      <formula>NOT(ISERROR(SEARCH("Hillingdon",B33)))</formula>
    </cfRule>
    <cfRule type="containsText" priority="10" operator="containsText" dxfId="6" text="Birmingham">
      <formula>NOT(ISERROR(SEARCH("Birmingham",B33)))</formula>
    </cfRule>
    <cfRule type="containsText" priority="11" operator="containsText" dxfId="5" text="Walsall">
      <formula>NOT(ISERROR(SEARCH("Walsall",B33)))</formula>
    </cfRule>
    <cfRule type="containsText" priority="12" operator="containsText" dxfId="4" text="Sandwell">
      <formula>NOT(ISERROR(SEARCH("Sandwell",B33)))</formula>
    </cfRule>
    <cfRule type="containsText" priority="13" operator="containsText" dxfId="3" text="Wolverhampton">
      <formula>NOT(ISERROR(SEARCH("Wolverhampton",B33)))</formula>
    </cfRule>
  </conditionalFormatting>
  <conditionalFormatting sqref="B35:C35">
    <cfRule type="containsText" priority="1" operator="containsText" dxfId="2" text="wals">
      <formula>NOT(ISERROR(SEARCH("wals",B35)))</formula>
    </cfRule>
    <cfRule type="containsText" priority="2" operator="containsText" dxfId="1" text="sand">
      <formula>NOT(ISERROR(SEARCH("sand",B35)))</formula>
    </cfRule>
  </conditionalFormatting>
  <conditionalFormatting sqref="B36:C36">
    <cfRule type="containsText" priority="3" operator="containsText" dxfId="0" text="wolve">
      <formula>NOT(ISERROR(SEARCH("wolve",B36)))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/>
  </sheetPr>
  <dimension ref="A2:AL71"/>
  <sheetViews>
    <sheetView topLeftCell="A35" zoomScaleNormal="100" workbookViewId="0">
      <pane xSplit="1" topLeftCell="U1" activePane="topRight" state="frozen"/>
      <selection activeCell="I36" sqref="I36"/>
      <selection pane="topRight" activeCell="AH57" sqref="AH57"/>
    </sheetView>
  </sheetViews>
  <sheetFormatPr baseColWidth="8" defaultRowHeight="15"/>
  <cols>
    <col width="40.42578125" bestFit="1" customWidth="1" min="1" max="1"/>
    <col width="12.28515625" bestFit="1" customWidth="1" min="2" max="2"/>
    <col width="12" bestFit="1" customWidth="1" min="3" max="5"/>
    <col width="11.5703125" bestFit="1" customWidth="1" min="6" max="6"/>
    <col width="12.5703125" bestFit="1" customWidth="1" min="7" max="7"/>
    <col width="13.28515625" bestFit="1" customWidth="1" min="8" max="8"/>
    <col width="12.5703125" bestFit="1" customWidth="1" min="9" max="9"/>
    <col width="12" bestFit="1" customWidth="1" min="10" max="14"/>
    <col width="13.140625" bestFit="1" customWidth="1" min="15" max="15"/>
    <col width="12.5703125" bestFit="1" customWidth="1" min="16" max="21"/>
    <col width="13.140625" bestFit="1" customWidth="1" min="22" max="22"/>
    <col width="12.5703125" bestFit="1" customWidth="1" min="23" max="23"/>
    <col width="13.42578125" bestFit="1" customWidth="1" min="24" max="25"/>
    <col width="13" bestFit="1" customWidth="1" min="26" max="26"/>
    <col width="13.42578125" bestFit="1" customWidth="1" min="27" max="29"/>
    <col width="13.85546875" bestFit="1" customWidth="1" min="30" max="32"/>
    <col width="13.42578125" bestFit="1" customWidth="1" min="33" max="33"/>
    <col width="14.28515625" bestFit="1" customWidth="1" min="34" max="34"/>
  </cols>
  <sheetData>
    <row r="2">
      <c r="A2" s="1" t="n"/>
      <c r="B2" s="2" t="inlineStr">
        <is>
          <t>May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  <c r="AE2" s="1" t="n"/>
      <c r="AF2" s="1" t="n"/>
      <c r="AG2" s="1" t="n"/>
    </row>
    <row r="3">
      <c r="A3" s="1" t="n"/>
      <c r="B3" s="2" t="inlineStr">
        <is>
          <t>Thursday</t>
        </is>
      </c>
      <c r="C3" s="2" t="inlineStr">
        <is>
          <t>Friday</t>
        </is>
      </c>
      <c r="D3" s="2" t="inlineStr">
        <is>
          <t>Saturday</t>
        </is>
      </c>
      <c r="E3" s="2" t="inlineStr">
        <is>
          <t>Sunday</t>
        </is>
      </c>
      <c r="F3" s="2" t="inlineStr">
        <is>
          <t>Monday</t>
        </is>
      </c>
      <c r="G3" s="2" t="inlineStr">
        <is>
          <t>Tuesday</t>
        </is>
      </c>
      <c r="H3" s="2" t="inlineStr">
        <is>
          <t>Wednesday</t>
        </is>
      </c>
      <c r="I3" s="2" t="inlineStr">
        <is>
          <t>Thursday</t>
        </is>
      </c>
      <c r="J3" s="2" t="inlineStr">
        <is>
          <t>Friday</t>
        </is>
      </c>
      <c r="K3" s="2" t="inlineStr">
        <is>
          <t>Saturday</t>
        </is>
      </c>
      <c r="L3" s="2" t="inlineStr">
        <is>
          <t>Sunday</t>
        </is>
      </c>
      <c r="M3" s="2" t="inlineStr">
        <is>
          <t>Monday</t>
        </is>
      </c>
      <c r="N3" s="2" t="inlineStr">
        <is>
          <t>Tuesday</t>
        </is>
      </c>
      <c r="O3" s="2" t="inlineStr">
        <is>
          <t>Wednesday</t>
        </is>
      </c>
      <c r="P3" s="2" t="inlineStr">
        <is>
          <t>Thursday</t>
        </is>
      </c>
      <c r="Q3" s="2" t="inlineStr">
        <is>
          <t>Friday</t>
        </is>
      </c>
      <c r="R3" s="2" t="inlineStr">
        <is>
          <t>Saturday</t>
        </is>
      </c>
      <c r="S3" s="2" t="inlineStr">
        <is>
          <t>Sunday</t>
        </is>
      </c>
      <c r="T3" s="2" t="inlineStr">
        <is>
          <t>Monday</t>
        </is>
      </c>
      <c r="U3" s="2" t="inlineStr">
        <is>
          <t>Tuesday</t>
        </is>
      </c>
      <c r="V3" s="2" t="inlineStr">
        <is>
          <t>Wednesday</t>
        </is>
      </c>
      <c r="W3" s="2" t="inlineStr">
        <is>
          <t>Thursday</t>
        </is>
      </c>
      <c r="X3" s="2" t="inlineStr">
        <is>
          <t>Friday</t>
        </is>
      </c>
      <c r="Y3" s="2" t="inlineStr">
        <is>
          <t>Saturday</t>
        </is>
      </c>
      <c r="Z3" s="2" t="inlineStr">
        <is>
          <t>Sunday</t>
        </is>
      </c>
      <c r="AA3" s="2" t="inlineStr">
        <is>
          <t>Monday</t>
        </is>
      </c>
      <c r="AB3" s="2" t="inlineStr">
        <is>
          <t>Tuesday</t>
        </is>
      </c>
      <c r="AC3" s="2" t="inlineStr">
        <is>
          <t>Wednesday</t>
        </is>
      </c>
      <c r="AD3" s="2" t="inlineStr">
        <is>
          <t>Thursday</t>
        </is>
      </c>
      <c r="AE3" s="2" t="inlineStr">
        <is>
          <t>Friday</t>
        </is>
      </c>
      <c r="AF3" s="2" t="inlineStr">
        <is>
          <t>Saturday</t>
        </is>
      </c>
      <c r="AH3" s="2" t="inlineStr">
        <is>
          <t>Total</t>
        </is>
      </c>
    </row>
    <row r="4">
      <c r="A4" s="1" t="inlineStr">
        <is>
          <t>April</t>
        </is>
      </c>
      <c r="B4" s="3" t="inlineStr">
        <is>
          <t>1st</t>
        </is>
      </c>
      <c r="C4" s="3" t="inlineStr">
        <is>
          <t>2nd</t>
        </is>
      </c>
      <c r="D4" s="3" t="inlineStr">
        <is>
          <t>3rd</t>
        </is>
      </c>
      <c r="E4" s="3" t="inlineStr">
        <is>
          <t>4th</t>
        </is>
      </c>
      <c r="F4" s="4" t="inlineStr">
        <is>
          <t>5th</t>
        </is>
      </c>
      <c r="G4" s="4" t="inlineStr">
        <is>
          <t>6th</t>
        </is>
      </c>
      <c r="H4" s="4" t="inlineStr">
        <is>
          <t>7th</t>
        </is>
      </c>
      <c r="I4" s="4" t="inlineStr">
        <is>
          <t>8th</t>
        </is>
      </c>
      <c r="J4" s="4" t="inlineStr">
        <is>
          <t>9th</t>
        </is>
      </c>
      <c r="K4" s="4" t="inlineStr">
        <is>
          <t>10th</t>
        </is>
      </c>
      <c r="L4" s="4" t="inlineStr">
        <is>
          <t>11th</t>
        </is>
      </c>
      <c r="M4" s="5" t="inlineStr">
        <is>
          <t>12th</t>
        </is>
      </c>
      <c r="N4" s="5" t="inlineStr">
        <is>
          <t>13th</t>
        </is>
      </c>
      <c r="O4" s="5" t="inlineStr">
        <is>
          <t>14th</t>
        </is>
      </c>
      <c r="P4" s="5" t="inlineStr">
        <is>
          <t>15th</t>
        </is>
      </c>
      <c r="Q4" s="5" t="inlineStr">
        <is>
          <t>16th</t>
        </is>
      </c>
      <c r="R4" s="5" t="inlineStr">
        <is>
          <t>17th</t>
        </is>
      </c>
      <c r="S4" s="5" t="inlineStr">
        <is>
          <t>18th</t>
        </is>
      </c>
      <c r="T4" s="6" t="inlineStr">
        <is>
          <t>19th</t>
        </is>
      </c>
      <c r="U4" s="6" t="inlineStr">
        <is>
          <t>20th</t>
        </is>
      </c>
      <c r="V4" s="6" t="inlineStr">
        <is>
          <t>21st</t>
        </is>
      </c>
      <c r="W4" s="6" t="inlineStr">
        <is>
          <t>22nd</t>
        </is>
      </c>
      <c r="X4" s="6" t="inlineStr">
        <is>
          <t>23rd</t>
        </is>
      </c>
      <c r="Y4" s="6" t="inlineStr">
        <is>
          <t>24th</t>
        </is>
      </c>
      <c r="Z4" s="6" t="inlineStr">
        <is>
          <t>25th</t>
        </is>
      </c>
      <c r="AA4" s="7" t="inlineStr">
        <is>
          <t>26th</t>
        </is>
      </c>
      <c r="AB4" s="7" t="inlineStr">
        <is>
          <t>27th</t>
        </is>
      </c>
      <c r="AC4" s="7" t="inlineStr">
        <is>
          <t>28th</t>
        </is>
      </c>
      <c r="AD4" s="7" t="inlineStr">
        <is>
          <t>29th</t>
        </is>
      </c>
      <c r="AE4" s="7" t="inlineStr">
        <is>
          <t>30th</t>
        </is>
      </c>
      <c r="AF4" s="7" t="inlineStr">
        <is>
          <t>31st</t>
        </is>
      </c>
      <c r="AH4" s="1" t="n"/>
    </row>
    <row r="5" ht="15.75" customHeight="1">
      <c r="A5" s="8" t="inlineStr">
        <is>
          <t>B-HAM CITY COUNCIL-200790-70489166</t>
        </is>
      </c>
      <c r="B5" s="31" t="n"/>
      <c r="C5" s="157" t="n"/>
      <c r="D5" s="157" t="n"/>
      <c r="E5" s="157" t="n"/>
      <c r="F5" s="164" t="n"/>
      <c r="G5" s="157" t="n">
        <v>61393.72</v>
      </c>
      <c r="H5" s="157" t="n"/>
      <c r="I5" s="122" t="n"/>
      <c r="J5" s="122" t="n"/>
      <c r="K5" s="122" t="n"/>
      <c r="L5" s="122" t="n"/>
      <c r="M5" s="74" t="n"/>
      <c r="N5" s="74">
        <f>61393.72*108.01%</f>
        <v/>
      </c>
      <c r="O5" s="74" t="n"/>
      <c r="P5" s="74" t="n"/>
      <c r="Q5" s="122" t="n"/>
      <c r="R5" s="12" t="n"/>
      <c r="S5" s="12" t="n"/>
      <c r="T5" s="122" t="n"/>
      <c r="U5" s="12" t="n"/>
      <c r="V5" s="12" t="n"/>
      <c r="W5" s="122" t="n"/>
      <c r="X5" s="122" t="n"/>
      <c r="Y5" s="74" t="n"/>
      <c r="Z5" s="74" t="n"/>
      <c r="AA5" s="150" t="n"/>
      <c r="AB5" s="12" t="n"/>
      <c r="AC5" s="12" t="n"/>
      <c r="AD5" s="122" t="n"/>
      <c r="AE5" s="122" t="n"/>
      <c r="AF5" s="122" t="n"/>
      <c r="AH5" s="18">
        <f>SUM(B5:AG5)</f>
        <v/>
      </c>
      <c r="AI5" s="99" t="n"/>
      <c r="AL5" s="99" t="n"/>
    </row>
    <row r="6" ht="15.75" customHeight="1">
      <c r="A6" s="8" t="inlineStr">
        <is>
          <t>Buckingham</t>
        </is>
      </c>
      <c r="B6" s="75" t="n"/>
      <c r="C6" s="16" t="n"/>
      <c r="D6" s="16" t="n"/>
      <c r="E6" s="31" t="n"/>
      <c r="F6" s="159" t="n"/>
      <c r="G6" s="31" t="n"/>
      <c r="H6" s="16" t="n"/>
      <c r="I6" s="74" t="n"/>
      <c r="J6" s="12" t="n">
        <v>5134.44</v>
      </c>
      <c r="K6" s="74" t="n"/>
      <c r="L6" s="74" t="n"/>
      <c r="M6" s="10" t="n"/>
      <c r="N6" s="74" t="n"/>
      <c r="O6" s="10" t="n"/>
      <c r="P6" s="74" t="n"/>
      <c r="Q6" s="10" t="n"/>
      <c r="R6" s="12" t="n"/>
      <c r="S6" s="12" t="n"/>
      <c r="T6" s="10" t="n"/>
      <c r="U6" s="12" t="n"/>
      <c r="V6" s="12" t="n"/>
      <c r="W6" s="74" t="n"/>
      <c r="X6" s="74" t="n"/>
      <c r="Y6" s="10" t="n"/>
      <c r="Z6" s="74" t="n"/>
      <c r="AA6" s="151" t="n"/>
      <c r="AB6" s="10" t="n"/>
      <c r="AC6" s="74" t="n"/>
      <c r="AD6" s="10" t="n"/>
      <c r="AE6" s="74" t="n"/>
      <c r="AF6" s="74" t="n"/>
      <c r="AH6" s="18">
        <f>SUM(B6:AG6)</f>
        <v/>
      </c>
      <c r="AI6" s="99" t="n"/>
      <c r="AL6" s="99" t="n"/>
    </row>
    <row r="7" ht="15.75" customHeight="1">
      <c r="A7" s="8" t="inlineStr">
        <is>
          <t>Sandwell Respite</t>
        </is>
      </c>
      <c r="B7" s="75" t="n"/>
      <c r="C7" s="75" t="n"/>
      <c r="D7" s="16" t="n"/>
      <c r="E7" s="75" t="n"/>
      <c r="F7" s="158" t="n"/>
      <c r="G7" s="16" t="n"/>
      <c r="H7" s="75" t="n"/>
      <c r="I7" s="10" t="n"/>
      <c r="J7" s="74" t="n"/>
      <c r="K7" s="10" t="n"/>
      <c r="L7" s="10" t="n"/>
      <c r="M7" s="10" t="n"/>
      <c r="N7" s="12" t="n"/>
      <c r="O7" s="12" t="n"/>
      <c r="P7" s="10" t="n"/>
      <c r="Q7" s="12" t="n"/>
      <c r="R7" s="12" t="n"/>
      <c r="S7" s="12" t="n"/>
      <c r="T7" s="10" t="n"/>
      <c r="U7" s="12" t="n"/>
      <c r="V7" s="12" t="n"/>
      <c r="W7" s="10" t="n"/>
      <c r="X7" s="10" t="n"/>
      <c r="Y7" s="10" t="n"/>
      <c r="Z7" s="74" t="n"/>
      <c r="AA7" s="149" t="n"/>
      <c r="AB7" s="10" t="n"/>
      <c r="AC7" s="74" t="n"/>
      <c r="AD7" s="74" t="n"/>
      <c r="AE7" s="74" t="n"/>
      <c r="AF7" s="74" t="n"/>
      <c r="AG7" s="74" t="n">
        <v>15000</v>
      </c>
      <c r="AH7" s="18">
        <f>SUM(B7:AG7)</f>
        <v/>
      </c>
      <c r="AI7" s="99" t="n"/>
      <c r="AL7" s="99" t="n"/>
    </row>
    <row r="8" ht="15.75" customHeight="1">
      <c r="A8" s="8" t="inlineStr">
        <is>
          <t>Sandwell Daycare</t>
        </is>
      </c>
      <c r="B8" s="16" t="n"/>
      <c r="C8" s="16" t="n"/>
      <c r="D8" s="16" t="n"/>
      <c r="E8" s="31" t="n"/>
      <c r="F8" s="162" t="n"/>
      <c r="G8" s="16" t="n"/>
      <c r="H8" s="16" t="n"/>
      <c r="I8" s="10" t="n"/>
      <c r="J8" s="154" t="n"/>
      <c r="K8" s="10" t="n"/>
      <c r="L8" s="10" t="n"/>
      <c r="M8" s="10" t="n"/>
      <c r="N8" s="10" t="n"/>
      <c r="O8" s="10" t="n"/>
      <c r="P8" s="10" t="n"/>
      <c r="Q8" s="12" t="n"/>
      <c r="R8" s="12" t="n"/>
      <c r="S8" s="12" t="n"/>
      <c r="T8" s="10" t="n"/>
      <c r="U8" s="12" t="n"/>
      <c r="V8" s="12" t="n"/>
      <c r="W8" s="74" t="n"/>
      <c r="X8" s="10" t="n"/>
      <c r="Y8" s="10" t="n"/>
      <c r="Z8" s="74" t="n"/>
      <c r="AA8" s="149" t="n"/>
      <c r="AB8" s="10" t="n"/>
      <c r="AC8" s="10" t="n"/>
      <c r="AD8" s="74" t="n"/>
      <c r="AE8" s="74" t="n"/>
      <c r="AF8" s="10" t="n"/>
      <c r="AG8" s="108" t="n">
        <v>7354.72</v>
      </c>
      <c r="AH8" s="18">
        <f>SUM(B8:AG8)</f>
        <v/>
      </c>
      <c r="AI8" s="99" t="n"/>
      <c r="AL8" s="99" t="n"/>
    </row>
    <row r="9" ht="15.75" customHeight="1">
      <c r="A9" s="8" t="inlineStr">
        <is>
          <t xml:space="preserve">Wolverhampton Respite </t>
        </is>
      </c>
      <c r="B9" s="75" t="n"/>
      <c r="C9" s="16" t="n"/>
      <c r="D9" s="31" t="n"/>
      <c r="E9" s="31" t="n"/>
      <c r="F9" s="159" t="n"/>
      <c r="G9" s="31" t="n"/>
      <c r="H9" s="31" t="n"/>
      <c r="I9" s="12" t="n"/>
      <c r="J9" s="12" t="n"/>
      <c r="K9" s="12" t="n"/>
      <c r="L9" s="12" t="n"/>
      <c r="M9" s="12" t="n"/>
      <c r="N9" s="12" t="n"/>
      <c r="O9" s="12" t="n"/>
      <c r="P9" s="12" t="n"/>
      <c r="Q9" s="12" t="n"/>
      <c r="R9" s="12" t="n"/>
      <c r="S9" s="12" t="n"/>
      <c r="T9" s="12" t="n"/>
      <c r="U9" s="12" t="n"/>
      <c r="V9" s="12" t="n"/>
      <c r="W9" s="12" t="n"/>
      <c r="X9" s="12" t="n"/>
      <c r="Y9" s="12" t="n"/>
      <c r="Z9" s="74" t="n"/>
      <c r="AA9" s="151" t="n"/>
      <c r="AB9" s="74" t="n"/>
      <c r="AC9" s="10" t="n"/>
      <c r="AD9" s="74" t="n"/>
      <c r="AE9" s="74" t="n"/>
      <c r="AF9" s="74" t="n"/>
      <c r="AG9" s="12" t="n"/>
      <c r="AH9" s="18">
        <f>SUM(B9:AG9)</f>
        <v/>
      </c>
      <c r="AI9" s="99" t="n"/>
      <c r="AL9" s="99" t="n"/>
    </row>
    <row r="10" ht="15.75" customHeight="1">
      <c r="A10" s="8" t="inlineStr">
        <is>
          <t>Wolverhampton Daycare</t>
        </is>
      </c>
      <c r="B10" s="16" t="n">
        <v>6039.74</v>
      </c>
      <c r="C10" s="16" t="n"/>
      <c r="D10" s="31" t="n"/>
      <c r="E10" s="31" t="n"/>
      <c r="F10" s="159" t="n"/>
      <c r="G10" s="75" t="n"/>
      <c r="H10" s="75" t="n"/>
      <c r="I10" s="12">
        <f>5800*106.61%</f>
        <v/>
      </c>
      <c r="J10" s="74" t="n"/>
      <c r="K10" s="12" t="n"/>
      <c r="L10" s="74" t="n"/>
      <c r="M10" s="74" t="n"/>
      <c r="N10" s="74" t="n"/>
      <c r="O10" s="74" t="n"/>
      <c r="P10" s="12">
        <f>5800*106.61%</f>
        <v/>
      </c>
      <c r="Q10" s="12" t="n"/>
      <c r="R10" s="12" t="n"/>
      <c r="S10" s="12" t="n"/>
      <c r="T10" s="74" t="n"/>
      <c r="U10" s="12" t="n"/>
      <c r="V10" s="12" t="n"/>
      <c r="W10" s="12">
        <f>5800*106.61%</f>
        <v/>
      </c>
      <c r="X10" s="74" t="n"/>
      <c r="Y10" s="12" t="n"/>
      <c r="Z10" s="10" t="n"/>
      <c r="AA10" s="149" t="n"/>
      <c r="AB10" s="10" t="n"/>
      <c r="AC10" s="12" t="n"/>
      <c r="AD10" s="12">
        <f>5800*106.61%</f>
        <v/>
      </c>
      <c r="AE10" s="10" t="n"/>
      <c r="AF10" s="10" t="n"/>
      <c r="AG10" s="12" t="n"/>
      <c r="AH10" s="18">
        <f>SUM(B10:AG10)</f>
        <v/>
      </c>
      <c r="AI10" s="99" t="n"/>
      <c r="AL10" s="99" t="n"/>
    </row>
    <row r="11" ht="15.75" customHeight="1">
      <c r="A11" s="8" t="inlineStr">
        <is>
          <t>Walsall Respite</t>
        </is>
      </c>
      <c r="B11" s="75" t="n"/>
      <c r="C11" s="16" t="n"/>
      <c r="D11" s="16" t="n"/>
      <c r="E11" s="75" t="n"/>
      <c r="F11" s="158" t="n"/>
      <c r="G11" s="16" t="n">
        <v>11797.6</v>
      </c>
      <c r="H11" s="31" t="n"/>
      <c r="I11" s="155" t="n"/>
      <c r="J11" s="10" t="n"/>
      <c r="K11" s="10" t="n"/>
      <c r="L11" s="74" t="n"/>
      <c r="M11" s="74" t="n"/>
      <c r="N11" s="10" t="n"/>
      <c r="O11" s="12" t="n"/>
      <c r="P11" s="74" t="n"/>
      <c r="Q11" s="12" t="n"/>
      <c r="R11" s="12" t="n"/>
      <c r="S11" s="12" t="n"/>
      <c r="T11" s="10" t="n"/>
      <c r="U11" s="12" t="n"/>
      <c r="V11" s="12" t="n"/>
      <c r="W11" s="10" t="n"/>
      <c r="X11" s="10" t="n"/>
      <c r="Y11" s="74" t="n"/>
      <c r="Z11" s="10" t="n"/>
      <c r="AA11" s="149" t="n"/>
      <c r="AB11" s="10" t="n"/>
      <c r="AC11" s="12" t="n"/>
      <c r="AD11" s="74" t="n"/>
      <c r="AE11" s="74" t="n"/>
      <c r="AF11" s="74" t="n"/>
      <c r="AG11" s="12" t="n"/>
      <c r="AH11" s="18">
        <f>SUM(B11:AG11)</f>
        <v/>
      </c>
      <c r="AI11" s="99" t="n"/>
      <c r="AL11" s="99" t="n"/>
    </row>
    <row r="12" ht="15.75" customHeight="1">
      <c r="A12" s="8" t="inlineStr">
        <is>
          <t>Walsall Daycare</t>
        </is>
      </c>
      <c r="B12" s="10" t="n"/>
      <c r="C12" s="10" t="n"/>
      <c r="D12" s="10" t="n"/>
      <c r="E12" s="74" t="n"/>
      <c r="F12" s="151" t="n"/>
      <c r="G12" s="10" t="n"/>
      <c r="H12" s="12" t="n"/>
      <c r="I12" s="10" t="n"/>
      <c r="J12" s="10" t="n"/>
      <c r="K12" s="10" t="n"/>
      <c r="L12" s="10" t="n"/>
      <c r="M12" s="10" t="n"/>
      <c r="N12" s="10" t="n"/>
      <c r="O12" s="10" t="n"/>
      <c r="P12" s="12" t="n"/>
      <c r="Q12" s="12" t="n"/>
      <c r="R12" s="12" t="n"/>
      <c r="S12" s="12" t="n"/>
      <c r="T12" s="10" t="n"/>
      <c r="U12" s="12" t="n"/>
      <c r="V12" s="12" t="n"/>
      <c r="W12" s="10" t="n"/>
      <c r="X12" s="10" t="n"/>
      <c r="Y12" s="10" t="n"/>
      <c r="Z12" s="10" t="n"/>
      <c r="AA12" s="149" t="n"/>
      <c r="AB12" s="10" t="n"/>
      <c r="AC12" s="12" t="n"/>
      <c r="AD12" s="74" t="n"/>
      <c r="AE12" s="74" t="n"/>
      <c r="AF12" s="10" t="n"/>
      <c r="AG12" s="12" t="n"/>
      <c r="AH12" s="18">
        <f>SUM(B12:AG12)</f>
        <v/>
      </c>
      <c r="AI12" s="99" t="n"/>
    </row>
    <row r="13" ht="15.75" customHeight="1">
      <c r="A13" s="8" t="inlineStr">
        <is>
          <t>Ideal for All Ltd</t>
        </is>
      </c>
      <c r="B13" s="74" t="n"/>
      <c r="C13" s="74" t="n"/>
      <c r="D13" s="74" t="n"/>
      <c r="E13" s="74" t="n"/>
      <c r="F13" s="151" t="n"/>
      <c r="G13" s="74" t="n"/>
      <c r="H13" s="12" t="n"/>
      <c r="I13" s="12" t="n">
        <v>4120.88</v>
      </c>
      <c r="J13" s="10" t="n"/>
      <c r="K13" s="10" t="n"/>
      <c r="L13" s="10" t="n"/>
      <c r="M13" s="12" t="n"/>
      <c r="N13" s="12" t="n"/>
      <c r="O13" s="12" t="n"/>
      <c r="P13" s="10" t="n"/>
      <c r="Q13" s="12" t="n"/>
      <c r="R13" s="10" t="n"/>
      <c r="S13" s="10" t="n"/>
      <c r="T13" s="10" t="n"/>
      <c r="U13" s="10" t="n"/>
      <c r="V13" s="10" t="n"/>
      <c r="W13" s="10" t="n"/>
      <c r="X13" s="10" t="n"/>
      <c r="Y13" s="10" t="n"/>
      <c r="Z13" s="74" t="n"/>
      <c r="AA13" s="151" t="n"/>
      <c r="AB13" s="74" t="n"/>
      <c r="AC13" s="12" t="n"/>
      <c r="AD13" s="10" t="n"/>
      <c r="AE13" s="74" t="n"/>
      <c r="AF13" s="74" t="n"/>
      <c r="AG13" s="12" t="n"/>
      <c r="AH13" s="18">
        <f>SUM(B13:AG13)</f>
        <v/>
      </c>
      <c r="AI13" s="99" t="n"/>
    </row>
    <row r="14" ht="15.75" customHeight="1">
      <c r="A14" s="8" t="inlineStr">
        <is>
          <t>KIRKLEES COUNCIL-204312-63046958</t>
        </is>
      </c>
      <c r="B14" s="12" t="n"/>
      <c r="C14" s="74" t="n"/>
      <c r="D14" s="10" t="n"/>
      <c r="E14" s="10" t="n"/>
      <c r="F14" s="149" t="n"/>
      <c r="G14" s="10" t="n"/>
      <c r="H14" s="12" t="n"/>
      <c r="I14" s="10" t="n"/>
      <c r="J14" s="12" t="n"/>
      <c r="K14" s="12" t="n"/>
      <c r="L14" s="74" t="n"/>
      <c r="M14" s="12" t="n"/>
      <c r="N14" s="12" t="n"/>
      <c r="O14" s="12" t="n">
        <v>5318.32</v>
      </c>
      <c r="P14" s="74" t="n"/>
      <c r="Q14" s="12" t="n"/>
      <c r="R14" s="74" t="n"/>
      <c r="S14" s="74" t="n"/>
      <c r="T14" s="10" t="n"/>
      <c r="U14" s="74" t="n"/>
      <c r="V14" s="10" t="n"/>
      <c r="W14" s="74" t="n"/>
      <c r="X14" s="10" t="n"/>
      <c r="Y14" s="10" t="n"/>
      <c r="Z14" s="10" t="n"/>
      <c r="AA14" s="149" t="n"/>
      <c r="AB14" s="10" t="n"/>
      <c r="AC14" s="12" t="n"/>
      <c r="AD14" s="74" t="n"/>
      <c r="AE14" s="10" t="n"/>
      <c r="AF14" s="10" t="n"/>
      <c r="AG14" s="12" t="n"/>
      <c r="AH14" s="18">
        <f>SUM(B14:AG14)</f>
        <v/>
      </c>
      <c r="AI14" s="99" t="n"/>
    </row>
    <row r="15" ht="15.75" customHeight="1">
      <c r="A15" s="8" t="inlineStr">
        <is>
          <t>LBH PAYMENTS BACS-602210-72430192</t>
        </is>
      </c>
      <c r="B15" s="12" t="n"/>
      <c r="C15" s="10" t="n"/>
      <c r="D15" s="74" t="n"/>
      <c r="E15" s="74" t="n"/>
      <c r="F15" s="151" t="n"/>
      <c r="G15" s="74" t="n"/>
      <c r="H15" s="12" t="n"/>
      <c r="I15" s="74" t="n"/>
      <c r="J15" s="74" t="n"/>
      <c r="K15" s="10" t="n"/>
      <c r="L15" s="10" t="n"/>
      <c r="M15" s="12" t="n"/>
      <c r="N15" s="12" t="n"/>
      <c r="O15" s="12" t="n"/>
      <c r="P15" s="74" t="n"/>
      <c r="Q15" s="12" t="n"/>
      <c r="R15" s="74" t="n"/>
      <c r="S15" s="12" t="n"/>
      <c r="T15" s="10" t="n"/>
      <c r="U15" s="10" t="n"/>
      <c r="V15" s="10" t="n">
        <v>5203.8</v>
      </c>
      <c r="W15" s="10" t="n"/>
      <c r="X15" s="10" t="n"/>
      <c r="Y15" s="10" t="n"/>
      <c r="Z15" s="74" t="n"/>
      <c r="AA15" s="149" t="n"/>
      <c r="AB15" s="10" t="n"/>
      <c r="AC15" s="12" t="n"/>
      <c r="AD15" s="10" t="n"/>
      <c r="AE15" s="10" t="n"/>
      <c r="AF15" s="74" t="n"/>
      <c r="AG15" s="12" t="n"/>
      <c r="AH15" s="18">
        <f>SUM(B15:AG15)</f>
        <v/>
      </c>
      <c r="AI15" s="99" t="n"/>
    </row>
    <row r="16" ht="15.75" customHeight="1">
      <c r="A16" s="8" t="inlineStr">
        <is>
          <t>NHS BIRMINGHAM &amp; S-607080-10017097</t>
        </is>
      </c>
      <c r="B16" s="12" t="n"/>
      <c r="C16" s="74" t="n"/>
      <c r="D16" s="74" t="n"/>
      <c r="E16" s="10" t="n"/>
      <c r="F16" s="151" t="n"/>
      <c r="G16" s="10" t="n"/>
      <c r="H16" s="12" t="n"/>
      <c r="I16" s="74" t="n"/>
      <c r="J16" s="74" t="n"/>
      <c r="K16" s="12" t="n"/>
      <c r="L16" s="12" t="n"/>
      <c r="M16" s="12" t="n">
        <v>6721.88</v>
      </c>
      <c r="N16" s="12" t="n"/>
      <c r="O16" s="12" t="n"/>
      <c r="P16" s="10" t="n"/>
      <c r="Q16" s="12" t="n"/>
      <c r="R16" s="74" t="n"/>
      <c r="S16" s="12" t="n"/>
      <c r="T16" s="10" t="n"/>
      <c r="U16" s="74" t="n"/>
      <c r="V16" s="10" t="n"/>
      <c r="W16" s="74" t="n"/>
      <c r="X16" s="10" t="n"/>
      <c r="Y16" s="12" t="n"/>
      <c r="Z16" s="10" t="n"/>
      <c r="AA16" s="150" t="n"/>
      <c r="AB16" s="10" t="n"/>
      <c r="AC16" s="12" t="n"/>
      <c r="AD16" s="74" t="n"/>
      <c r="AE16" s="10" t="n"/>
      <c r="AF16" s="10" t="n"/>
      <c r="AG16" s="12" t="n"/>
      <c r="AH16" s="18">
        <f>SUM(B16:AG16)</f>
        <v/>
      </c>
      <c r="AI16" s="99" t="n"/>
    </row>
    <row r="17" ht="15.75" customHeight="1">
      <c r="A17" s="8" t="inlineStr">
        <is>
          <t>NHS BLACK COUNTRY-607080-10015272</t>
        </is>
      </c>
      <c r="B17" s="12" t="n"/>
      <c r="C17" s="12" t="n"/>
      <c r="D17" s="12" t="n"/>
      <c r="E17" s="74" t="n"/>
      <c r="F17" s="151" t="n"/>
      <c r="G17" s="74" t="n"/>
      <c r="H17" s="12" t="n"/>
      <c r="I17" s="12" t="n"/>
      <c r="J17" s="12" t="n"/>
      <c r="K17" s="74" t="n"/>
      <c r="L17" s="74" t="n"/>
      <c r="M17" s="12" t="n">
        <v>17943.19</v>
      </c>
      <c r="N17" s="12" t="n"/>
      <c r="O17" s="12" t="n"/>
      <c r="P17" s="74" t="n"/>
      <c r="Q17" s="12" t="n"/>
      <c r="R17" s="74" t="n"/>
      <c r="S17" s="12" t="n"/>
      <c r="T17" s="10" t="n"/>
      <c r="U17" s="74" t="n"/>
      <c r="V17" s="10" t="n"/>
      <c r="W17" s="74" t="n"/>
      <c r="X17" s="10" t="n"/>
      <c r="Y17" s="12" t="n"/>
      <c r="Z17" s="74" t="n"/>
      <c r="AA17" s="151" t="n"/>
      <c r="AB17" s="12" t="n"/>
      <c r="AC17" s="12" t="n"/>
      <c r="AD17" s="74" t="n"/>
      <c r="AE17" s="74" t="n"/>
      <c r="AF17" s="74" t="n"/>
      <c r="AG17" s="12" t="n"/>
      <c r="AH17" s="18">
        <f>SUM(B17:AG17)</f>
        <v/>
      </c>
      <c r="AI17" s="99" t="n"/>
    </row>
    <row r="18" ht="15.75" customHeight="1">
      <c r="A18" s="14" t="inlineStr">
        <is>
          <t>SANDWELL MBC  BEN-601539-69624151</t>
        </is>
      </c>
      <c r="B18" s="74" t="n"/>
      <c r="C18" s="10" t="n"/>
      <c r="D18" s="12" t="n"/>
      <c r="E18" s="10" t="n"/>
      <c r="F18" s="150" t="n"/>
      <c r="G18" s="74" t="n"/>
      <c r="H18" s="12" t="n"/>
      <c r="I18" s="10" t="n"/>
      <c r="J18" s="12" t="n">
        <v>2660</v>
      </c>
      <c r="K18" s="74" t="n"/>
      <c r="L18" s="74" t="n"/>
      <c r="M18" s="12" t="n"/>
      <c r="N18" s="74" t="n"/>
      <c r="O18" s="12" t="n"/>
      <c r="P18" s="12" t="n"/>
      <c r="Q18" s="12" t="n"/>
      <c r="R18" s="74" t="n"/>
      <c r="S18" s="12" t="n"/>
      <c r="T18" s="10" t="n"/>
      <c r="U18" s="10" t="n"/>
      <c r="V18" s="10" t="n"/>
      <c r="W18" s="74" t="n"/>
      <c r="X18" s="10" t="n"/>
      <c r="Y18" s="10" t="n"/>
      <c r="Z18" s="10" t="n"/>
      <c r="AA18" s="149" t="n"/>
      <c r="AB18" s="10" t="n"/>
      <c r="AC18" s="74" t="n"/>
      <c r="AD18" s="74" t="n"/>
      <c r="AE18" s="74" t="n"/>
      <c r="AF18" s="74" t="n"/>
      <c r="AG18" s="12" t="n"/>
      <c r="AH18" s="18">
        <f>SUM(B18:AG18)</f>
        <v/>
      </c>
      <c r="AI18" s="99" t="n"/>
    </row>
    <row r="19" ht="15.75" customHeight="1">
      <c r="A19" s="14" t="inlineStr">
        <is>
          <t>SANDWELL MBC-601539-69624135</t>
        </is>
      </c>
      <c r="B19" s="74" t="n"/>
      <c r="C19" s="74" t="n"/>
      <c r="D19" s="12" t="n"/>
      <c r="E19" s="12" t="n"/>
      <c r="F19" s="156" t="n"/>
      <c r="G19" s="10" t="n"/>
      <c r="H19" s="74" t="n"/>
      <c r="I19" s="10" t="n"/>
      <c r="J19" s="74">
        <f>128558.08*108.19%</f>
        <v/>
      </c>
      <c r="K19" s="74" t="n"/>
      <c r="L19" s="74" t="n"/>
      <c r="M19" s="12" t="n"/>
      <c r="N19" s="12" t="n"/>
      <c r="O19" s="74" t="n"/>
      <c r="P19" s="12" t="n"/>
      <c r="Q19" s="12" t="n"/>
      <c r="R19" s="12" t="n"/>
      <c r="S19" s="12" t="n"/>
      <c r="T19" s="10" t="n"/>
      <c r="U19" s="10" t="n"/>
      <c r="V19" s="10" t="n"/>
      <c r="W19" s="74" t="n"/>
      <c r="X19" s="74">
        <f>128558.08*108.19%</f>
        <v/>
      </c>
      <c r="Y19" s="10" t="n"/>
      <c r="Z19" s="74" t="n"/>
      <c r="AA19" s="149" t="n"/>
      <c r="AB19" s="12" t="n"/>
      <c r="AC19" s="74" t="n"/>
      <c r="AD19" s="12" t="n"/>
      <c r="AE19" s="74" t="n"/>
      <c r="AF19" s="74" t="n"/>
      <c r="AG19" s="12" t="n"/>
      <c r="AH19" s="18">
        <f>SUM(B19:AG19)</f>
        <v/>
      </c>
      <c r="AI19" s="99" t="n"/>
    </row>
    <row r="20" ht="15.75" customHeight="1">
      <c r="A20" s="15" t="inlineStr">
        <is>
          <t>SOLIHULL MBC EXP.-200771-00561525</t>
        </is>
      </c>
      <c r="B20" s="74" t="n"/>
      <c r="C20" s="74" t="n"/>
      <c r="D20" s="12" t="n"/>
      <c r="E20" s="74" t="n"/>
      <c r="F20" s="151" t="n"/>
      <c r="G20" s="74" t="n"/>
      <c r="H20" s="74" t="n"/>
      <c r="I20" s="10" t="n"/>
      <c r="J20" s="74" t="n"/>
      <c r="K20" s="74" t="n"/>
      <c r="L20" s="74" t="n"/>
      <c r="M20" s="12" t="n"/>
      <c r="N20" s="74" t="n"/>
      <c r="O20" s="12" t="n"/>
      <c r="P20" s="12" t="n"/>
      <c r="Q20" s="12" t="n"/>
      <c r="R20" s="74" t="n"/>
      <c r="S20" s="12" t="n"/>
      <c r="T20" s="10" t="n"/>
      <c r="U20" s="74" t="n"/>
      <c r="V20" s="10" t="n">
        <v>32000</v>
      </c>
      <c r="W20" s="74" t="n"/>
      <c r="X20" s="10" t="n"/>
      <c r="Y20" s="12" t="n"/>
      <c r="Z20" s="74" t="n"/>
      <c r="AA20" s="151" t="n"/>
      <c r="AB20" s="12" t="n"/>
      <c r="AC20" s="74" t="n"/>
      <c r="AD20" s="74" t="n"/>
      <c r="AE20" s="74" t="n"/>
      <c r="AF20" s="74" t="n"/>
      <c r="AG20" s="12" t="n"/>
      <c r="AH20" s="18">
        <f>SUM(B20:AG20)</f>
        <v/>
      </c>
      <c r="AI20" s="99" t="n"/>
    </row>
    <row r="21" ht="15.75" customHeight="1">
      <c r="A21" s="15" t="inlineStr">
        <is>
          <t>WALSALL MBC BARC-209073-10731692</t>
        </is>
      </c>
      <c r="B21" s="74" t="n"/>
      <c r="C21" s="74" t="n"/>
      <c r="D21" s="12" t="n"/>
      <c r="E21" s="74" t="n"/>
      <c r="F21" s="151" t="n"/>
      <c r="G21" s="74">
        <f>273296.49-G11</f>
        <v/>
      </c>
      <c r="H21" s="74" t="n"/>
      <c r="I21" s="74" t="n"/>
      <c r="J21" s="74" t="n"/>
      <c r="K21" s="74" t="n"/>
      <c r="L21" s="74" t="n"/>
      <c r="M21" s="74" t="n"/>
      <c r="N21" s="12" t="n"/>
      <c r="O21" s="12" t="n"/>
      <c r="P21" s="12" t="n"/>
      <c r="Q21" s="12" t="n"/>
      <c r="R21" s="74" t="n"/>
      <c r="S21" s="12" t="n"/>
      <c r="T21" s="74" t="n"/>
      <c r="U21" s="12" t="n"/>
      <c r="V21" s="12" t="n"/>
      <c r="W21" s="74" t="n"/>
      <c r="X21" s="10" t="n"/>
      <c r="Y21" s="74" t="n"/>
      <c r="Z21" s="74" t="n"/>
      <c r="AA21" s="151" t="n"/>
      <c r="AB21" s="74" t="n"/>
      <c r="AC21" s="74" t="n"/>
      <c r="AD21" s="74" t="n"/>
      <c r="AE21" s="74" t="n"/>
      <c r="AF21" s="74" t="n"/>
      <c r="AG21" s="12" t="n"/>
      <c r="AH21" s="18">
        <f>SUM(B21:AG21)</f>
        <v/>
      </c>
    </row>
    <row r="22" ht="15.75" customHeight="1">
      <c r="A22" s="15" t="inlineStr">
        <is>
          <t>WOLVERHAMPTON CC-560069-44470320</t>
        </is>
      </c>
      <c r="B22" s="74">
        <f>130591.82-B10</f>
        <v/>
      </c>
      <c r="C22" s="12" t="n">
        <v>1105.6</v>
      </c>
      <c r="D22" s="12" t="n"/>
      <c r="E22" s="12" t="n"/>
      <c r="F22" s="150" t="n"/>
      <c r="G22" s="74" t="n"/>
      <c r="H22" s="12" t="n"/>
      <c r="I22" s="74">
        <f>120189.22-I10*$F$5</f>
        <v/>
      </c>
      <c r="J22" s="10" t="n"/>
      <c r="K22" s="74" t="n"/>
      <c r="L22" s="12" t="n"/>
      <c r="M22" s="74" t="n"/>
      <c r="N22" s="12" t="n"/>
      <c r="O22" s="12" t="n"/>
      <c r="P22" s="74">
        <f>120189.22-P10*$F$5</f>
        <v/>
      </c>
      <c r="Q22" s="12" t="n"/>
      <c r="R22" s="74" t="n"/>
      <c r="S22" s="12" t="n"/>
      <c r="T22" s="74" t="n"/>
      <c r="U22" s="12" t="n"/>
      <c r="V22" s="12" t="n"/>
      <c r="W22" s="74">
        <f>120189.22-W10*$F$5</f>
        <v/>
      </c>
      <c r="X22" s="10" t="n"/>
      <c r="Y22" s="74" t="n"/>
      <c r="Z22" s="10" t="n"/>
      <c r="AA22" s="151" t="n"/>
      <c r="AB22" s="12" t="n"/>
      <c r="AC22" s="74" t="n"/>
      <c r="AD22" s="74">
        <f>120189.22-AD10*$F$5</f>
        <v/>
      </c>
      <c r="AE22" s="10" t="n"/>
      <c r="AF22" s="74" t="n"/>
      <c r="AG22" s="12" t="n"/>
      <c r="AH22" s="18">
        <f>SUM(B22:AG22)</f>
        <v/>
      </c>
    </row>
    <row r="23" ht="15.75" customHeight="1">
      <c r="A23" s="15" t="inlineStr">
        <is>
          <t>People Plus</t>
        </is>
      </c>
      <c r="B23" s="12" t="n"/>
      <c r="C23" s="74" t="n"/>
      <c r="D23" s="12" t="n"/>
      <c r="E23" s="12" t="n"/>
      <c r="F23" s="150" t="n"/>
      <c r="G23" s="12" t="n"/>
      <c r="H23" s="12" t="n"/>
      <c r="I23" s="74" t="n"/>
      <c r="J23" s="74" t="n"/>
      <c r="K23" s="74" t="n">
        <v>4221</v>
      </c>
      <c r="L23" s="74" t="n"/>
      <c r="M23" s="74" t="n"/>
      <c r="N23" s="12" t="n"/>
      <c r="O23" s="74" t="n"/>
      <c r="P23" s="12" t="n">
        <v>3436</v>
      </c>
      <c r="Q23" s="74" t="n">
        <v>3831.8</v>
      </c>
      <c r="R23" s="12" t="n"/>
      <c r="S23" s="12" t="n"/>
      <c r="T23" s="12" t="n"/>
      <c r="U23" s="12" t="n"/>
      <c r="V23" s="74" t="n">
        <v>6688</v>
      </c>
      <c r="W23" s="12" t="n"/>
      <c r="X23" s="74" t="n"/>
      <c r="Y23" s="12" t="n"/>
      <c r="Z23" s="74" t="n"/>
      <c r="AA23" s="150" t="n"/>
      <c r="AB23" s="74" t="n"/>
      <c r="AC23" s="12" t="n">
        <v>2355.2</v>
      </c>
      <c r="AD23" s="10" t="n"/>
      <c r="AE23" s="74" t="n"/>
      <c r="AF23" s="74" t="n"/>
      <c r="AG23" s="12" t="n"/>
      <c r="AH23" s="18">
        <f>SUM(B23:AG23)</f>
        <v/>
      </c>
      <c r="AI23" s="99" t="n"/>
    </row>
    <row r="24" ht="15.75" customHeight="1">
      <c r="A24" s="15" t="inlineStr">
        <is>
          <t xml:space="preserve">Middlesbrough council </t>
        </is>
      </c>
      <c r="B24" s="12" t="n"/>
      <c r="C24" s="74" t="n"/>
      <c r="D24" s="12" t="n"/>
      <c r="E24" s="74" t="n"/>
      <c r="F24" s="151" t="n"/>
      <c r="G24" s="12" t="n"/>
      <c r="H24" s="12" t="n"/>
      <c r="I24" s="10" t="n"/>
      <c r="J24" s="12" t="n"/>
      <c r="K24" s="74" t="n"/>
      <c r="L24" s="74" t="n"/>
      <c r="M24" s="74" t="n"/>
      <c r="N24" s="74" t="n"/>
      <c r="O24" s="74" t="n"/>
      <c r="P24" s="74" t="n"/>
      <c r="Q24" s="74" t="n"/>
      <c r="R24" s="74" t="n"/>
      <c r="S24" s="12" t="n"/>
      <c r="T24" s="74" t="n"/>
      <c r="U24" s="12" t="n"/>
      <c r="V24" s="12" t="n">
        <v>5544</v>
      </c>
      <c r="W24" s="12" t="n"/>
      <c r="X24" s="74" t="n"/>
      <c r="Y24" s="12" t="n"/>
      <c r="Z24" s="12" t="n"/>
      <c r="AA24" s="151" t="n"/>
      <c r="AB24" s="74" t="n"/>
      <c r="AC24" s="74" t="n"/>
      <c r="AD24" s="10" t="n"/>
      <c r="AE24" s="74" t="n"/>
      <c r="AF24" s="74" t="n"/>
      <c r="AG24" s="12" t="n"/>
      <c r="AH24" s="18">
        <f>SUM(B24:AG24)</f>
        <v/>
      </c>
      <c r="AI24" s="99" t="n"/>
    </row>
    <row r="25" ht="15.75" customHeight="1">
      <c r="A25" s="15" t="inlineStr">
        <is>
          <t>West  Northamptonshire Council</t>
        </is>
      </c>
      <c r="B25" s="12" t="n"/>
      <c r="C25" s="74" t="n"/>
      <c r="D25" s="74" t="n"/>
      <c r="E25" s="74" t="n"/>
      <c r="F25" s="151" t="n"/>
      <c r="G25" s="12" t="n"/>
      <c r="H25" s="12" t="n"/>
      <c r="I25" s="10" t="n"/>
      <c r="J25" s="74" t="n"/>
      <c r="K25" s="74" t="n"/>
      <c r="L25" s="74" t="n"/>
      <c r="M25" s="74" t="n"/>
      <c r="N25" s="74" t="n"/>
      <c r="O25" s="74" t="n"/>
      <c r="P25" s="74" t="n"/>
      <c r="Q25" s="74" t="n"/>
      <c r="R25" s="74" t="n"/>
      <c r="S25" s="12" t="n"/>
      <c r="T25" s="74" t="n"/>
      <c r="U25" s="12" t="n"/>
      <c r="V25" s="12" t="n"/>
      <c r="W25" s="12" t="n"/>
      <c r="X25" s="74" t="n"/>
      <c r="Y25" s="12" t="n"/>
      <c r="Z25" s="12" t="n"/>
      <c r="AA25" s="151" t="n"/>
      <c r="AB25" s="74" t="n">
        <v>7000</v>
      </c>
      <c r="AC25" s="74" t="n"/>
      <c r="AD25" s="10" t="n"/>
      <c r="AE25" s="74" t="n"/>
      <c r="AF25" s="74" t="n"/>
      <c r="AG25" s="12" t="n"/>
      <c r="AH25" s="18">
        <f>SUM(B25:AG25)</f>
        <v/>
      </c>
      <c r="AI25" s="99" t="n"/>
    </row>
    <row r="26" ht="15.75" customHeight="1">
      <c r="A26" s="15" t="inlineStr">
        <is>
          <t>CHASING</t>
        </is>
      </c>
      <c r="B26" s="74" t="n"/>
      <c r="C26" s="74" t="n"/>
      <c r="D26" s="74" t="n"/>
      <c r="E26" s="74" t="n"/>
      <c r="F26" s="150" t="n"/>
      <c r="G26" s="12" t="n"/>
      <c r="H26" s="12" t="n"/>
      <c r="I26" s="74" t="n"/>
      <c r="J26" s="74" t="n"/>
      <c r="K26" s="74" t="n"/>
      <c r="L26" s="74" t="n"/>
      <c r="M26" s="12" t="n"/>
      <c r="N26" s="74" t="n"/>
      <c r="O26" s="74" t="n"/>
      <c r="P26" s="74" t="n"/>
      <c r="Q26" s="74" t="n"/>
      <c r="R26" s="12" t="n"/>
      <c r="S26" s="12" t="n"/>
      <c r="T26" s="74" t="n"/>
      <c r="U26" s="12" t="n"/>
      <c r="V26" s="12" t="n"/>
      <c r="W26" s="74" t="n"/>
      <c r="X26" s="74" t="n"/>
      <c r="Y26" s="74" t="n"/>
      <c r="Z26" s="74" t="n"/>
      <c r="AA26" s="151" t="n"/>
      <c r="AB26" s="74" t="n"/>
      <c r="AC26" s="74" t="n"/>
      <c r="AD26" s="74" t="n"/>
      <c r="AE26" s="74" t="n"/>
      <c r="AF26" s="74" t="n">
        <v>30000</v>
      </c>
      <c r="AG26" s="12" t="n"/>
      <c r="AH26" s="18">
        <f>SUM(B26:AG26)</f>
        <v/>
      </c>
      <c r="AI26" s="99" t="n"/>
    </row>
    <row r="27" ht="15.75" customHeight="1">
      <c r="A27" s="15" t="inlineStr">
        <is>
          <t>HB SC</t>
        </is>
      </c>
      <c r="B27" s="74" t="n">
        <v>5286.93</v>
      </c>
      <c r="C27" s="74" t="n">
        <v>5444.879999999999</v>
      </c>
      <c r="D27" s="74" t="n">
        <v>0</v>
      </c>
      <c r="E27" s="74" t="n">
        <v>0</v>
      </c>
      <c r="F27" s="151" t="n">
        <v>767.5</v>
      </c>
      <c r="G27" s="74" t="n">
        <v>9336.310000000027</v>
      </c>
      <c r="H27" s="74" t="n">
        <v>270</v>
      </c>
      <c r="I27" s="74" t="n">
        <v>4000</v>
      </c>
      <c r="J27" s="74" t="n">
        <v>4000</v>
      </c>
      <c r="K27" s="74" t="n">
        <v>4000</v>
      </c>
      <c r="L27" s="74" t="n">
        <v>4000</v>
      </c>
      <c r="M27" s="74" t="n">
        <v>4000</v>
      </c>
      <c r="N27" s="74" t="n">
        <v>4000</v>
      </c>
      <c r="O27" s="74" t="n">
        <v>4000</v>
      </c>
      <c r="P27" s="74" t="n">
        <v>4000</v>
      </c>
      <c r="Q27" s="74" t="n">
        <v>4000</v>
      </c>
      <c r="R27" s="74" t="n">
        <v>4000</v>
      </c>
      <c r="S27" s="74" t="n">
        <v>4000</v>
      </c>
      <c r="T27" s="74" t="n">
        <v>4000</v>
      </c>
      <c r="U27" s="74" t="n">
        <v>4000</v>
      </c>
      <c r="V27" s="74" t="n">
        <v>4000</v>
      </c>
      <c r="W27" s="74" t="n">
        <v>4000</v>
      </c>
      <c r="X27" s="74" t="n">
        <v>4000</v>
      </c>
      <c r="Y27" s="74" t="n">
        <v>4000</v>
      </c>
      <c r="Z27" s="74" t="n">
        <v>4000</v>
      </c>
      <c r="AA27" s="151" t="n">
        <v>4000</v>
      </c>
      <c r="AB27" s="74" t="n">
        <v>4000</v>
      </c>
      <c r="AC27" s="74" t="n">
        <v>4000</v>
      </c>
      <c r="AD27" s="74" t="n">
        <v>4000</v>
      </c>
      <c r="AE27" s="74" t="n">
        <v>4000</v>
      </c>
      <c r="AF27" s="74" t="n"/>
      <c r="AG27" s="12" t="n"/>
      <c r="AH27" s="18">
        <f>SUM(B27:AG27)</f>
        <v/>
      </c>
      <c r="AI27" s="99" t="n"/>
    </row>
    <row r="28" ht="16.5" customHeight="1" thickBot="1">
      <c r="A28" s="15" t="inlineStr">
        <is>
          <t xml:space="preserve">Total </t>
        </is>
      </c>
      <c r="B28" s="153">
        <f>SUM(B5:B27)</f>
        <v/>
      </c>
      <c r="C28" s="153">
        <f>SUM(C5:C27)</f>
        <v/>
      </c>
      <c r="D28" s="153">
        <f>SUM(D5:D27)</f>
        <v/>
      </c>
      <c r="E28" s="153">
        <f>SUM(E5:E27)</f>
        <v/>
      </c>
      <c r="F28" s="153">
        <f>SUM(F5:F27)</f>
        <v/>
      </c>
      <c r="G28" s="153">
        <f>SUM(G5:G27)</f>
        <v/>
      </c>
      <c r="H28" s="153">
        <f>SUM(H5:H27)</f>
        <v/>
      </c>
      <c r="I28" s="153">
        <f>SUM(I5:I27)</f>
        <v/>
      </c>
      <c r="J28" s="153">
        <f>SUM(J5:J27)</f>
        <v/>
      </c>
      <c r="K28" s="153">
        <f>SUM(K5:K27)</f>
        <v/>
      </c>
      <c r="L28" s="153">
        <f>SUM(L5:L27)</f>
        <v/>
      </c>
      <c r="M28" s="153">
        <f>SUM(M5:M27)</f>
        <v/>
      </c>
      <c r="N28" s="153">
        <f>SUM(N5:N27)</f>
        <v/>
      </c>
      <c r="O28" s="153">
        <f>SUM(O5:O27)</f>
        <v/>
      </c>
      <c r="P28" s="153">
        <f>SUM(P5:P27)</f>
        <v/>
      </c>
      <c r="Q28" s="153">
        <f>SUM(Q5:Q27)</f>
        <v/>
      </c>
      <c r="R28" s="153">
        <f>SUM(R5:R27)</f>
        <v/>
      </c>
      <c r="S28" s="153">
        <f>SUM(S5:S27)</f>
        <v/>
      </c>
      <c r="T28" s="153">
        <f>SUM(T5:T27)</f>
        <v/>
      </c>
      <c r="U28" s="153">
        <f>SUM(U5:U27)</f>
        <v/>
      </c>
      <c r="V28" s="153">
        <f>SUM(V5:V27)</f>
        <v/>
      </c>
      <c r="W28" s="153">
        <f>SUM(W5:W27)</f>
        <v/>
      </c>
      <c r="X28" s="153">
        <f>SUM(X5:X27)</f>
        <v/>
      </c>
      <c r="Y28" s="153">
        <f>SUM(Y5:Y27)</f>
        <v/>
      </c>
      <c r="Z28" s="153">
        <f>SUM(Z5:Z27)</f>
        <v/>
      </c>
      <c r="AA28" s="153">
        <f>SUM(AA5:AA27)</f>
        <v/>
      </c>
      <c r="AB28" s="153">
        <f>SUM(AB5:AB27)</f>
        <v/>
      </c>
      <c r="AC28" s="153">
        <f>SUM(AC5:AC27)</f>
        <v/>
      </c>
      <c r="AD28" s="153">
        <f>SUM(AD5:AD27)</f>
        <v/>
      </c>
      <c r="AE28" s="153">
        <f>SUM(AE5:AE27)</f>
        <v/>
      </c>
      <c r="AF28" s="153">
        <f>SUM(AF5:AF27)</f>
        <v/>
      </c>
      <c r="AG28" s="153">
        <f>SUM(AG5:AG27)</f>
        <v/>
      </c>
      <c r="AH28" s="126">
        <f>SUM(B28:AG28)</f>
        <v/>
      </c>
    </row>
    <row r="31">
      <c r="A31" s="1" t="n"/>
      <c r="B31" s="2" t="inlineStr">
        <is>
          <t>May</t>
        </is>
      </c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2" t="n"/>
      <c r="M31" s="2" t="n"/>
      <c r="N31" s="2" t="n"/>
      <c r="O31" s="2" t="n"/>
      <c r="P31" s="2" t="n"/>
      <c r="Q31" s="2" t="n"/>
      <c r="R31" s="2" t="n"/>
      <c r="S31" s="2" t="n"/>
      <c r="T31" s="2" t="n"/>
      <c r="U31" s="2" t="n"/>
      <c r="V31" s="2" t="n"/>
      <c r="W31" s="2" t="n"/>
      <c r="X31" s="2" t="n"/>
      <c r="Y31" s="2" t="n"/>
      <c r="Z31" s="2" t="n"/>
      <c r="AA31" s="2" t="n"/>
      <c r="AB31" s="2" t="n"/>
      <c r="AC31" s="2" t="n"/>
      <c r="AD31" s="2" t="n"/>
      <c r="AE31" s="1" t="n"/>
      <c r="AF31" s="1" t="n"/>
      <c r="AG31" s="1" t="n"/>
    </row>
    <row r="32">
      <c r="A32" s="1" t="n"/>
      <c r="B32" s="2" t="inlineStr">
        <is>
          <t>Thursday</t>
        </is>
      </c>
      <c r="C32" s="2" t="inlineStr">
        <is>
          <t>Friday</t>
        </is>
      </c>
      <c r="D32" s="2" t="inlineStr">
        <is>
          <t>Saturday</t>
        </is>
      </c>
      <c r="E32" s="2" t="inlineStr">
        <is>
          <t>Sunday</t>
        </is>
      </c>
      <c r="F32" s="2" t="inlineStr">
        <is>
          <t>Monday</t>
        </is>
      </c>
      <c r="G32" s="2" t="inlineStr">
        <is>
          <t>Tuesday</t>
        </is>
      </c>
      <c r="H32" s="2" t="inlineStr">
        <is>
          <t>Wednesday</t>
        </is>
      </c>
      <c r="I32" s="2" t="inlineStr">
        <is>
          <t>Thursday</t>
        </is>
      </c>
      <c r="J32" s="2" t="inlineStr">
        <is>
          <t>Friday</t>
        </is>
      </c>
      <c r="K32" s="2" t="inlineStr">
        <is>
          <t>Saturday</t>
        </is>
      </c>
      <c r="L32" s="2" t="inlineStr">
        <is>
          <t>Sunday</t>
        </is>
      </c>
      <c r="M32" s="2" t="inlineStr">
        <is>
          <t>Monday</t>
        </is>
      </c>
      <c r="N32" s="2" t="inlineStr">
        <is>
          <t>Tuesday</t>
        </is>
      </c>
      <c r="O32" s="2" t="inlineStr">
        <is>
          <t>Wednesday</t>
        </is>
      </c>
      <c r="P32" s="2" t="inlineStr">
        <is>
          <t>Thursday</t>
        </is>
      </c>
      <c r="Q32" s="2" t="inlineStr">
        <is>
          <t>Friday</t>
        </is>
      </c>
      <c r="R32" s="2" t="inlineStr">
        <is>
          <t>Saturday</t>
        </is>
      </c>
      <c r="S32" s="2" t="inlineStr">
        <is>
          <t>Sunday</t>
        </is>
      </c>
      <c r="T32" s="2" t="inlineStr">
        <is>
          <t>Monday</t>
        </is>
      </c>
      <c r="U32" s="2" t="inlineStr">
        <is>
          <t>Tuesday</t>
        </is>
      </c>
      <c r="V32" s="2" t="inlineStr">
        <is>
          <t>Wednesday</t>
        </is>
      </c>
      <c r="W32" s="2" t="inlineStr">
        <is>
          <t>Thursday</t>
        </is>
      </c>
      <c r="X32" s="2" t="inlineStr">
        <is>
          <t>Friday</t>
        </is>
      </c>
      <c r="Y32" s="2" t="inlineStr">
        <is>
          <t>Saturday</t>
        </is>
      </c>
      <c r="Z32" s="2" t="inlineStr">
        <is>
          <t>Sunday</t>
        </is>
      </c>
      <c r="AA32" s="2" t="inlineStr">
        <is>
          <t>Monday</t>
        </is>
      </c>
      <c r="AB32" s="2" t="inlineStr">
        <is>
          <t>Tuesday</t>
        </is>
      </c>
      <c r="AC32" s="2" t="inlineStr">
        <is>
          <t>Wednesday</t>
        </is>
      </c>
      <c r="AD32" s="2" t="inlineStr">
        <is>
          <t>Thursday</t>
        </is>
      </c>
      <c r="AE32" s="2" t="inlineStr">
        <is>
          <t>Friday</t>
        </is>
      </c>
      <c r="AF32" s="2" t="inlineStr">
        <is>
          <t>Saturday</t>
        </is>
      </c>
      <c r="AH32" s="2" t="inlineStr">
        <is>
          <t>Total</t>
        </is>
      </c>
    </row>
    <row r="33">
      <c r="A33" s="1" t="inlineStr">
        <is>
          <t>April</t>
        </is>
      </c>
      <c r="B33" s="3" t="inlineStr">
        <is>
          <t>1st</t>
        </is>
      </c>
      <c r="C33" s="3" t="inlineStr">
        <is>
          <t>2nd</t>
        </is>
      </c>
      <c r="D33" s="3" t="inlineStr">
        <is>
          <t>3rd</t>
        </is>
      </c>
      <c r="E33" s="3" t="inlineStr">
        <is>
          <t>4th</t>
        </is>
      </c>
      <c r="F33" s="4" t="inlineStr">
        <is>
          <t>5th</t>
        </is>
      </c>
      <c r="G33" s="4" t="inlineStr">
        <is>
          <t>6th</t>
        </is>
      </c>
      <c r="H33" s="4" t="inlineStr">
        <is>
          <t>7th</t>
        </is>
      </c>
      <c r="I33" s="4" t="inlineStr">
        <is>
          <t>8th</t>
        </is>
      </c>
      <c r="J33" s="4" t="inlineStr">
        <is>
          <t>9th</t>
        </is>
      </c>
      <c r="K33" s="4" t="inlineStr">
        <is>
          <t>10th</t>
        </is>
      </c>
      <c r="L33" s="4" t="inlineStr">
        <is>
          <t>11th</t>
        </is>
      </c>
      <c r="M33" s="5" t="inlineStr">
        <is>
          <t>12th</t>
        </is>
      </c>
      <c r="N33" s="5" t="inlineStr">
        <is>
          <t>13th</t>
        </is>
      </c>
      <c r="O33" s="5" t="inlineStr">
        <is>
          <t>14th</t>
        </is>
      </c>
      <c r="P33" s="5" t="inlineStr">
        <is>
          <t>15th</t>
        </is>
      </c>
      <c r="Q33" s="5" t="inlineStr">
        <is>
          <t>16th</t>
        </is>
      </c>
      <c r="R33" s="5" t="inlineStr">
        <is>
          <t>17th</t>
        </is>
      </c>
      <c r="S33" s="5" t="inlineStr">
        <is>
          <t>18th</t>
        </is>
      </c>
      <c r="T33" s="6" t="inlineStr">
        <is>
          <t>19th</t>
        </is>
      </c>
      <c r="U33" s="6" t="inlineStr">
        <is>
          <t>20th</t>
        </is>
      </c>
      <c r="V33" s="6" t="inlineStr">
        <is>
          <t>21st</t>
        </is>
      </c>
      <c r="W33" s="6" t="inlineStr">
        <is>
          <t>22nd</t>
        </is>
      </c>
      <c r="X33" s="6" t="inlineStr">
        <is>
          <t>23rd</t>
        </is>
      </c>
      <c r="Y33" s="6" t="inlineStr">
        <is>
          <t>24th</t>
        </is>
      </c>
      <c r="Z33" s="6" t="inlineStr">
        <is>
          <t>25th</t>
        </is>
      </c>
      <c r="AA33" s="7" t="inlineStr">
        <is>
          <t>26th</t>
        </is>
      </c>
      <c r="AB33" s="7" t="inlineStr">
        <is>
          <t>27th</t>
        </is>
      </c>
      <c r="AC33" s="7" t="inlineStr">
        <is>
          <t>28th</t>
        </is>
      </c>
      <c r="AD33" s="7" t="inlineStr">
        <is>
          <t>29th</t>
        </is>
      </c>
      <c r="AE33" s="7" t="inlineStr">
        <is>
          <t>30th</t>
        </is>
      </c>
      <c r="AF33" s="7" t="inlineStr">
        <is>
          <t>31st</t>
        </is>
      </c>
      <c r="AH33" s="1" t="n"/>
    </row>
    <row r="34" ht="15.75" customHeight="1">
      <c r="A34" s="8" t="inlineStr">
        <is>
          <t>B-HAM CITY COUNCIL-200790-70489166</t>
        </is>
      </c>
      <c r="B34" s="31" t="n"/>
      <c r="C34" s="157" t="n"/>
      <c r="D34" s="157" t="n"/>
      <c r="E34" s="157" t="n"/>
      <c r="F34" s="164" t="n"/>
      <c r="G34" s="157" t="n">
        <v>61393.72</v>
      </c>
      <c r="H34" s="157" t="n"/>
      <c r="I34" s="157" t="n"/>
      <c r="J34" s="157" t="n"/>
      <c r="K34" s="157" t="n"/>
      <c r="L34" s="157" t="n"/>
      <c r="M34" s="75" t="n"/>
      <c r="N34" s="31" t="n"/>
      <c r="O34" s="31" t="n"/>
      <c r="P34" s="75" t="n"/>
      <c r="Q34" s="157" t="n"/>
      <c r="R34" s="31" t="n"/>
      <c r="S34" s="31" t="n"/>
      <c r="T34" s="157" t="n"/>
      <c r="U34" s="31" t="n"/>
      <c r="V34" s="31" t="n"/>
      <c r="W34" s="157" t="n"/>
      <c r="X34" s="157" t="n"/>
      <c r="Y34" s="75" t="n"/>
      <c r="Z34" s="31" t="n"/>
      <c r="AA34" s="159" t="n"/>
      <c r="AB34" s="31" t="n"/>
      <c r="AC34" s="31" t="n">
        <v>65085.67</v>
      </c>
      <c r="AD34" s="122" t="n"/>
      <c r="AE34" s="122" t="n"/>
      <c r="AF34" s="122" t="n"/>
      <c r="AH34" s="18">
        <f>SUM(B34:AG34)</f>
        <v/>
      </c>
      <c r="AI34" s="99" t="n"/>
      <c r="AL34" s="99" t="n"/>
    </row>
    <row r="35" ht="15.75" customHeight="1">
      <c r="A35" s="8" t="inlineStr">
        <is>
          <t>Buckingham</t>
        </is>
      </c>
      <c r="B35" s="75" t="n"/>
      <c r="C35" s="16" t="n"/>
      <c r="D35" s="16" t="n"/>
      <c r="E35" s="31" t="n"/>
      <c r="F35" s="159" t="n"/>
      <c r="G35" s="31" t="n"/>
      <c r="H35" s="16" t="n"/>
      <c r="I35" s="75" t="n"/>
      <c r="J35" s="31" t="n">
        <v>5390.52</v>
      </c>
      <c r="K35" s="75" t="n"/>
      <c r="L35" s="75" t="n"/>
      <c r="M35" s="16" t="n"/>
      <c r="N35" s="31" t="n"/>
      <c r="O35" s="16" t="n"/>
      <c r="P35" s="75" t="n"/>
      <c r="Q35" s="16" t="n"/>
      <c r="R35" s="31" t="n"/>
      <c r="S35" s="31" t="n"/>
      <c r="T35" s="16" t="n"/>
      <c r="U35" s="31" t="n"/>
      <c r="V35" s="31" t="n"/>
      <c r="W35" s="75" t="n"/>
      <c r="X35" s="75" t="n"/>
      <c r="Y35" s="16" t="n"/>
      <c r="Z35" s="75" t="n"/>
      <c r="AA35" s="158" t="n"/>
      <c r="AB35" s="16" t="n"/>
      <c r="AC35" s="75" t="n"/>
      <c r="AD35" s="10" t="n"/>
      <c r="AE35" s="74" t="n"/>
      <c r="AF35" s="74" t="n"/>
      <c r="AH35" s="18">
        <f>SUM(B35:AG35)</f>
        <v/>
      </c>
      <c r="AI35" s="99" t="n"/>
      <c r="AL35" s="99" t="n"/>
    </row>
    <row r="36" ht="15.75" customHeight="1">
      <c r="A36" s="8" t="inlineStr">
        <is>
          <t>Sandwell Respite</t>
        </is>
      </c>
      <c r="B36" s="75" t="n"/>
      <c r="C36" s="75" t="n"/>
      <c r="D36" s="16" t="n"/>
      <c r="E36" s="75" t="n"/>
      <c r="F36" s="158" t="n"/>
      <c r="G36" s="16" t="n"/>
      <c r="H36" s="75" t="n"/>
      <c r="I36" s="16" t="n"/>
      <c r="J36" s="31" t="n"/>
      <c r="K36" s="16" t="n"/>
      <c r="L36" s="16" t="n"/>
      <c r="M36" s="16" t="n"/>
      <c r="N36" s="75" t="n"/>
      <c r="O36" s="31" t="n"/>
      <c r="P36" s="16" t="n"/>
      <c r="Q36" s="31" t="n"/>
      <c r="R36" s="31" t="n"/>
      <c r="S36" s="31" t="n"/>
      <c r="T36" s="16" t="n"/>
      <c r="U36" s="31" t="n"/>
      <c r="V36" s="31" t="n"/>
      <c r="W36" s="16" t="n"/>
      <c r="X36" s="16" t="n"/>
      <c r="Y36" s="16" t="n"/>
      <c r="Z36" s="75" t="n"/>
      <c r="AA36" s="162" t="n"/>
      <c r="AB36" s="16" t="n"/>
      <c r="AC36" s="75" t="n">
        <v>8531.110000000001</v>
      </c>
      <c r="AF36" s="74" t="n"/>
      <c r="AH36" s="18">
        <f>SUM(B36:AG36)</f>
        <v/>
      </c>
      <c r="AI36" s="99" t="n"/>
      <c r="AL36" s="99" t="n"/>
    </row>
    <row r="37" ht="15.75" customHeight="1">
      <c r="A37" s="8" t="inlineStr">
        <is>
          <t>Sandwell Daycare</t>
        </is>
      </c>
      <c r="B37" s="16" t="n"/>
      <c r="C37" s="16" t="n"/>
      <c r="D37" s="16" t="n"/>
      <c r="E37" s="31" t="n"/>
      <c r="F37" s="162" t="n"/>
      <c r="G37" s="16" t="n"/>
      <c r="H37" s="16" t="n"/>
      <c r="I37" s="16" t="n"/>
      <c r="J37" s="31" t="n"/>
      <c r="K37" s="16" t="n"/>
      <c r="L37" s="16" t="n"/>
      <c r="M37" s="16" t="n"/>
      <c r="N37" s="100" t="n"/>
      <c r="O37" s="16" t="n"/>
      <c r="P37" s="16" t="n"/>
      <c r="Q37" s="31" t="n"/>
      <c r="R37" s="31" t="n"/>
      <c r="S37" s="31" t="n"/>
      <c r="T37" s="16" t="n"/>
      <c r="U37" s="31" t="n"/>
      <c r="V37" s="31" t="n"/>
      <c r="W37" s="75" t="n"/>
      <c r="X37" s="31" t="n">
        <v>7640</v>
      </c>
      <c r="Y37" s="16" t="n"/>
      <c r="Z37" s="75" t="n"/>
      <c r="AA37" s="162" t="n"/>
      <c r="AB37" s="16" t="n"/>
      <c r="AC37" s="16" t="n"/>
      <c r="AD37" s="74" t="n"/>
      <c r="AE37" s="74" t="n"/>
      <c r="AF37" s="10" t="n"/>
      <c r="AG37" s="108" t="n"/>
      <c r="AH37" s="18">
        <f>SUM(B37:AG37)</f>
        <v/>
      </c>
      <c r="AI37" s="99" t="n"/>
      <c r="AL37" s="99" t="n"/>
    </row>
    <row r="38" ht="15.75" customHeight="1">
      <c r="A38" s="8" t="inlineStr">
        <is>
          <t xml:space="preserve">Wolverhampton Respite </t>
        </is>
      </c>
      <c r="B38" s="75" t="n"/>
      <c r="C38" s="16" t="n"/>
      <c r="D38" s="31" t="n"/>
      <c r="E38" s="31" t="n"/>
      <c r="F38" s="159" t="n"/>
      <c r="G38" s="31" t="n"/>
      <c r="H38" s="31" t="n"/>
      <c r="I38" s="31" t="n"/>
      <c r="J38" s="31" t="n"/>
      <c r="K38" s="31" t="n"/>
      <c r="L38" s="31" t="n"/>
      <c r="M38" s="31" t="n"/>
      <c r="N38" s="31" t="n"/>
      <c r="O38" s="31" t="n"/>
      <c r="P38" s="31" t="n"/>
      <c r="Q38" s="31" t="n"/>
      <c r="R38" s="31" t="n"/>
      <c r="S38" s="31" t="n"/>
      <c r="T38" s="31" t="n"/>
      <c r="U38" s="31" t="n"/>
      <c r="V38" s="31" t="n"/>
      <c r="W38" s="31" t="n"/>
      <c r="X38" s="31" t="n"/>
      <c r="Y38" s="31" t="n"/>
      <c r="Z38" s="75" t="n"/>
      <c r="AA38" s="158" t="n"/>
      <c r="AB38" s="75" t="n"/>
      <c r="AC38" s="16" t="n"/>
      <c r="AD38" s="74" t="n"/>
      <c r="AE38" s="74" t="n"/>
      <c r="AF38" s="74" t="n"/>
      <c r="AG38" s="12" t="n"/>
      <c r="AH38" s="18">
        <f>SUM(B38:AG38)</f>
        <v/>
      </c>
      <c r="AI38" s="99" t="n"/>
      <c r="AL38" s="99" t="n"/>
    </row>
    <row r="39" ht="15.75" customHeight="1">
      <c r="A39" s="8" t="inlineStr">
        <is>
          <t>Wolverhampton Daycare</t>
        </is>
      </c>
      <c r="B39" s="16" t="n">
        <v>6039.74</v>
      </c>
      <c r="C39" s="16" t="n"/>
      <c r="D39" s="31" t="n"/>
      <c r="E39" s="31" t="n"/>
      <c r="F39" s="159" t="n"/>
      <c r="G39" s="75" t="n"/>
      <c r="H39" s="75" t="n"/>
      <c r="I39" s="31" t="n"/>
      <c r="J39" s="31" t="n">
        <v>6039.74</v>
      </c>
      <c r="K39" s="31" t="n"/>
      <c r="L39" s="75" t="n"/>
      <c r="M39" s="75" t="n"/>
      <c r="N39" s="31" t="n"/>
      <c r="O39" s="75" t="n"/>
      <c r="P39" s="31">
        <f>5800*106.61%</f>
        <v/>
      </c>
      <c r="Q39" s="31" t="n"/>
      <c r="R39" s="31" t="n"/>
      <c r="S39" s="31" t="n"/>
      <c r="T39" s="75" t="n"/>
      <c r="U39" s="31" t="n"/>
      <c r="V39" s="31" t="n"/>
      <c r="W39" s="31">
        <f>5800*106.61%</f>
        <v/>
      </c>
      <c r="X39" s="75" t="n"/>
      <c r="Y39" s="31" t="n"/>
      <c r="Z39" s="16" t="n"/>
      <c r="AA39" s="162" t="n"/>
      <c r="AB39" s="16" t="n"/>
      <c r="AC39" s="31" t="n"/>
      <c r="AE39" s="12">
        <f>5800*106.61%</f>
        <v/>
      </c>
      <c r="AF39" s="10" t="n"/>
      <c r="AG39" s="12" t="n"/>
      <c r="AH39" s="18">
        <f>SUM(B39:AG39)</f>
        <v/>
      </c>
      <c r="AI39" s="99" t="n"/>
      <c r="AL39" s="99" t="n"/>
    </row>
    <row r="40" ht="15.75" customHeight="1">
      <c r="A40" s="8" t="inlineStr">
        <is>
          <t>Walsall Respite</t>
        </is>
      </c>
      <c r="B40" s="75" t="n"/>
      <c r="C40" s="16" t="n"/>
      <c r="D40" s="16" t="n"/>
      <c r="E40" s="75" t="n"/>
      <c r="F40" s="158" t="n"/>
      <c r="G40" s="16" t="n">
        <v>11797.6</v>
      </c>
      <c r="H40" s="31" t="n"/>
      <c r="I40" s="155" t="n"/>
      <c r="J40" s="31" t="n"/>
      <c r="K40" s="16" t="n"/>
      <c r="L40" s="75" t="n"/>
      <c r="M40" s="75" t="n"/>
      <c r="N40" s="16" t="n"/>
      <c r="O40" s="31" t="n"/>
      <c r="P40" s="75" t="n"/>
      <c r="Q40" s="31" t="n"/>
      <c r="R40" s="31" t="n"/>
      <c r="S40" s="31" t="n"/>
      <c r="T40" s="16" t="n"/>
      <c r="U40" s="31" t="n"/>
      <c r="V40" s="31" t="n"/>
      <c r="W40" s="16" t="n"/>
      <c r="X40" s="16" t="n"/>
      <c r="Y40" s="75" t="n"/>
      <c r="Z40" s="16" t="n"/>
      <c r="AA40" s="162" t="n"/>
      <c r="AB40" s="16" t="n"/>
      <c r="AC40" s="31" t="n"/>
      <c r="AD40" s="74" t="n"/>
      <c r="AE40" s="74" t="n"/>
      <c r="AF40" s="74" t="n"/>
      <c r="AG40" s="12" t="n"/>
      <c r="AH40" s="18">
        <f>SUM(B40:AG40)</f>
        <v/>
      </c>
      <c r="AI40" s="99" t="n"/>
      <c r="AL40" s="99" t="n"/>
    </row>
    <row r="41" ht="15.75" customHeight="1">
      <c r="A41" s="8" t="inlineStr">
        <is>
          <t>Walsall Daycare</t>
        </is>
      </c>
      <c r="B41" s="16" t="n"/>
      <c r="C41" s="16" t="n"/>
      <c r="D41" s="16" t="n"/>
      <c r="E41" s="75" t="n"/>
      <c r="F41" s="158" t="n"/>
      <c r="G41" s="16" t="n"/>
      <c r="H41" s="31" t="n"/>
      <c r="I41" s="16" t="n"/>
      <c r="J41" s="31" t="n"/>
      <c r="K41" s="16" t="n"/>
      <c r="L41" s="16" t="n"/>
      <c r="M41" s="16" t="n"/>
      <c r="N41" s="16" t="n"/>
      <c r="O41" s="16" t="n"/>
      <c r="P41" s="31" t="n"/>
      <c r="Q41" s="31" t="n"/>
      <c r="R41" s="31" t="n"/>
      <c r="S41" s="31" t="n"/>
      <c r="T41" s="16" t="n"/>
      <c r="U41" s="31" t="n"/>
      <c r="V41" s="31" t="n"/>
      <c r="W41" s="16" t="n"/>
      <c r="X41" s="16" t="n"/>
      <c r="Y41" s="16" t="n"/>
      <c r="Z41" s="16" t="n"/>
      <c r="AA41" s="162" t="n"/>
      <c r="AB41" s="16" t="n"/>
      <c r="AC41" s="31" t="n"/>
      <c r="AD41" s="74" t="n"/>
      <c r="AE41" s="74" t="n"/>
      <c r="AF41" s="10" t="n"/>
      <c r="AG41" s="12" t="n"/>
      <c r="AH41" s="18">
        <f>SUM(B41:AG41)</f>
        <v/>
      </c>
      <c r="AI41" s="99" t="n"/>
    </row>
    <row r="42" ht="15.75" customHeight="1">
      <c r="A42" s="8" t="inlineStr">
        <is>
          <t>Ideal for All Ltd</t>
        </is>
      </c>
      <c r="B42" s="75" t="n"/>
      <c r="C42" s="75" t="n"/>
      <c r="D42" s="75" t="n"/>
      <c r="E42" s="75" t="n"/>
      <c r="F42" s="158" t="n"/>
      <c r="G42" s="75" t="n"/>
      <c r="H42" s="31" t="n"/>
      <c r="I42" s="31" t="n"/>
      <c r="J42" s="31" t="n"/>
      <c r="K42" s="16" t="n"/>
      <c r="L42" s="16" t="n"/>
      <c r="M42" s="31" t="n">
        <v>4120.88</v>
      </c>
      <c r="N42" s="31" t="n"/>
      <c r="O42" s="31" t="n"/>
      <c r="P42" s="16" t="n"/>
      <c r="Q42" s="31" t="n"/>
      <c r="R42" s="16" t="n"/>
      <c r="S42" s="16" t="n"/>
      <c r="T42" s="16" t="n"/>
      <c r="U42" s="16" t="n"/>
      <c r="V42" s="16" t="n"/>
      <c r="W42" s="16" t="n"/>
      <c r="X42" s="16" t="n"/>
      <c r="Y42" s="16" t="n"/>
      <c r="Z42" s="75" t="n"/>
      <c r="AA42" s="158" t="n"/>
      <c r="AB42" s="75" t="n"/>
      <c r="AC42" s="31" t="n"/>
      <c r="AD42" s="10" t="n"/>
      <c r="AE42" s="74" t="n"/>
      <c r="AF42" s="74" t="n"/>
      <c r="AH42" s="18">
        <f>SUM(B42:AG42)</f>
        <v/>
      </c>
      <c r="AI42" s="99" t="n"/>
    </row>
    <row r="43" ht="15.75" customHeight="1">
      <c r="A43" s="8" t="inlineStr">
        <is>
          <t>KIRKLEES COUNCIL-204312-63046958</t>
        </is>
      </c>
      <c r="B43" s="31" t="n"/>
      <c r="C43" s="75" t="n"/>
      <c r="D43" s="16" t="n"/>
      <c r="E43" s="16" t="n"/>
      <c r="F43" s="162" t="n"/>
      <c r="G43" s="16" t="n"/>
      <c r="H43" s="31" t="n"/>
      <c r="I43" s="16" t="n"/>
      <c r="J43" s="31" t="n"/>
      <c r="K43" s="31" t="n"/>
      <c r="L43" s="75" t="n"/>
      <c r="M43" s="31" t="n"/>
      <c r="N43" s="31" t="n"/>
      <c r="O43" s="31" t="n"/>
      <c r="P43" s="75" t="n"/>
      <c r="Q43" s="31" t="n"/>
      <c r="R43" s="75" t="n"/>
      <c r="S43" s="75" t="n"/>
      <c r="T43" s="31" t="n"/>
      <c r="U43" s="75" t="n"/>
      <c r="V43" s="31" t="n"/>
      <c r="W43" s="75" t="n"/>
      <c r="X43" s="16" t="n"/>
      <c r="Y43" s="16" t="n"/>
      <c r="Z43" s="31" t="n"/>
      <c r="AA43" s="162" t="n"/>
      <c r="AB43" s="31" t="n"/>
      <c r="AC43" s="31" t="n"/>
      <c r="AD43" s="12" t="n">
        <v>5318.32</v>
      </c>
      <c r="AE43" s="10" t="n"/>
      <c r="AF43" s="10" t="n"/>
      <c r="AH43" s="18">
        <f>SUM(B43:AG43)</f>
        <v/>
      </c>
      <c r="AI43" s="99" t="n"/>
    </row>
    <row r="44" ht="15.75" customHeight="1">
      <c r="A44" s="8" t="inlineStr">
        <is>
          <t>LBH PAYMENTS BACS-602210-72430192</t>
        </is>
      </c>
      <c r="B44" s="31" t="n"/>
      <c r="C44" s="16" t="n"/>
      <c r="D44" s="75" t="n"/>
      <c r="E44" s="75" t="n"/>
      <c r="F44" s="158" t="n"/>
      <c r="G44" s="75" t="n"/>
      <c r="H44" s="31" t="n"/>
      <c r="I44" s="75" t="n"/>
      <c r="J44" s="31" t="n"/>
      <c r="K44" s="16" t="n"/>
      <c r="L44" s="16" t="n"/>
      <c r="M44" s="31" t="n"/>
      <c r="N44" s="75" t="n"/>
      <c r="O44" s="31" t="n">
        <v>5203.8</v>
      </c>
      <c r="P44" s="75" t="n"/>
      <c r="Q44" s="31" t="n"/>
      <c r="R44" s="75" t="n"/>
      <c r="S44" s="31" t="n"/>
      <c r="T44" s="16" t="n"/>
      <c r="U44" s="16" t="n"/>
      <c r="V44" s="16" t="n"/>
      <c r="W44" s="16" t="n"/>
      <c r="X44" s="16" t="n"/>
      <c r="Y44" s="16" t="n"/>
      <c r="Z44" s="31" t="n"/>
      <c r="AA44" s="162" t="n"/>
      <c r="AB44" s="75" t="n"/>
      <c r="AC44" s="31" t="n"/>
      <c r="AD44" s="10" t="n"/>
      <c r="AE44" s="10" t="n"/>
      <c r="AF44" s="74" t="n"/>
      <c r="AH44" s="18">
        <f>SUM(B44:AG44)</f>
        <v/>
      </c>
      <c r="AI44" s="99" t="n"/>
    </row>
    <row r="45" ht="15.75" customHeight="1">
      <c r="A45" s="8" t="inlineStr">
        <is>
          <t>NHS BIRMINGHAM &amp; S-607080-10017097</t>
        </is>
      </c>
      <c r="B45" s="31" t="n"/>
      <c r="C45" s="75" t="n"/>
      <c r="D45" s="75" t="n"/>
      <c r="E45" s="16" t="n"/>
      <c r="F45" s="158" t="n"/>
      <c r="G45" s="16" t="n"/>
      <c r="H45" s="31" t="n"/>
      <c r="I45" s="75" t="n"/>
      <c r="J45" s="31" t="n"/>
      <c r="K45" s="31" t="n"/>
      <c r="L45" s="31" t="n"/>
      <c r="M45" s="31" t="n"/>
      <c r="N45" s="31" t="n"/>
      <c r="O45" s="31" t="n"/>
      <c r="P45" s="31" t="n">
        <v>7202.01</v>
      </c>
      <c r="Q45" s="31" t="n"/>
      <c r="R45" s="75" t="n"/>
      <c r="S45" s="31" t="n"/>
      <c r="T45" s="16" t="n"/>
      <c r="U45" s="75" t="n"/>
      <c r="V45" s="16" t="n"/>
      <c r="W45" s="75" t="n"/>
      <c r="X45" s="16" t="n"/>
      <c r="Y45" s="31" t="n"/>
      <c r="Z45" s="31" t="n"/>
      <c r="AA45" s="159" t="n"/>
      <c r="AB45" s="16" t="n"/>
      <c r="AC45" s="31" t="n"/>
      <c r="AD45" s="74" t="n"/>
      <c r="AE45" s="10" t="n"/>
      <c r="AF45" s="10" t="n"/>
      <c r="AH45" s="18">
        <f>SUM(B45:AG45)</f>
        <v/>
      </c>
      <c r="AI45" s="99" t="n"/>
    </row>
    <row r="46" ht="15.75" customHeight="1">
      <c r="A46" s="8" t="inlineStr">
        <is>
          <t>NHS BLACK COUNTRY-607080-10015272</t>
        </is>
      </c>
      <c r="B46" s="31" t="n"/>
      <c r="C46" s="31" t="n"/>
      <c r="D46" s="31" t="n"/>
      <c r="E46" s="75" t="n"/>
      <c r="F46" s="158" t="n"/>
      <c r="G46" s="75" t="n"/>
      <c r="H46" s="31" t="n"/>
      <c r="I46" s="31" t="n"/>
      <c r="J46" s="31" t="n"/>
      <c r="K46" s="75" t="n"/>
      <c r="L46" s="75" t="n"/>
      <c r="M46" s="31" t="n"/>
      <c r="N46" s="31" t="n"/>
      <c r="O46" s="31" t="n"/>
      <c r="P46" s="31" t="n">
        <v>19960.73</v>
      </c>
      <c r="Q46" s="31" t="n"/>
      <c r="R46" s="75" t="n"/>
      <c r="S46" s="31" t="n"/>
      <c r="T46" s="16" t="n"/>
      <c r="U46" s="75" t="n"/>
      <c r="V46" s="16" t="n"/>
      <c r="W46" s="75" t="n"/>
      <c r="X46" s="31" t="n">
        <v>3901.8</v>
      </c>
      <c r="Y46" s="31" t="n"/>
      <c r="Z46" s="31" t="n"/>
      <c r="AA46" s="158" t="n"/>
      <c r="AB46" s="75" t="n"/>
      <c r="AC46" s="31" t="n"/>
      <c r="AD46" s="74" t="n"/>
      <c r="AE46" s="74" t="n"/>
      <c r="AF46" s="74" t="n"/>
      <c r="AH46" s="18">
        <f>SUM(B46:AG46)</f>
        <v/>
      </c>
      <c r="AI46" s="99" t="n"/>
    </row>
    <row r="47" ht="15.75" customHeight="1">
      <c r="A47" s="14" t="inlineStr">
        <is>
          <t>SANDWELL MBC  BEN-601539-69624151</t>
        </is>
      </c>
      <c r="B47" s="75" t="n"/>
      <c r="C47" s="16" t="n"/>
      <c r="D47" s="31" t="n"/>
      <c r="E47" s="16" t="n"/>
      <c r="F47" s="159" t="n"/>
      <c r="G47" s="75" t="n"/>
      <c r="H47" s="31" t="n"/>
      <c r="I47" s="16" t="n"/>
      <c r="J47" s="31" t="n"/>
      <c r="K47" s="75" t="n"/>
      <c r="L47" s="75" t="n"/>
      <c r="M47" s="31" t="n"/>
      <c r="N47" s="31" t="n"/>
      <c r="O47" s="31" t="n"/>
      <c r="P47" s="31" t="n"/>
      <c r="Q47" s="31" t="n"/>
      <c r="R47" s="75" t="n"/>
      <c r="S47" s="31" t="n"/>
      <c r="T47" s="31" t="n"/>
      <c r="U47" s="16" t="n"/>
      <c r="V47" s="31" t="n"/>
      <c r="W47" s="75" t="n"/>
      <c r="X47" s="31" t="n">
        <v>1330</v>
      </c>
      <c r="Y47" s="16" t="n"/>
      <c r="Z47" s="31" t="n"/>
      <c r="AA47" s="162" t="n"/>
      <c r="AB47" s="31" t="n"/>
      <c r="AC47" s="75" t="n"/>
      <c r="AD47" s="74" t="n"/>
      <c r="AE47" s="74" t="n"/>
      <c r="AF47" s="74" t="n"/>
      <c r="AH47" s="18">
        <f>SUM(B47:AG47)</f>
        <v/>
      </c>
      <c r="AI47" s="99" t="n"/>
    </row>
    <row r="48" ht="15.75" customHeight="1">
      <c r="A48" s="14" t="inlineStr">
        <is>
          <t>SANDWELL MBC-601539-69624135</t>
        </is>
      </c>
      <c r="B48" s="75" t="n"/>
      <c r="C48" s="75" t="n"/>
      <c r="D48" s="31" t="n"/>
      <c r="E48" s="31" t="n"/>
      <c r="F48" s="163" t="n"/>
      <c r="G48" s="16" t="n"/>
      <c r="H48" s="75" t="n"/>
      <c r="I48" s="16" t="n"/>
      <c r="J48" s="31" t="n">
        <v>2801.6</v>
      </c>
      <c r="K48" s="75" t="n"/>
      <c r="L48" s="75" t="n"/>
      <c r="M48" s="31" t="n">
        <v>142475.22</v>
      </c>
      <c r="N48" s="75" t="n"/>
      <c r="O48" s="75" t="n"/>
      <c r="P48" s="31" t="n"/>
      <c r="Q48" s="31" t="n"/>
      <c r="R48" s="31" t="n"/>
      <c r="S48" s="31" t="n"/>
      <c r="T48" s="31" t="n"/>
      <c r="U48" s="16" t="n"/>
      <c r="V48" s="16" t="n"/>
      <c r="W48" s="75" t="n"/>
      <c r="X48" s="31" t="n"/>
      <c r="Y48" s="16" t="n"/>
      <c r="Z48" s="31" t="n"/>
      <c r="AA48" s="162" t="n"/>
      <c r="AB48" s="75" t="n"/>
      <c r="AC48" s="75" t="n">
        <v>135000</v>
      </c>
      <c r="AD48" s="12" t="n"/>
      <c r="AE48" s="74" t="n"/>
      <c r="AF48" s="74" t="n"/>
      <c r="AH48" s="18">
        <f>SUM(B48:AG48)</f>
        <v/>
      </c>
      <c r="AI48" s="99" t="n"/>
    </row>
    <row r="49" ht="15.75" customHeight="1">
      <c r="A49" s="15" t="inlineStr">
        <is>
          <t>SOLIHULL MBC EXP.-200771-00561525</t>
        </is>
      </c>
      <c r="B49" s="75" t="n"/>
      <c r="C49" s="75" t="n"/>
      <c r="D49" s="31" t="n"/>
      <c r="E49" s="75" t="n"/>
      <c r="F49" s="158" t="n"/>
      <c r="G49" s="75" t="n"/>
      <c r="H49" s="75" t="n"/>
      <c r="I49" s="16" t="n"/>
      <c r="J49" s="75" t="n"/>
      <c r="K49" s="75" t="n"/>
      <c r="L49" s="75" t="n"/>
      <c r="M49" s="31" t="n"/>
      <c r="N49" s="75" t="n"/>
      <c r="O49" s="31" t="n"/>
      <c r="P49" s="31" t="n"/>
      <c r="Q49" s="31" t="n"/>
      <c r="R49" s="75" t="n"/>
      <c r="S49" s="31" t="n"/>
      <c r="T49" s="31" t="n">
        <v>33031.6</v>
      </c>
      <c r="U49" s="75" t="n"/>
      <c r="V49" s="31" t="n"/>
      <c r="W49" s="75" t="n"/>
      <c r="X49" s="16" t="n"/>
      <c r="Y49" s="31" t="n"/>
      <c r="Z49" s="31" t="n"/>
      <c r="AA49" s="158" t="n"/>
      <c r="AB49" s="31" t="n"/>
      <c r="AC49" s="161" t="n"/>
      <c r="AD49" s="74" t="n"/>
      <c r="AE49" s="74" t="n"/>
      <c r="AF49" s="74" t="n"/>
      <c r="AH49" s="18">
        <f>SUM(B49:AG49)</f>
        <v/>
      </c>
      <c r="AI49" s="99" t="n"/>
    </row>
    <row r="50" ht="15.75" customHeight="1">
      <c r="A50" s="15" t="inlineStr">
        <is>
          <t>WALSALL MBC BARC-209073-10731692</t>
        </is>
      </c>
      <c r="B50" s="75" t="n"/>
      <c r="C50" s="75" t="n"/>
      <c r="D50" s="31" t="n"/>
      <c r="E50" s="75" t="n"/>
      <c r="F50" s="158" t="n"/>
      <c r="G50" s="75">
        <f>273296.49-G40</f>
        <v/>
      </c>
      <c r="H50" s="75" t="n"/>
      <c r="I50" s="75" t="n"/>
      <c r="J50" s="75" t="n"/>
      <c r="K50" s="75" t="n"/>
      <c r="L50" s="75" t="n"/>
      <c r="M50" s="75" t="n"/>
      <c r="N50" s="31" t="n"/>
      <c r="O50" s="31" t="n"/>
      <c r="P50" s="31" t="n"/>
      <c r="Q50" s="31" t="n">
        <v>3040</v>
      </c>
      <c r="R50" s="75" t="n"/>
      <c r="S50" s="31" t="n"/>
      <c r="T50" s="75" t="n"/>
      <c r="U50" s="31" t="n"/>
      <c r="V50" s="31" t="n"/>
      <c r="W50" s="75" t="n"/>
      <c r="X50" s="16" t="n"/>
      <c r="Y50" s="75" t="n"/>
      <c r="Z50" s="75" t="n"/>
      <c r="AA50" s="158" t="n"/>
      <c r="AB50" s="75" t="n"/>
      <c r="AC50" s="75" t="n"/>
      <c r="AD50" s="74" t="n"/>
      <c r="AE50" s="74" t="n"/>
      <c r="AF50" s="74" t="n"/>
      <c r="AH50" s="18">
        <f>SUM(B50:AG50)</f>
        <v/>
      </c>
    </row>
    <row r="51" ht="15.75" customHeight="1">
      <c r="A51" s="15" t="inlineStr">
        <is>
          <t>WOLVERHAMPTON CC-560069-44470320</t>
        </is>
      </c>
      <c r="B51" s="75">
        <f>130591.82-B39</f>
        <v/>
      </c>
      <c r="C51" s="31" t="n">
        <v>1105.6</v>
      </c>
      <c r="D51" s="31" t="n"/>
      <c r="E51" s="31" t="n"/>
      <c r="F51" s="159" t="n"/>
      <c r="G51" s="75" t="n"/>
      <c r="H51" s="31" t="n"/>
      <c r="I51" s="31" t="n"/>
      <c r="J51" s="75">
        <f>130591.82-J39</f>
        <v/>
      </c>
      <c r="K51" s="75" t="n"/>
      <c r="L51" s="31" t="n"/>
      <c r="M51" s="75" t="n"/>
      <c r="N51" s="31" t="n"/>
      <c r="O51" s="31" t="n"/>
      <c r="P51" s="75">
        <f>131793.26-P39</f>
        <v/>
      </c>
      <c r="Q51" s="31" t="n"/>
      <c r="R51" s="75" t="n"/>
      <c r="S51" s="31" t="n"/>
      <c r="T51" s="75" t="n"/>
      <c r="U51" s="31" t="n"/>
      <c r="V51" s="31" t="n"/>
      <c r="W51" s="75">
        <f>130591.82-W39</f>
        <v/>
      </c>
      <c r="X51" s="31" t="n">
        <v>11020</v>
      </c>
      <c r="Y51" s="75" t="n"/>
      <c r="Z51" s="16" t="n"/>
      <c r="AA51" s="158" t="n"/>
      <c r="AB51" s="31" t="n"/>
      <c r="AC51" s="75" t="n"/>
      <c r="AE51" s="75">
        <f>130591.82-AE39</f>
        <v/>
      </c>
      <c r="AF51" s="74" t="n"/>
      <c r="AH51" s="18">
        <f>SUM(B51:AG51)</f>
        <v/>
      </c>
    </row>
    <row r="52" ht="15.75" customHeight="1">
      <c r="A52" s="15" t="inlineStr">
        <is>
          <t>People Plus</t>
        </is>
      </c>
      <c r="B52" s="31" t="n"/>
      <c r="C52" s="75" t="n"/>
      <c r="D52" s="31" t="n"/>
      <c r="E52" s="31" t="n"/>
      <c r="F52" s="159" t="n"/>
      <c r="G52" s="31" t="n"/>
      <c r="H52" s="31" t="n"/>
      <c r="I52" s="75" t="n"/>
      <c r="J52" s="75" t="n"/>
      <c r="K52" s="31" t="n"/>
      <c r="L52" s="75" t="n"/>
      <c r="M52" s="31" t="n">
        <v>1088</v>
      </c>
      <c r="N52" s="31" t="n"/>
      <c r="O52" s="75" t="n"/>
      <c r="P52" s="31" t="n"/>
      <c r="Q52" s="31" t="n">
        <v>4097.2</v>
      </c>
      <c r="R52" s="31" t="n"/>
      <c r="S52" s="75" t="n"/>
      <c r="T52" s="31" t="n"/>
      <c r="U52" s="31" t="n">
        <v>6997.2</v>
      </c>
      <c r="V52" s="31" t="n"/>
      <c r="W52" s="31" t="n"/>
      <c r="X52" s="75" t="n"/>
      <c r="Y52" s="31" t="n"/>
      <c r="Z52" s="75" t="n"/>
      <c r="AA52" s="159" t="n"/>
      <c r="AB52" s="75" t="n"/>
      <c r="AC52" s="31" t="n"/>
      <c r="AD52" s="10" t="n"/>
      <c r="AE52" s="74" t="n"/>
      <c r="AF52" s="74" t="n"/>
      <c r="AH52" s="18">
        <f>SUM(B52:AG52)</f>
        <v/>
      </c>
      <c r="AI52" s="99" t="n"/>
    </row>
    <row r="53" ht="15.75" customHeight="1">
      <c r="A53" s="15" t="inlineStr">
        <is>
          <t xml:space="preserve">Middlesbrough council </t>
        </is>
      </c>
      <c r="B53" s="31" t="n"/>
      <c r="C53" s="75" t="n"/>
      <c r="D53" s="31" t="n"/>
      <c r="E53" s="75" t="n"/>
      <c r="F53" s="158" t="n"/>
      <c r="G53" s="31" t="n"/>
      <c r="H53" s="31" t="n"/>
      <c r="I53" s="16" t="n"/>
      <c r="J53" s="31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31" t="n"/>
      <c r="T53" s="75" t="n"/>
      <c r="U53" s="31" t="n"/>
      <c r="V53" t="n">
        <v>5544</v>
      </c>
      <c r="W53" s="31" t="n"/>
      <c r="X53" s="75" t="n"/>
      <c r="Y53" s="31" t="n"/>
      <c r="Z53" s="31" t="n"/>
      <c r="AA53" s="158" t="n"/>
      <c r="AB53" s="31" t="n"/>
      <c r="AC53" s="75" t="n"/>
      <c r="AD53" s="12" t="n"/>
      <c r="AE53" s="74" t="n"/>
      <c r="AF53" s="74" t="n"/>
      <c r="AH53" s="18">
        <f>SUM(B53:AG53)</f>
        <v/>
      </c>
      <c r="AI53" s="99" t="n"/>
    </row>
    <row r="54" ht="15.75" customHeight="1">
      <c r="A54" s="15" t="inlineStr">
        <is>
          <t>West  Northamptonshire Council</t>
        </is>
      </c>
      <c r="B54" s="31" t="n"/>
      <c r="C54" s="75" t="n"/>
      <c r="D54" s="75" t="n"/>
      <c r="E54" s="75" t="n"/>
      <c r="F54" s="158" t="n"/>
      <c r="G54" s="31" t="n"/>
      <c r="H54" s="31" t="n"/>
      <c r="I54" s="16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31" t="n"/>
      <c r="T54" s="75" t="n"/>
      <c r="U54" s="31" t="n"/>
      <c r="V54" s="31" t="n"/>
      <c r="W54" s="31" t="n"/>
      <c r="X54" s="75" t="n"/>
      <c r="Y54" s="31" t="n"/>
      <c r="Z54" s="31" t="n"/>
      <c r="AA54" s="158" t="n"/>
      <c r="AB54" s="31" t="n"/>
      <c r="AC54" s="75" t="n"/>
      <c r="AD54" s="74" t="n">
        <v>7000</v>
      </c>
      <c r="AE54" s="74" t="n"/>
      <c r="AF54" s="74" t="n"/>
      <c r="AH54" s="18">
        <f>SUM(B54:AG54)</f>
        <v/>
      </c>
      <c r="AI54" s="99" t="n"/>
    </row>
    <row r="55" ht="15.75" customHeight="1">
      <c r="A55" s="15" t="inlineStr">
        <is>
          <t>CHASING</t>
        </is>
      </c>
      <c r="B55" s="75" t="n"/>
      <c r="C55" s="75" t="n"/>
      <c r="D55" s="75" t="n"/>
      <c r="E55" s="75" t="n"/>
      <c r="F55" s="159" t="n"/>
      <c r="G55" s="31" t="n"/>
      <c r="H55" s="31" t="n"/>
      <c r="I55" s="75" t="n"/>
      <c r="J55" s="75" t="n"/>
      <c r="K55" s="75" t="n"/>
      <c r="L55" s="75" t="n"/>
      <c r="M55" s="31" t="n"/>
      <c r="N55" s="75" t="n"/>
      <c r="O55" s="31" t="n">
        <v>9776.799999999999</v>
      </c>
      <c r="P55" s="75" t="n"/>
      <c r="Q55" s="75" t="n"/>
      <c r="R55" s="31" t="n"/>
      <c r="S55" s="31" t="n"/>
      <c r="T55" s="75" t="n"/>
      <c r="U55" s="31" t="n"/>
      <c r="V55" s="31" t="n"/>
      <c r="W55" s="75" t="n">
        <v>3627.04</v>
      </c>
      <c r="X55" s="75" t="n"/>
      <c r="Y55" s="75" t="n"/>
      <c r="Z55" s="75" t="n"/>
      <c r="AA55" s="158" t="n"/>
      <c r="AB55" s="75" t="n">
        <v>4356</v>
      </c>
      <c r="AC55" s="75" t="n"/>
      <c r="AD55" s="74" t="n"/>
      <c r="AE55" s="74" t="n"/>
      <c r="AF55" s="74">
        <f>30000-W55-O55</f>
        <v/>
      </c>
      <c r="AH55" s="18">
        <f>SUM(B55:AG55)</f>
        <v/>
      </c>
      <c r="AI55" s="99" t="n"/>
    </row>
    <row r="56" ht="15.75" customHeight="1">
      <c r="A56" s="15" t="inlineStr">
        <is>
          <t>HB SC</t>
        </is>
      </c>
      <c r="B56" s="75" t="n">
        <v>5286.93</v>
      </c>
      <c r="C56" s="75" t="n">
        <v>5444.879999999999</v>
      </c>
      <c r="D56" s="75" t="n">
        <v>0</v>
      </c>
      <c r="E56" s="75" t="n">
        <v>0</v>
      </c>
      <c r="F56" s="158" t="n">
        <v>767.5</v>
      </c>
      <c r="G56" s="75" t="n">
        <v>9336.310000000027</v>
      </c>
      <c r="H56" s="75" t="n">
        <v>270</v>
      </c>
      <c r="I56" s="75" t="n">
        <v>1657.77</v>
      </c>
      <c r="J56" s="75" t="n">
        <v>6416.909999999998</v>
      </c>
      <c r="K56" s="75" t="n">
        <v>267.84</v>
      </c>
      <c r="L56" s="75" t="n">
        <v>0</v>
      </c>
      <c r="M56" s="75" t="n">
        <v>5749.129999999997</v>
      </c>
      <c r="N56" s="75" t="n">
        <v>2378.85</v>
      </c>
      <c r="O56" s="169" t="n">
        <v>2928.01</v>
      </c>
      <c r="P56" s="75" t="n">
        <v>3700.460000000012</v>
      </c>
      <c r="Q56" s="75" t="n">
        <v>6013.78</v>
      </c>
      <c r="R56" s="75" t="n">
        <v>0</v>
      </c>
      <c r="S56" s="75" t="n">
        <v>410.36</v>
      </c>
      <c r="T56" s="75" t="n">
        <v>16767.85</v>
      </c>
      <c r="U56" s="75" t="n">
        <v>1522.349999999999</v>
      </c>
      <c r="V56" s="75" t="n">
        <v>3497.62</v>
      </c>
      <c r="W56" s="75" t="n">
        <v>1317.010000000009</v>
      </c>
      <c r="X56" s="75" t="n">
        <v>6412.529999999994</v>
      </c>
      <c r="Y56" s="75" t="n">
        <v>790</v>
      </c>
      <c r="Z56" s="75" t="n">
        <v>345</v>
      </c>
      <c r="AA56" s="158" t="n">
        <v>440</v>
      </c>
      <c r="AB56" s="75" t="n">
        <v>6308.57</v>
      </c>
      <c r="AC56" s="75" t="n">
        <v>3305.919999999998</v>
      </c>
      <c r="AD56" s="74" t="n">
        <v>4000</v>
      </c>
      <c r="AE56" s="74" t="n">
        <v>4000</v>
      </c>
      <c r="AF56" s="74" t="n"/>
      <c r="AH56" s="18">
        <f>SUM(B56:AG56)</f>
        <v/>
      </c>
      <c r="AI56" s="99" t="n"/>
    </row>
    <row r="57" ht="16.5" customHeight="1" thickBot="1">
      <c r="A57" s="66" t="inlineStr">
        <is>
          <t xml:space="preserve">Total </t>
        </is>
      </c>
      <c r="B57" s="125">
        <f>SUM(B34:B56)</f>
        <v/>
      </c>
      <c r="C57" s="125">
        <f>SUM(C34:C56)</f>
        <v/>
      </c>
      <c r="D57" s="125">
        <f>SUM(D34:D56)</f>
        <v/>
      </c>
      <c r="E57" s="125">
        <f>SUM(E34:E56)</f>
        <v/>
      </c>
      <c r="F57" s="125">
        <f>SUM(F34:F56)</f>
        <v/>
      </c>
      <c r="G57" s="125">
        <f>SUM(G34:G56)</f>
        <v/>
      </c>
      <c r="H57" s="125">
        <f>SUM(H34:H56)</f>
        <v/>
      </c>
      <c r="I57" s="125">
        <f>SUM(I34:I56)</f>
        <v/>
      </c>
      <c r="J57" s="125">
        <f>SUM(J34:J56)</f>
        <v/>
      </c>
      <c r="K57" s="125">
        <f>SUM(K34:K56)</f>
        <v/>
      </c>
      <c r="L57" s="125">
        <f>SUM(L34:L56)</f>
        <v/>
      </c>
      <c r="M57" s="125">
        <f>SUM(M34:M56)</f>
        <v/>
      </c>
      <c r="N57" s="125">
        <f>SUM(N34:N56)</f>
        <v/>
      </c>
      <c r="O57" s="125">
        <f>SUM(O34:O56)</f>
        <v/>
      </c>
      <c r="P57" s="125">
        <f>SUM(P34:P56)</f>
        <v/>
      </c>
      <c r="Q57" s="125">
        <f>SUM(Q34:Q56)</f>
        <v/>
      </c>
      <c r="R57" s="125">
        <f>SUM(R34:R56)</f>
        <v/>
      </c>
      <c r="S57" s="125">
        <f>SUM(S34:S56)</f>
        <v/>
      </c>
      <c r="T57" s="125">
        <f>SUM(T34:T56)</f>
        <v/>
      </c>
      <c r="U57" s="125">
        <f>SUM(U34:U56)</f>
        <v/>
      </c>
      <c r="V57" s="125">
        <f>SUM(V34:V56)</f>
        <v/>
      </c>
      <c r="W57" s="125">
        <f>SUM(W34:W56)</f>
        <v/>
      </c>
      <c r="X57" s="125">
        <f>SUM(X34:X56)</f>
        <v/>
      </c>
      <c r="Y57" s="125">
        <f>SUM(Y34:Y56)</f>
        <v/>
      </c>
      <c r="Z57" s="125">
        <f>SUM(Z34:Z56)</f>
        <v/>
      </c>
      <c r="AA57" s="125">
        <f>SUM(AA34:AA56)</f>
        <v/>
      </c>
      <c r="AB57" s="125">
        <f>SUM(AB34:AB56)</f>
        <v/>
      </c>
      <c r="AC57" s="125">
        <f>SUM(AC34:AC56)</f>
        <v/>
      </c>
      <c r="AD57" s="125">
        <f>SUM(AD34:AD56)</f>
        <v/>
      </c>
      <c r="AE57" s="125">
        <f>SUM(AE34:AE56)</f>
        <v/>
      </c>
      <c r="AF57" s="125">
        <f>SUM(AF34:AF56)</f>
        <v/>
      </c>
      <c r="AG57" s="125">
        <f>SUM(AG34:AG56)</f>
        <v/>
      </c>
      <c r="AH57" s="126">
        <f>SUM(B57:AG57)</f>
        <v/>
      </c>
    </row>
    <row r="58" ht="15.75" customHeight="1" thickTop="1">
      <c r="A58" s="15" t="inlineStr">
        <is>
          <t>Running   Total</t>
        </is>
      </c>
      <c r="B58" s="25">
        <f>B57</f>
        <v/>
      </c>
      <c r="C58" s="25">
        <f>C57+B58</f>
        <v/>
      </c>
      <c r="D58" s="25">
        <f>D57+C58</f>
        <v/>
      </c>
      <c r="E58" s="25">
        <f>E57+D58</f>
        <v/>
      </c>
      <c r="F58" s="25">
        <f>F57+E58</f>
        <v/>
      </c>
      <c r="G58" s="25">
        <f>G57+F58</f>
        <v/>
      </c>
      <c r="H58" s="25">
        <f>H57+G58</f>
        <v/>
      </c>
      <c r="I58" s="25">
        <f>I57+H58</f>
        <v/>
      </c>
      <c r="J58" s="25">
        <f>J57+I58</f>
        <v/>
      </c>
      <c r="K58" s="25">
        <f>K57+J58</f>
        <v/>
      </c>
      <c r="L58" s="25">
        <f>L57+K58</f>
        <v/>
      </c>
      <c r="M58" s="25">
        <f>M57+L58</f>
        <v/>
      </c>
      <c r="N58" s="25">
        <f>N57+M58</f>
        <v/>
      </c>
      <c r="O58" s="25">
        <f>O57+N58</f>
        <v/>
      </c>
      <c r="P58" s="25">
        <f>P57+O58</f>
        <v/>
      </c>
      <c r="Q58" s="25">
        <f>Q57+P58</f>
        <v/>
      </c>
      <c r="R58" s="25">
        <f>R57+Q58</f>
        <v/>
      </c>
      <c r="S58" s="25">
        <f>S57+R58</f>
        <v/>
      </c>
      <c r="T58" s="25">
        <f>T57+S58</f>
        <v/>
      </c>
      <c r="U58" s="25">
        <f>U57+T58</f>
        <v/>
      </c>
      <c r="V58" s="25">
        <f>V57+U58</f>
        <v/>
      </c>
      <c r="W58" s="25">
        <f>W57+V58</f>
        <v/>
      </c>
      <c r="X58" s="25">
        <f>X57+W58</f>
        <v/>
      </c>
      <c r="Y58" s="25">
        <f>Y57+X58</f>
        <v/>
      </c>
      <c r="Z58" s="25">
        <f>Z57+Y58</f>
        <v/>
      </c>
      <c r="AA58" s="25">
        <f>AA57+Z58</f>
        <v/>
      </c>
      <c r="AB58" s="25">
        <f>AB57+AA58</f>
        <v/>
      </c>
      <c r="AC58" s="25">
        <f>AC57+AB58</f>
        <v/>
      </c>
      <c r="AD58" s="25">
        <f>AD57+AC58</f>
        <v/>
      </c>
      <c r="AE58" s="25">
        <f>AE57+AD58</f>
        <v/>
      </c>
      <c r="AF58" s="25">
        <f>AF57+AE58</f>
        <v/>
      </c>
      <c r="AG58" s="25">
        <f>AG57+AF58</f>
        <v/>
      </c>
    </row>
    <row r="59">
      <c r="AG59" s="25" t="n"/>
    </row>
    <row r="60" customFormat="1" s="33">
      <c r="A60" s="33" t="inlineStr">
        <is>
          <t>CHASING</t>
        </is>
      </c>
      <c r="B60" s="33" t="inlineStr">
        <is>
          <t>£</t>
        </is>
      </c>
    </row>
    <row r="61" customFormat="1" s="33">
      <c r="A61" s="165" t="inlineStr">
        <is>
          <t>Birmingham</t>
        </is>
      </c>
      <c r="B61" s="106" t="n">
        <v>22065.71</v>
      </c>
    </row>
    <row r="62" customFormat="1" s="33">
      <c r="A62" s="165" t="inlineStr">
        <is>
          <t>Sandwell</t>
        </is>
      </c>
      <c r="B62" s="106" t="n">
        <v>30180.16</v>
      </c>
    </row>
    <row r="63" customFormat="1" s="33">
      <c r="A63" s="165" t="inlineStr">
        <is>
          <t>NHS Bir and Solihull</t>
        </is>
      </c>
      <c r="B63" s="106" t="n">
        <v>7202.01</v>
      </c>
    </row>
    <row r="64" customFormat="1" s="33">
      <c r="A64" s="165" t="inlineStr">
        <is>
          <t>NHS Black Country TRUST</t>
        </is>
      </c>
      <c r="B64" s="106" t="n">
        <v>13203.77</v>
      </c>
    </row>
    <row r="65" customFormat="1" s="33">
      <c r="A65" s="165" t="inlineStr">
        <is>
          <t>West Northamptonshire</t>
        </is>
      </c>
      <c r="B65" s="106" t="n">
        <v>18040</v>
      </c>
    </row>
    <row r="66" customFormat="1" s="33">
      <c r="A66" s="165" t="inlineStr">
        <is>
          <t>Wolverhampton</t>
        </is>
      </c>
      <c r="B66" s="106" t="n">
        <v>20593.53</v>
      </c>
    </row>
    <row r="67" customFormat="1" s="33">
      <c r="A67" s="165" t="inlineStr">
        <is>
          <t>Walsall</t>
        </is>
      </c>
      <c r="B67" s="106" t="n">
        <v>25136.64</v>
      </c>
      <c r="D67" s="33" t="inlineStr">
        <is>
          <t> </t>
        </is>
      </c>
    </row>
    <row r="68" customFormat="1" s="33">
      <c r="A68" s="165" t="inlineStr">
        <is>
          <t>People plus</t>
        </is>
      </c>
      <c r="B68" s="106" t="n">
        <v>6532</v>
      </c>
    </row>
    <row r="69" customFormat="1" s="33">
      <c r="A69" s="165" t="inlineStr">
        <is>
          <t>Kirklees</t>
        </is>
      </c>
      <c r="B69" s="106" t="n">
        <v>11586.34</v>
      </c>
    </row>
    <row r="70" customFormat="1" s="33">
      <c r="A70" s="165" t="inlineStr">
        <is>
          <t xml:space="preserve">Middlesbrough council </t>
        </is>
      </c>
      <c r="B70" s="106" t="n">
        <v>5544</v>
      </c>
    </row>
    <row r="71" ht="15.75" customFormat="1" customHeight="1" s="33" thickBot="1">
      <c r="A71" s="166" t="inlineStr">
        <is>
          <t>Total</t>
        </is>
      </c>
      <c r="B71" s="167">
        <f>SUM(B61:B70)</f>
        <v/>
      </c>
    </row>
    <row r="72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/>
  </sheetPr>
  <dimension ref="A2:AL29"/>
  <sheetViews>
    <sheetView showGridLines="0" topLeftCell="A6" workbookViewId="0">
      <pane xSplit="1" topLeftCell="O1" activePane="topRight" state="frozen"/>
      <selection activeCell="I36" sqref="I36"/>
      <selection pane="topRight" activeCell="AH28" sqref="AH28"/>
    </sheetView>
  </sheetViews>
  <sheetFormatPr baseColWidth="8" defaultRowHeight="15"/>
  <cols>
    <col width="28.5703125" bestFit="1" customWidth="1" min="1" max="1"/>
    <col width="8.140625" bestFit="1" customWidth="1" min="2" max="2"/>
    <col width="10.140625" bestFit="1" customWidth="1" min="3" max="3"/>
    <col width="14.28515625" bestFit="1" customWidth="1" min="4" max="4"/>
    <col width="10.140625" bestFit="1" customWidth="1" min="5" max="20"/>
    <col width="11.7109375" bestFit="1" customWidth="1" min="21" max="33"/>
    <col width="13.140625" bestFit="1" customWidth="1" min="34" max="34"/>
  </cols>
  <sheetData>
    <row r="2">
      <c r="A2" s="170" t="inlineStr">
        <is>
          <t>June</t>
        </is>
      </c>
      <c r="B2" s="171" t="inlineStr">
        <is>
          <t>June</t>
        </is>
      </c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2" t="n"/>
      <c r="AF2" s="172" t="n"/>
      <c r="AG2" s="172" t="n"/>
      <c r="AH2" s="172" t="n"/>
    </row>
    <row r="3">
      <c r="A3" s="172" t="n"/>
      <c r="B3" s="171" t="inlineStr">
        <is>
          <t>Sunday</t>
        </is>
      </c>
      <c r="C3" s="171" t="inlineStr">
        <is>
          <t>Monday</t>
        </is>
      </c>
      <c r="D3" s="171" t="inlineStr">
        <is>
          <t>Tuesday</t>
        </is>
      </c>
      <c r="E3" s="171" t="inlineStr">
        <is>
          <t>Wednesday</t>
        </is>
      </c>
      <c r="F3" s="171" t="inlineStr">
        <is>
          <t>Thursday</t>
        </is>
      </c>
      <c r="G3" s="171" t="inlineStr">
        <is>
          <t>Friday</t>
        </is>
      </c>
      <c r="H3" s="171" t="inlineStr">
        <is>
          <t>Saturday</t>
        </is>
      </c>
      <c r="I3" s="171" t="inlineStr">
        <is>
          <t>Sunday</t>
        </is>
      </c>
      <c r="J3" s="171" t="inlineStr">
        <is>
          <t>Monday</t>
        </is>
      </c>
      <c r="K3" s="171" t="inlineStr">
        <is>
          <t>Tuesday</t>
        </is>
      </c>
      <c r="L3" s="171" t="inlineStr">
        <is>
          <t>Wednesday</t>
        </is>
      </c>
      <c r="M3" s="171" t="inlineStr">
        <is>
          <t>Thursday</t>
        </is>
      </c>
      <c r="N3" s="171" t="inlineStr">
        <is>
          <t>Friday</t>
        </is>
      </c>
      <c r="O3" s="171" t="inlineStr">
        <is>
          <t>Saturday</t>
        </is>
      </c>
      <c r="P3" s="171" t="inlineStr">
        <is>
          <t>Sunday</t>
        </is>
      </c>
      <c r="Q3" s="171" t="inlineStr">
        <is>
          <t>Monday</t>
        </is>
      </c>
      <c r="R3" s="171" t="inlineStr">
        <is>
          <t>Tuesday</t>
        </is>
      </c>
      <c r="S3" s="171" t="inlineStr">
        <is>
          <t>Wednesday</t>
        </is>
      </c>
      <c r="T3" s="171" t="inlineStr">
        <is>
          <t>Thursday</t>
        </is>
      </c>
      <c r="U3" s="171" t="inlineStr">
        <is>
          <t>Friday</t>
        </is>
      </c>
      <c r="V3" s="171" t="inlineStr">
        <is>
          <t>Saturday</t>
        </is>
      </c>
      <c r="W3" s="171" t="inlineStr">
        <is>
          <t>Sunday</t>
        </is>
      </c>
      <c r="X3" s="171" t="inlineStr">
        <is>
          <t>Monday</t>
        </is>
      </c>
      <c r="Y3" s="171" t="inlineStr">
        <is>
          <t>Tuesday</t>
        </is>
      </c>
      <c r="Z3" s="171" t="inlineStr">
        <is>
          <t>Wednesday</t>
        </is>
      </c>
      <c r="AA3" s="171" t="inlineStr">
        <is>
          <t>Thursday</t>
        </is>
      </c>
      <c r="AB3" s="171" t="inlineStr">
        <is>
          <t>Friday</t>
        </is>
      </c>
      <c r="AC3" s="171" t="inlineStr">
        <is>
          <t>Saturday</t>
        </is>
      </c>
      <c r="AD3" s="171" t="inlineStr">
        <is>
          <t>Sunday</t>
        </is>
      </c>
      <c r="AE3" s="171" t="inlineStr">
        <is>
          <t>Monday</t>
        </is>
      </c>
      <c r="AF3" s="171" t="n"/>
      <c r="AG3" s="172" t="n"/>
      <c r="AH3" s="171" t="inlineStr">
        <is>
          <t>Total</t>
        </is>
      </c>
    </row>
    <row r="4" ht="15.75" customFormat="1" customHeight="1" s="193" thickBot="1">
      <c r="A4" s="185" t="inlineStr">
        <is>
          <t>April</t>
        </is>
      </c>
      <c r="B4" s="186" t="n">
        <v>45809</v>
      </c>
      <c r="C4" s="187" t="n">
        <v>45810</v>
      </c>
      <c r="D4" s="187" t="n">
        <v>45811</v>
      </c>
      <c r="E4" s="187" t="n">
        <v>45812</v>
      </c>
      <c r="F4" s="187" t="n">
        <v>45813</v>
      </c>
      <c r="G4" s="187" t="n">
        <v>45814</v>
      </c>
      <c r="H4" s="187" t="n">
        <v>45815</v>
      </c>
      <c r="I4" s="187" t="n">
        <v>45816</v>
      </c>
      <c r="J4" s="188" t="n">
        <v>45817</v>
      </c>
      <c r="K4" s="188" t="n">
        <v>45818</v>
      </c>
      <c r="L4" s="188" t="n">
        <v>45819</v>
      </c>
      <c r="M4" s="188" t="n">
        <v>45820</v>
      </c>
      <c r="N4" s="188" t="n">
        <v>45821</v>
      </c>
      <c r="O4" s="188" t="n">
        <v>45822</v>
      </c>
      <c r="P4" s="188" t="n">
        <v>45823</v>
      </c>
      <c r="Q4" s="189" t="n">
        <v>45824</v>
      </c>
      <c r="R4" s="190" t="inlineStr">
        <is>
          <t>17th</t>
        </is>
      </c>
      <c r="S4" s="190" t="inlineStr">
        <is>
          <t>18th</t>
        </is>
      </c>
      <c r="T4" s="190" t="inlineStr">
        <is>
          <t>19th</t>
        </is>
      </c>
      <c r="U4" s="190" t="inlineStr">
        <is>
          <t>20th</t>
        </is>
      </c>
      <c r="V4" s="190" t="inlineStr">
        <is>
          <t>21st</t>
        </is>
      </c>
      <c r="W4" s="190" t="inlineStr">
        <is>
          <t>22nd</t>
        </is>
      </c>
      <c r="X4" s="201" t="inlineStr">
        <is>
          <t>23rd</t>
        </is>
      </c>
      <c r="Y4" s="201" t="inlineStr">
        <is>
          <t>24th</t>
        </is>
      </c>
      <c r="Z4" s="201" t="inlineStr">
        <is>
          <t>25th</t>
        </is>
      </c>
      <c r="AA4" s="201" t="inlineStr">
        <is>
          <t>26th</t>
        </is>
      </c>
      <c r="AB4" s="201" t="inlineStr">
        <is>
          <t>27th</t>
        </is>
      </c>
      <c r="AC4" s="201" t="inlineStr">
        <is>
          <t>28th</t>
        </is>
      </c>
      <c r="AD4" s="201" t="inlineStr">
        <is>
          <t>29th</t>
        </is>
      </c>
      <c r="AE4" s="202" t="inlineStr">
        <is>
          <t>30th</t>
        </is>
      </c>
      <c r="AF4" s="191" t="n"/>
      <c r="AG4" s="192" t="n"/>
      <c r="AH4" s="192" t="n"/>
    </row>
    <row r="5" ht="15.75" customHeight="1">
      <c r="A5" s="170" t="inlineStr">
        <is>
          <t>B-HAM CITY COUNCIL</t>
        </is>
      </c>
      <c r="B5" s="194" t="n"/>
      <c r="C5" s="195" t="n"/>
      <c r="D5" s="195" t="n"/>
      <c r="E5" s="195" t="n"/>
      <c r="F5" s="195" t="n"/>
      <c r="G5" s="195" t="n"/>
      <c r="H5" s="195" t="n"/>
      <c r="I5" s="195" t="n"/>
      <c r="J5" s="195" t="n"/>
      <c r="K5" s="177" t="n"/>
      <c r="L5" s="177" t="n"/>
      <c r="M5" s="195" t="n"/>
      <c r="N5" s="195" t="n"/>
      <c r="O5" s="195" t="n"/>
      <c r="P5" s="195" t="n"/>
      <c r="Q5" s="195" t="n"/>
      <c r="R5" s="195" t="n"/>
      <c r="S5" s="31" t="n">
        <v>59419.08</v>
      </c>
      <c r="T5" s="195" t="n"/>
      <c r="U5" s="195" t="n"/>
      <c r="V5" s="195" t="n"/>
      <c r="W5" s="195" t="n"/>
      <c r="X5" s="31" t="n">
        <v>6083.28</v>
      </c>
      <c r="Y5" s="195" t="n"/>
      <c r="Z5" s="195" t="n"/>
      <c r="AA5" s="195" t="n"/>
      <c r="AB5" s="194" t="n"/>
      <c r="AC5" s="194" t="n"/>
      <c r="AD5" s="195" t="n"/>
      <c r="AE5" s="195" t="n"/>
      <c r="AF5" s="177" t="n"/>
      <c r="AG5" s="172" t="n"/>
      <c r="AH5" s="180">
        <f>SUM(B5:AG5)</f>
        <v/>
      </c>
      <c r="AI5" s="99" t="n"/>
      <c r="AL5" s="99" t="n"/>
    </row>
    <row r="6" ht="15.75" customHeight="1">
      <c r="A6" s="170" t="inlineStr">
        <is>
          <t>Buckingham</t>
        </is>
      </c>
      <c r="B6" s="194" t="n"/>
      <c r="C6" s="194" t="n"/>
      <c r="D6" s="194" t="n"/>
      <c r="E6" s="194" t="n"/>
      <c r="F6" s="196" t="n"/>
      <c r="G6" s="31" t="n">
        <v>5390.52</v>
      </c>
      <c r="H6" s="194" t="n"/>
      <c r="I6" s="194" t="n"/>
      <c r="J6" s="194" t="n"/>
      <c r="K6" s="172" t="n"/>
      <c r="L6" s="172" t="n"/>
      <c r="M6" s="194" t="n"/>
      <c r="N6" s="194" t="n"/>
      <c r="O6" s="194" t="n"/>
      <c r="P6" s="194" t="n"/>
      <c r="Q6" s="194" t="n"/>
      <c r="R6" s="194" t="n"/>
      <c r="S6" s="194" t="n"/>
      <c r="T6" s="194" t="n"/>
      <c r="U6" s="194" t="n"/>
      <c r="V6" s="194" t="n"/>
      <c r="W6" s="194" t="n"/>
      <c r="X6" s="194" t="n"/>
      <c r="Y6" s="194" t="n"/>
      <c r="Z6" s="194" t="n"/>
      <c r="AA6" s="194" t="n"/>
      <c r="AB6" s="194" t="n"/>
      <c r="AC6" s="194" t="n"/>
      <c r="AD6" s="194" t="n"/>
      <c r="AE6" s="194" t="n"/>
      <c r="AF6" s="172" t="n"/>
      <c r="AG6" s="172" t="n"/>
      <c r="AH6" s="180">
        <f>SUM(B6:AG6)</f>
        <v/>
      </c>
      <c r="AI6" s="99" t="n"/>
      <c r="AL6" s="99" t="n"/>
    </row>
    <row r="7" ht="15.75" customHeight="1">
      <c r="A7" s="170" t="inlineStr">
        <is>
          <t>Sandwell Respite</t>
        </is>
      </c>
      <c r="B7" s="194" t="n"/>
      <c r="C7" s="196" t="n">
        <v>17440</v>
      </c>
      <c r="D7" s="194" t="n"/>
      <c r="E7" s="194" t="n"/>
      <c r="F7" s="194" t="n"/>
      <c r="G7" s="194" t="n"/>
      <c r="H7" s="194" t="n"/>
      <c r="I7" s="194" t="n"/>
      <c r="J7" s="194" t="n"/>
      <c r="K7" s="172" t="n"/>
      <c r="L7" s="172" t="n"/>
      <c r="M7" s="194" t="n"/>
      <c r="N7" s="194" t="n"/>
      <c r="O7" s="194" t="n"/>
      <c r="P7" s="194" t="n"/>
      <c r="Q7" s="194" t="n"/>
      <c r="R7" s="194" t="n"/>
      <c r="S7" s="194" t="n"/>
      <c r="T7" s="194" t="n"/>
      <c r="U7" s="31" t="n">
        <v>5784.8</v>
      </c>
      <c r="V7" s="194" t="n"/>
      <c r="W7" s="194" t="n"/>
      <c r="X7" s="194" t="n"/>
      <c r="Y7" s="194" t="n"/>
      <c r="Z7" s="194" t="n"/>
      <c r="AA7" s="194" t="n"/>
      <c r="AB7" s="194" t="n"/>
      <c r="AC7" s="194" t="n"/>
      <c r="AD7" s="194" t="n"/>
      <c r="AE7" s="194" t="n"/>
      <c r="AF7" s="172" t="n"/>
      <c r="AG7" s="172" t="n"/>
      <c r="AH7" s="180">
        <f>SUM(B7:AG7)</f>
        <v/>
      </c>
      <c r="AI7" s="99" t="n"/>
      <c r="AL7" s="99" t="n"/>
    </row>
    <row r="8" ht="15.75" customHeight="1">
      <c r="A8" s="170" t="inlineStr">
        <is>
          <t>Sandwell Daycare</t>
        </is>
      </c>
      <c r="B8" s="194" t="n"/>
      <c r="C8" s="194" t="n"/>
      <c r="D8" s="194" t="n"/>
      <c r="E8" s="194" t="n"/>
      <c r="F8" s="194" t="n"/>
      <c r="G8" s="194" t="n"/>
      <c r="H8" s="194" t="n"/>
      <c r="I8" s="194" t="n"/>
      <c r="J8" s="194" t="n"/>
      <c r="K8" s="172" t="n"/>
      <c r="L8" s="172" t="n"/>
      <c r="M8" s="194" t="n"/>
      <c r="N8" s="194" t="n"/>
      <c r="O8" s="194" t="n"/>
      <c r="P8" s="194" t="n"/>
      <c r="Q8" s="194" t="n"/>
      <c r="R8" s="194" t="n"/>
      <c r="S8" s="194" t="n"/>
      <c r="T8" s="194" t="n"/>
      <c r="U8" s="194" t="n"/>
      <c r="V8" s="194" t="n"/>
      <c r="W8" s="194" t="n"/>
      <c r="X8" s="194" t="n"/>
      <c r="Y8" s="194" t="n"/>
      <c r="Z8" s="194" t="n"/>
      <c r="AA8" s="194" t="n"/>
      <c r="AB8" s="31" t="n">
        <v>3344</v>
      </c>
      <c r="AC8" s="194" t="n"/>
      <c r="AD8" s="194" t="n"/>
      <c r="AE8" s="194" t="n"/>
      <c r="AF8" s="172" t="n"/>
      <c r="AG8" s="179" t="n"/>
      <c r="AH8" s="180">
        <f>SUM(B8:AG8)</f>
        <v/>
      </c>
      <c r="AI8" s="99" t="n"/>
      <c r="AL8" s="99" t="n"/>
    </row>
    <row r="9" ht="15.75" customHeight="1">
      <c r="A9" s="170" t="inlineStr">
        <is>
          <t>Wolverhampton Respite</t>
        </is>
      </c>
      <c r="B9" s="194" t="n"/>
      <c r="C9" s="194" t="n"/>
      <c r="D9" s="194" t="n"/>
      <c r="E9" s="194" t="n"/>
      <c r="F9" s="194" t="n"/>
      <c r="G9" s="194" t="n"/>
      <c r="H9" s="194" t="n"/>
      <c r="I9" s="194" t="n"/>
      <c r="J9" s="194" t="n"/>
      <c r="K9" s="172" t="n"/>
      <c r="L9" s="172" t="n"/>
      <c r="M9" s="194" t="n"/>
      <c r="N9" s="194" t="n"/>
      <c r="O9" s="194" t="n"/>
      <c r="P9" s="194" t="n"/>
      <c r="Q9" s="194" t="n"/>
      <c r="R9" s="194" t="n"/>
      <c r="S9" s="194" t="n"/>
      <c r="T9" s="194" t="n"/>
      <c r="U9" s="194" t="n"/>
      <c r="V9" s="194" t="n"/>
      <c r="W9" s="194" t="n"/>
      <c r="X9" s="194" t="n"/>
      <c r="Y9" s="194" t="n"/>
      <c r="Z9" s="194" t="n"/>
      <c r="AA9" s="194" t="n"/>
      <c r="AB9" s="194" t="n"/>
      <c r="AC9" s="194" t="n"/>
      <c r="AD9" s="194" t="n"/>
      <c r="AE9" s="194" t="n"/>
      <c r="AF9" s="172" t="n"/>
      <c r="AG9" s="172" t="n"/>
      <c r="AH9" s="180">
        <f>SUM(B9:AG9)</f>
        <v/>
      </c>
      <c r="AI9" s="99" t="n"/>
      <c r="AL9" s="99" t="n"/>
    </row>
    <row r="10" ht="15.75" customHeight="1">
      <c r="A10" s="170" t="inlineStr">
        <is>
          <t>Wolverhampton Daycare</t>
        </is>
      </c>
      <c r="B10" s="194" t="n"/>
      <c r="C10" s="194" t="n"/>
      <c r="D10" s="194" t="n"/>
      <c r="E10" s="194" t="n"/>
      <c r="F10" s="196" t="n">
        <v>6039.72</v>
      </c>
      <c r="G10" s="194" t="n"/>
      <c r="H10" s="194" t="n"/>
      <c r="I10" s="194" t="n"/>
      <c r="J10" s="194" t="n"/>
      <c r="K10" s="172" t="n"/>
      <c r="L10" s="172" t="n"/>
      <c r="M10" s="196" t="n">
        <v>6183.38</v>
      </c>
      <c r="N10" s="31" t="n"/>
      <c r="O10" s="194" t="n"/>
      <c r="P10" s="194" t="n"/>
      <c r="Q10" s="194" t="n"/>
      <c r="R10" s="194" t="n"/>
      <c r="S10" s="194" t="n"/>
      <c r="T10" s="196" t="n">
        <v>6183.38</v>
      </c>
      <c r="U10" s="31" t="n"/>
      <c r="V10" s="194" t="n"/>
      <c r="W10" s="194" t="n"/>
      <c r="X10" s="194" t="n"/>
      <c r="Y10" s="194" t="n"/>
      <c r="Z10" s="194" t="n"/>
      <c r="AA10" s="196" t="n">
        <v>6183.38</v>
      </c>
      <c r="AB10" s="194" t="n"/>
      <c r="AC10" s="194" t="n"/>
      <c r="AD10" s="194" t="n"/>
      <c r="AE10" s="194" t="n"/>
      <c r="AF10" s="172" t="n"/>
      <c r="AG10" s="172" t="n"/>
      <c r="AH10" s="180">
        <f>SUM(B10:AG10)</f>
        <v/>
      </c>
      <c r="AI10" s="99" t="n"/>
      <c r="AL10" s="99" t="n"/>
    </row>
    <row r="11" ht="15.75" customHeight="1">
      <c r="A11" s="170" t="inlineStr">
        <is>
          <t>Walsall Respite</t>
        </is>
      </c>
      <c r="B11" s="194" t="n"/>
      <c r="C11" s="194" t="n"/>
      <c r="D11" s="194">
        <f>20989.6-D26</f>
        <v/>
      </c>
      <c r="E11" s="194" t="n"/>
      <c r="F11" s="194" t="n"/>
      <c r="G11" s="194" t="n"/>
      <c r="H11" s="194" t="n"/>
      <c r="I11" s="194" t="n"/>
      <c r="J11" s="194" t="n"/>
      <c r="K11" s="172" t="n"/>
      <c r="L11" s="172" t="n"/>
      <c r="M11" s="194" t="n"/>
      <c r="N11" s="194" t="n"/>
      <c r="O11" s="194" t="n"/>
      <c r="P11" s="194" t="n"/>
      <c r="Q11" s="194" t="n"/>
      <c r="R11" s="194" t="n"/>
      <c r="S11" s="194" t="n"/>
      <c r="T11" s="194" t="n"/>
      <c r="U11" s="194" t="n"/>
      <c r="V11" s="194" t="n"/>
      <c r="W11" s="194" t="n"/>
      <c r="X11" s="194" t="n"/>
      <c r="Y11" s="194" t="n"/>
      <c r="Z11" s="194" t="n"/>
      <c r="AA11" s="194" t="n"/>
      <c r="AB11" s="194" t="n"/>
      <c r="AC11" s="194" t="n"/>
      <c r="AD11" s="194" t="n"/>
      <c r="AE11" s="194" t="n"/>
      <c r="AF11" s="172" t="n"/>
      <c r="AG11" s="172" t="n"/>
      <c r="AH11" s="180">
        <f>SUM(B11:AG11)</f>
        <v/>
      </c>
      <c r="AI11" s="99" t="n"/>
    </row>
    <row r="12" ht="15.75" customHeight="1">
      <c r="A12" s="170" t="inlineStr">
        <is>
          <t>Walsall Daycare</t>
        </is>
      </c>
      <c r="B12" s="194" t="n"/>
      <c r="C12" s="194" t="n"/>
      <c r="D12" s="194" t="n"/>
      <c r="E12" s="194" t="n"/>
      <c r="F12" s="194" t="n"/>
      <c r="G12" s="194" t="n"/>
      <c r="H12" s="194" t="n"/>
      <c r="I12" s="194" t="n"/>
      <c r="J12" s="194" t="n"/>
      <c r="K12" s="172" t="n"/>
      <c r="L12" s="172" t="n"/>
      <c r="M12" s="194" t="n"/>
      <c r="N12" s="194" t="n"/>
      <c r="O12" s="194" t="n"/>
      <c r="P12" s="194" t="n"/>
      <c r="Q12" s="194" t="n"/>
      <c r="R12" s="194" t="n"/>
      <c r="S12" s="194" t="n"/>
      <c r="T12" s="194" t="n"/>
      <c r="U12" s="194" t="n"/>
      <c r="V12" s="194" t="n"/>
      <c r="W12" s="194" t="n"/>
      <c r="X12" s="194" t="n"/>
      <c r="Y12" s="194" t="n"/>
      <c r="Z12" s="194" t="n"/>
      <c r="AA12" s="194" t="n"/>
      <c r="AB12" s="194" t="n"/>
      <c r="AC12" s="194" t="n"/>
      <c r="AD12" s="194" t="n"/>
      <c r="AE12" s="194" t="n"/>
      <c r="AF12" s="172" t="n"/>
      <c r="AG12" s="172" t="n"/>
      <c r="AH12" s="180">
        <f>SUM(B12:AG12)</f>
        <v/>
      </c>
      <c r="AI12" s="99" t="n"/>
    </row>
    <row r="13" ht="15.75" customHeight="1">
      <c r="A13" s="170" t="inlineStr">
        <is>
          <t>Ideal for All Ltd</t>
        </is>
      </c>
      <c r="B13" s="194" t="n"/>
      <c r="C13" s="194" t="n"/>
      <c r="D13" s="194" t="n"/>
      <c r="E13" s="194" t="n"/>
      <c r="F13" s="194" t="n"/>
      <c r="G13" s="194" t="n"/>
      <c r="H13" s="194" t="n"/>
      <c r="I13" s="194" t="n"/>
      <c r="J13" s="31" t="n"/>
      <c r="K13" s="172" t="n"/>
      <c r="L13" s="172" t="n"/>
      <c r="M13" s="194" t="n"/>
      <c r="N13" s="194" t="n"/>
      <c r="O13" s="194" t="n"/>
      <c r="P13" s="194" t="n"/>
      <c r="Q13" s="31" t="n"/>
      <c r="R13" s="31" t="n"/>
      <c r="S13" s="194" t="n"/>
      <c r="T13" s="31" t="n">
        <v>4131.62</v>
      </c>
      <c r="U13" s="194" t="n"/>
      <c r="V13" s="194" t="n"/>
      <c r="W13" s="194" t="n"/>
      <c r="X13" s="194" t="n"/>
      <c r="Y13" s="194" t="n"/>
      <c r="Z13" s="194" t="n"/>
      <c r="AA13" s="194" t="n"/>
      <c r="AB13" s="194" t="n"/>
      <c r="AC13" s="194" t="n"/>
      <c r="AD13" s="194" t="n"/>
      <c r="AE13" s="194" t="n"/>
      <c r="AF13" s="172" t="n"/>
      <c r="AG13" s="172" t="n"/>
      <c r="AH13" s="180">
        <f>SUM(B13:AG13)</f>
        <v/>
      </c>
      <c r="AI13" s="99" t="n"/>
    </row>
    <row r="14" ht="15.75" customHeight="1">
      <c r="A14" s="170" t="inlineStr">
        <is>
          <t>KIRKLEES COUNCIL</t>
        </is>
      </c>
      <c r="B14" s="194" t="n"/>
      <c r="C14" s="194" t="n"/>
      <c r="D14" s="194" t="n"/>
      <c r="E14" s="194" t="n"/>
      <c r="F14" s="194" t="n"/>
      <c r="G14" s="194" t="n"/>
      <c r="H14" s="194" t="n"/>
      <c r="I14" s="194" t="n"/>
      <c r="J14" s="194" t="n"/>
      <c r="K14" s="172" t="n"/>
      <c r="L14" s="172" t="n"/>
      <c r="M14" s="194" t="n"/>
      <c r="N14" s="194" t="n"/>
      <c r="O14" s="194" t="n"/>
      <c r="P14" s="194" t="n"/>
      <c r="Q14" s="31" t="n"/>
      <c r="R14" s="31" t="n"/>
      <c r="S14" s="194" t="n"/>
      <c r="T14" s="194" t="n"/>
      <c r="U14" s="194" t="n"/>
      <c r="V14" s="194" t="n"/>
      <c r="W14" s="194" t="n"/>
      <c r="X14" s="194" t="n"/>
      <c r="Y14" s="31" t="n"/>
      <c r="Z14" s="194" t="n"/>
      <c r="AA14" s="31" t="n"/>
      <c r="AB14" s="194" t="n"/>
      <c r="AC14" s="196" t="n"/>
      <c r="AD14" s="194" t="n"/>
      <c r="AE14" s="194" t="n"/>
      <c r="AF14" s="172" t="n"/>
      <c r="AG14" s="172" t="n"/>
      <c r="AH14" s="180">
        <f>SUM(B14:AG14)</f>
        <v/>
      </c>
      <c r="AI14" s="99" t="n"/>
    </row>
    <row r="15" ht="15.75" customHeight="1">
      <c r="A15" s="170" t="inlineStr">
        <is>
          <t>LBH</t>
        </is>
      </c>
      <c r="B15" s="194" t="n"/>
      <c r="C15" s="194" t="n"/>
      <c r="D15" s="194" t="n"/>
      <c r="E15" s="194" t="n"/>
      <c r="F15" s="194" t="n"/>
      <c r="G15" s="194" t="n"/>
      <c r="H15" s="194" t="n"/>
      <c r="I15" s="194" t="n"/>
      <c r="J15" s="194" t="n"/>
      <c r="K15" s="172" t="n"/>
      <c r="M15" s="194" t="n"/>
      <c r="N15" s="31" t="n"/>
      <c r="O15" s="194" t="n"/>
      <c r="P15" s="194" t="n"/>
      <c r="Q15" s="31" t="n"/>
      <c r="R15" s="31" t="n"/>
      <c r="S15" s="31" t="n">
        <v>5203.8</v>
      </c>
      <c r="T15" s="31" t="n"/>
      <c r="U15" s="194" t="n"/>
      <c r="V15" s="31" t="n"/>
      <c r="W15" s="194" t="n"/>
      <c r="X15" s="194" t="n"/>
      <c r="Y15" s="194" t="n"/>
      <c r="Z15" s="194" t="n"/>
      <c r="AA15" s="196" t="n"/>
      <c r="AB15" s="194" t="n"/>
      <c r="AC15" s="194" t="n"/>
      <c r="AD15" s="194" t="n"/>
      <c r="AE15" s="194" t="n"/>
      <c r="AF15" s="172" t="n"/>
      <c r="AG15" s="172" t="n"/>
      <c r="AH15" s="180">
        <f>SUM(B15:AG15)</f>
        <v/>
      </c>
      <c r="AI15" s="99" t="n"/>
    </row>
    <row r="16" ht="15.75" customHeight="1">
      <c r="A16" s="170" t="inlineStr">
        <is>
          <t>NHS BIRMINGHAM &amp; Solihull</t>
        </is>
      </c>
      <c r="B16" s="194" t="n"/>
      <c r="C16" s="194" t="n"/>
      <c r="D16" s="194" t="n"/>
      <c r="E16" s="194" t="n"/>
      <c r="F16" s="194" t="n"/>
      <c r="G16" s="194" t="n"/>
      <c r="H16" s="194" t="n"/>
      <c r="I16" s="194" t="n"/>
      <c r="J16" s="194" t="n"/>
      <c r="K16" s="172" t="n"/>
      <c r="L16" t="n">
        <v>11714.58</v>
      </c>
      <c r="M16" s="31" t="n">
        <v>7442.08</v>
      </c>
      <c r="N16" s="31" t="n"/>
      <c r="O16" s="194" t="n"/>
      <c r="P16" s="194" t="n"/>
      <c r="Q16" s="31" t="n"/>
      <c r="R16" s="31" t="n"/>
      <c r="S16" s="194" t="n"/>
      <c r="T16" s="31" t="n"/>
      <c r="U16" s="194" t="n"/>
      <c r="V16" s="31" t="n"/>
      <c r="W16" s="194" t="n"/>
      <c r="X16" s="194" t="n"/>
      <c r="Y16" s="194" t="n"/>
      <c r="Z16" s="194" t="n"/>
      <c r="AA16" s="194" t="n"/>
      <c r="AB16" s="194" t="n"/>
      <c r="AC16" s="194" t="n"/>
      <c r="AD16" s="194" t="n"/>
      <c r="AE16" s="194" t="n"/>
      <c r="AF16" s="172" t="n"/>
      <c r="AG16" s="172" t="n"/>
      <c r="AH16" s="180">
        <f>SUM(B16:AG16)</f>
        <v/>
      </c>
      <c r="AI16" s="99" t="n"/>
    </row>
    <row r="17" ht="15.75" customHeight="1">
      <c r="A17" s="170" t="inlineStr">
        <is>
          <t>NHS BLACK COUNTRY</t>
        </is>
      </c>
      <c r="B17" s="194" t="n"/>
      <c r="C17" s="194" t="n"/>
      <c r="D17" s="194" t="n"/>
      <c r="E17" s="194" t="n"/>
      <c r="F17" s="194" t="n"/>
      <c r="G17" s="194" t="n"/>
      <c r="H17" s="194" t="n"/>
      <c r="I17" s="194" t="n"/>
      <c r="J17" s="194" t="n"/>
      <c r="K17" s="172" t="n"/>
      <c r="L17" s="172" t="n"/>
      <c r="M17" s="31" t="n">
        <v>6003.77</v>
      </c>
      <c r="N17" s="31" t="n"/>
      <c r="O17" s="194" t="n"/>
      <c r="P17" s="194" t="n"/>
      <c r="Q17" s="31" t="n"/>
      <c r="R17" s="31" t="n"/>
      <c r="S17" s="31" t="n">
        <v>4087.6</v>
      </c>
      <c r="T17" s="31" t="n"/>
      <c r="U17" s="31" t="n"/>
      <c r="V17" s="31" t="n"/>
      <c r="W17" s="194" t="n"/>
      <c r="X17" s="31" t="n"/>
      <c r="Y17" s="194" t="n"/>
      <c r="Z17" s="31" t="n">
        <v>2188.8</v>
      </c>
      <c r="AA17" s="196" t="n"/>
      <c r="AB17" s="194" t="n"/>
      <c r="AC17" s="194" t="n"/>
      <c r="AD17" s="194" t="n"/>
      <c r="AE17" s="194" t="n"/>
      <c r="AF17" s="172" t="n"/>
      <c r="AG17" s="172" t="n"/>
      <c r="AH17" s="180">
        <f>SUM(B17:AG17)</f>
        <v/>
      </c>
      <c r="AI17" s="99" t="n"/>
    </row>
    <row r="18" ht="15.75" customHeight="1">
      <c r="A18" s="181" t="inlineStr">
        <is>
          <t>SANDWELL MBC  BEN,</t>
        </is>
      </c>
      <c r="B18" s="194" t="n"/>
      <c r="C18" s="194" t="n"/>
      <c r="D18" s="194" t="n"/>
      <c r="E18" s="194" t="n"/>
      <c r="F18" s="194" t="n"/>
      <c r="G18" s="194" t="n"/>
      <c r="H18" s="194" t="n"/>
      <c r="I18" s="194" t="n"/>
      <c r="J18" s="194" t="n"/>
      <c r="K18" s="172" t="n"/>
      <c r="L18" s="172" t="n"/>
      <c r="M18" s="194" t="n"/>
      <c r="N18" s="194" t="n"/>
      <c r="O18" s="194" t="n"/>
      <c r="P18" s="194" t="n"/>
      <c r="Q18" s="194" t="n"/>
      <c r="R18" s="194" t="n"/>
      <c r="S18" s="194" t="n"/>
      <c r="T18" s="194" t="n"/>
      <c r="U18" s="31" t="n"/>
      <c r="V18" s="194" t="n"/>
      <c r="W18" s="194" t="n"/>
      <c r="X18" s="31" t="n">
        <v>1900</v>
      </c>
      <c r="Y18" s="194" t="n"/>
      <c r="Z18" s="194" t="n"/>
      <c r="AA18" s="194" t="n"/>
      <c r="AB18" s="194" t="n"/>
      <c r="AC18" s="194" t="n"/>
      <c r="AD18" s="194" t="n"/>
      <c r="AE18" s="194" t="n"/>
      <c r="AF18" s="172" t="n"/>
      <c r="AG18" s="172" t="n"/>
      <c r="AH18" s="180">
        <f>SUM(B18:AG18)</f>
        <v/>
      </c>
      <c r="AI18" s="99" t="n"/>
    </row>
    <row r="19" ht="15.75" customHeight="1">
      <c r="A19" s="181" t="inlineStr">
        <is>
          <t>SANDWELL MBC,</t>
        </is>
      </c>
      <c r="B19" s="194" t="n"/>
      <c r="C19" s="194" t="n"/>
      <c r="D19" s="194" t="n"/>
      <c r="E19" s="194" t="n"/>
      <c r="F19" s="31" t="n"/>
      <c r="G19" s="194" t="n"/>
      <c r="H19" s="194" t="n"/>
      <c r="I19" s="194" t="n"/>
      <c r="J19" s="197" t="n">
        <v>127514</v>
      </c>
      <c r="K19" s="172" t="n"/>
      <c r="L19" s="172" t="n"/>
      <c r="M19" s="194" t="n"/>
      <c r="N19" s="194" t="n"/>
      <c r="O19" s="194" t="n"/>
      <c r="P19" s="194" t="n"/>
      <c r="Q19" s="194" t="n"/>
      <c r="R19" s="194" t="n"/>
      <c r="S19" s="194" t="n"/>
      <c r="T19" s="194" t="n"/>
      <c r="U19" s="31" t="n"/>
      <c r="V19" s="194" t="n"/>
      <c r="W19" s="194" t="n"/>
      <c r="X19" s="31" t="n"/>
      <c r="Y19" s="194" t="n"/>
      <c r="Z19" s="194" t="n"/>
      <c r="AA19" s="194" t="n"/>
      <c r="AB19" s="197" t="n">
        <v>127000</v>
      </c>
      <c r="AC19" s="194" t="n"/>
      <c r="AD19" s="194" t="n"/>
      <c r="AE19" s="194" t="n"/>
      <c r="AF19" s="172" t="n"/>
      <c r="AG19" s="172" t="n"/>
      <c r="AH19" s="180">
        <f>SUM(B19:AG19)</f>
        <v/>
      </c>
      <c r="AI19" s="99" t="n"/>
    </row>
    <row r="20" ht="15.75" customHeight="1">
      <c r="A20" s="181" t="inlineStr">
        <is>
          <t>SOLIHULL MBC</t>
        </is>
      </c>
      <c r="B20" s="194" t="n"/>
      <c r="C20" s="194" t="n"/>
      <c r="D20" s="194" t="n"/>
      <c r="E20" s="194" t="n"/>
      <c r="F20" s="194" t="n"/>
      <c r="G20" s="194" t="n"/>
      <c r="H20" s="194" t="n"/>
      <c r="I20" s="194" t="n"/>
      <c r="J20" s="194" t="n"/>
      <c r="K20" s="172" t="n"/>
      <c r="L20" s="172" t="n"/>
      <c r="M20" s="194" t="n"/>
      <c r="N20" s="194" t="n"/>
      <c r="O20" s="194" t="n"/>
      <c r="P20" s="194" t="n"/>
      <c r="Q20" s="31" t="n">
        <v>33031.6</v>
      </c>
      <c r="R20" s="194" t="n"/>
      <c r="S20" s="194" t="n"/>
      <c r="T20" s="194" t="n"/>
      <c r="U20" s="194" t="n"/>
      <c r="V20" s="194" t="n"/>
      <c r="W20" s="194" t="n"/>
      <c r="X20" s="194" t="n"/>
      <c r="Y20" s="194" t="n"/>
      <c r="Z20" s="194" t="n"/>
      <c r="AA20" s="194" t="n"/>
      <c r="AB20" s="194" t="n"/>
      <c r="AC20" s="194" t="n"/>
      <c r="AD20" s="194" t="n"/>
      <c r="AE20" s="194" t="n"/>
      <c r="AF20" s="172" t="n"/>
      <c r="AG20" s="172" t="n"/>
      <c r="AH20" s="180">
        <f>SUM(B20:AG20)</f>
        <v/>
      </c>
    </row>
    <row r="21" ht="15.75" customHeight="1">
      <c r="A21" s="181" t="inlineStr">
        <is>
          <t>WALSALL MBC</t>
        </is>
      </c>
      <c r="B21" s="194" t="n"/>
      <c r="C21" s="194" t="n"/>
      <c r="D21" s="31">
        <f>326861.65-D11</f>
        <v/>
      </c>
      <c r="E21" s="194" t="n"/>
      <c r="F21" s="194" t="n"/>
      <c r="G21" s="194" t="n"/>
      <c r="H21" s="194" t="n"/>
      <c r="I21" s="194" t="n"/>
      <c r="J21" s="194" t="n"/>
      <c r="K21" s="172" t="n"/>
      <c r="L21" s="172" t="n"/>
      <c r="M21" s="31" t="n">
        <v>2415.71</v>
      </c>
      <c r="N21" s="194" t="n"/>
      <c r="O21" s="194" t="n"/>
      <c r="P21" s="194" t="n"/>
      <c r="Q21" s="194" t="n"/>
      <c r="R21" s="194" t="n"/>
      <c r="S21" s="194" t="n"/>
      <c r="T21" s="194" t="n"/>
      <c r="U21" s="31" t="n">
        <v>1891.06</v>
      </c>
      <c r="V21" s="194" t="n"/>
      <c r="W21" s="194" t="n"/>
      <c r="X21" s="194" t="n"/>
      <c r="Y21" s="194" t="n"/>
      <c r="Z21" s="194" t="n"/>
      <c r="AA21" s="194" t="n"/>
      <c r="AB21" s="194" t="n"/>
      <c r="AC21" s="194" t="n"/>
      <c r="AD21" s="194" t="n"/>
      <c r="AE21" s="194" t="n"/>
      <c r="AF21" s="172" t="n"/>
      <c r="AG21" s="172" t="n"/>
      <c r="AH21" s="180">
        <f>SUM(B21:AG21)</f>
        <v/>
      </c>
    </row>
    <row r="22" ht="15.75" customHeight="1">
      <c r="A22" s="181" t="inlineStr">
        <is>
          <t>WOLVERHAMPTON CC</t>
        </is>
      </c>
      <c r="B22" s="194" t="n"/>
      <c r="C22" s="194" t="n"/>
      <c r="D22" s="194" t="n"/>
      <c r="E22" s="194" t="n"/>
      <c r="F22" s="197" t="n">
        <v>125753.54</v>
      </c>
      <c r="G22" s="194" t="n"/>
      <c r="H22" s="194" t="n"/>
      <c r="I22" s="194" t="n"/>
      <c r="J22" s="194" t="n"/>
      <c r="K22" s="172" t="n"/>
      <c r="L22" s="172" t="n"/>
      <c r="M22" s="31">
        <f>131793.26-M10</f>
        <v/>
      </c>
      <c r="N22" s="194" t="n"/>
      <c r="O22" s="194" t="n"/>
      <c r="P22" s="194" t="n"/>
      <c r="Q22" s="194" t="n"/>
      <c r="R22" s="194" t="n"/>
      <c r="S22" s="194" t="n"/>
      <c r="T22" s="197">
        <f>132928.46-T10</f>
        <v/>
      </c>
      <c r="U22" s="194" t="n"/>
      <c r="V22" s="194" t="n"/>
      <c r="W22" s="194" t="n"/>
      <c r="X22" s="194" t="n"/>
      <c r="Y22" s="194" t="n"/>
      <c r="Z22" s="194" t="n"/>
      <c r="AA22" s="197">
        <f>132928.46-AA10</f>
        <v/>
      </c>
      <c r="AB22" s="31" t="n">
        <v>3903.4</v>
      </c>
      <c r="AC22" s="194" t="n"/>
      <c r="AD22" s="194" t="n"/>
      <c r="AE22" s="194" t="n"/>
      <c r="AF22" s="172" t="n"/>
      <c r="AG22" s="172" t="n"/>
      <c r="AH22" s="180">
        <f>SUM(B22:AG22)</f>
        <v/>
      </c>
      <c r="AI22" s="99" t="n"/>
    </row>
    <row r="23" ht="15.75" customHeight="1">
      <c r="A23" s="181" t="inlineStr">
        <is>
          <t>People Plus</t>
        </is>
      </c>
      <c r="B23" s="194" t="n"/>
      <c r="C23" s="194" t="n"/>
      <c r="D23" s="194" t="n"/>
      <c r="E23" s="194" t="n"/>
      <c r="F23" s="194" t="n"/>
      <c r="G23" s="194" t="n"/>
      <c r="H23" s="194" t="n"/>
      <c r="I23" s="194" t="n"/>
      <c r="J23" s="31" t="n"/>
      <c r="K23" t="n">
        <v>5076</v>
      </c>
      <c r="L23" t="n">
        <v>5000</v>
      </c>
      <c r="M23" s="31" t="n">
        <v>6233.4</v>
      </c>
      <c r="N23" s="194" t="n"/>
      <c r="O23" s="194" t="n"/>
      <c r="P23" s="194" t="n"/>
      <c r="Q23" s="196" t="n"/>
      <c r="R23" s="194" t="n"/>
      <c r="S23" s="194" t="n"/>
      <c r="T23" s="194" t="n"/>
      <c r="U23" s="31" t="n">
        <v>1800</v>
      </c>
      <c r="V23" s="196" t="n"/>
      <c r="W23" s="194" t="n"/>
      <c r="X23" s="194" t="n"/>
      <c r="Y23" s="194" t="n"/>
      <c r="Z23" s="194" t="n"/>
      <c r="AA23" s="194" t="n"/>
      <c r="AB23" s="194" t="n"/>
      <c r="AC23" s="194" t="n"/>
      <c r="AD23" s="194" t="n"/>
      <c r="AE23" s="194" t="n"/>
      <c r="AF23" s="172" t="n"/>
      <c r="AG23" s="172" t="n"/>
      <c r="AH23" s="180">
        <f>SUM(B23:AG23)</f>
        <v/>
      </c>
      <c r="AI23" s="99" t="n"/>
    </row>
    <row r="24" ht="15.75" customHeight="1">
      <c r="A24" s="181" t="inlineStr">
        <is>
          <t>Middlesbrough council</t>
        </is>
      </c>
      <c r="B24" s="194" t="n"/>
      <c r="C24" s="194" t="n"/>
      <c r="D24" s="194" t="n"/>
      <c r="E24" s="194" t="n"/>
      <c r="F24" s="194" t="n"/>
      <c r="G24" s="194" t="n"/>
      <c r="H24" s="194" t="n"/>
      <c r="I24" s="194" t="n"/>
      <c r="J24" s="194" t="n"/>
      <c r="K24" t="n">
        <v>5544</v>
      </c>
      <c r="L24" s="172" t="n"/>
      <c r="M24" s="31" t="n">
        <v>6380.69</v>
      </c>
      <c r="N24" s="194" t="n"/>
      <c r="O24" s="194" t="n"/>
      <c r="P24" s="194" t="n"/>
      <c r="Q24" s="194" t="n"/>
      <c r="R24" s="194" t="n"/>
      <c r="S24" s="196" t="n"/>
      <c r="T24" s="194" t="n"/>
      <c r="U24" s="194" t="n"/>
      <c r="V24" s="194" t="n"/>
      <c r="W24" s="194" t="n"/>
      <c r="X24" s="194" t="n"/>
      <c r="Y24" s="194" t="n"/>
      <c r="Z24" s="194" t="n"/>
      <c r="AA24" s="194" t="n"/>
      <c r="AB24" s="194" t="n"/>
      <c r="AC24" s="194" t="n"/>
      <c r="AD24" s="194" t="n"/>
      <c r="AE24" s="194" t="n"/>
      <c r="AF24" s="172" t="n"/>
      <c r="AG24" s="172" t="n"/>
      <c r="AH24" s="180">
        <f>SUM(B24:AG24)</f>
        <v/>
      </c>
      <c r="AI24" s="99" t="n"/>
    </row>
    <row r="25" ht="15.75" customHeight="1">
      <c r="A25" s="181" t="inlineStr">
        <is>
          <t>West  Northamptonshire Council</t>
        </is>
      </c>
      <c r="B25" s="194" t="n"/>
      <c r="C25" s="194" t="n"/>
      <c r="D25" s="194" t="n"/>
      <c r="E25" s="194" t="n"/>
      <c r="F25" s="194" t="n"/>
      <c r="G25" s="194" t="n"/>
      <c r="H25" s="194" t="n"/>
      <c r="I25" s="194" t="n"/>
      <c r="J25" s="194" t="n"/>
      <c r="K25" s="172" t="n"/>
      <c r="L25" s="172" t="n"/>
      <c r="M25" s="194" t="n"/>
      <c r="N25" s="194" t="n"/>
      <c r="O25" s="194" t="n"/>
      <c r="P25" s="194" t="n"/>
      <c r="Q25" s="194" t="n"/>
      <c r="R25" s="194" t="n"/>
      <c r="S25" s="194" t="n"/>
      <c r="T25" s="194" t="n"/>
      <c r="U25" s="194" t="n"/>
      <c r="V25" s="194" t="n"/>
      <c r="W25" s="194" t="n"/>
      <c r="X25" s="194" t="n"/>
      <c r="Y25" s="194" t="n"/>
      <c r="Z25" s="194" t="n"/>
      <c r="AA25" s="197" t="n"/>
      <c r="AB25" s="194" t="n"/>
      <c r="AC25" s="194" t="n"/>
      <c r="AD25" s="194" t="n"/>
      <c r="AE25" s="194" t="n"/>
      <c r="AF25" s="172" t="n"/>
      <c r="AG25" s="172" t="n"/>
      <c r="AH25" s="180">
        <f>SUM(B25:AG25)</f>
        <v/>
      </c>
      <c r="AI25" s="99" t="n"/>
    </row>
    <row r="26" ht="15.75" customHeight="1">
      <c r="A26" s="181" t="inlineStr">
        <is>
          <t>CHASING</t>
        </is>
      </c>
      <c r="B26" s="194" t="n"/>
      <c r="C26" s="194" t="n"/>
      <c r="D26" s="194">
        <f>1088</f>
        <v/>
      </c>
      <c r="E26" s="194" t="n"/>
      <c r="F26" s="194" t="n"/>
      <c r="G26" s="194" t="n"/>
      <c r="H26" s="194" t="n"/>
      <c r="I26" s="194" t="n"/>
      <c r="J26" s="194" t="n"/>
      <c r="K26" s="172" t="n"/>
      <c r="L26" s="172" t="n"/>
      <c r="M26" s="194" t="n"/>
      <c r="N26" s="194" t="n"/>
      <c r="O26" s="194" t="n"/>
      <c r="P26" s="194" t="n"/>
      <c r="Q26" s="194" t="n">
        <v>5885.44</v>
      </c>
      <c r="R26" s="194" t="n">
        <v>17157.76</v>
      </c>
      <c r="S26" s="31" t="n">
        <v>22480</v>
      </c>
      <c r="T26" s="194" t="n"/>
      <c r="U26" s="194" t="n">
        <v>7280</v>
      </c>
      <c r="V26" s="194" t="n"/>
      <c r="W26" s="194" t="n"/>
      <c r="X26" s="194" t="n"/>
      <c r="Y26" s="194" t="n"/>
      <c r="Z26" s="194" t="n"/>
      <c r="AA26" s="194" t="n"/>
      <c r="AB26" s="194" t="n"/>
      <c r="AC26" s="194" t="n"/>
      <c r="AD26" s="194" t="n"/>
      <c r="AE26" s="194" t="n"/>
      <c r="AF26" s="172" t="n"/>
      <c r="AG26" s="178" t="n"/>
      <c r="AH26" s="180">
        <f>SUM(B26:AG26)</f>
        <v/>
      </c>
      <c r="AI26" s="99" t="n"/>
    </row>
    <row r="27" ht="16.5" customHeight="1" thickBot="1">
      <c r="A27" s="181" t="inlineStr">
        <is>
          <t>HB SC</t>
        </is>
      </c>
      <c r="B27" s="196" t="n">
        <v>0</v>
      </c>
      <c r="C27" s="197" t="n">
        <v>7417.12</v>
      </c>
      <c r="D27" s="197" t="n">
        <v>3914.75</v>
      </c>
      <c r="E27" s="197" t="n">
        <v>1718.34</v>
      </c>
      <c r="F27" s="197" t="n">
        <v>3165.01999999999</v>
      </c>
      <c r="G27" s="197" t="n">
        <v>2921.059999999999</v>
      </c>
      <c r="H27" s="197" t="n">
        <v>760</v>
      </c>
      <c r="I27" s="197" t="n">
        <v>0</v>
      </c>
      <c r="J27" s="197" t="n">
        <v>6447.850000000006</v>
      </c>
      <c r="K27" s="197" t="n">
        <v>4212.66</v>
      </c>
      <c r="L27" s="197" t="n">
        <v>2351.369999999997</v>
      </c>
      <c r="M27" s="197" t="n">
        <v>6460.729999999996</v>
      </c>
      <c r="N27" s="197" t="n">
        <v>10</v>
      </c>
      <c r="O27" s="197" t="n">
        <v>0</v>
      </c>
      <c r="P27" s="197" t="n">
        <v>411.67</v>
      </c>
      <c r="Q27" s="197" t="n">
        <v>17489.03</v>
      </c>
      <c r="R27" s="197" t="n">
        <v>2321.329999999998</v>
      </c>
      <c r="S27" s="197" t="n">
        <v>3223.069999999978</v>
      </c>
      <c r="T27" s="197" t="n">
        <v>5928.640000000009</v>
      </c>
      <c r="U27" s="197" t="n">
        <v>2656.680000000001</v>
      </c>
      <c r="V27" s="197" t="n">
        <v>1597.36</v>
      </c>
      <c r="W27" s="197" t="n">
        <v>495</v>
      </c>
      <c r="X27" s="197" t="n">
        <v>15128.13</v>
      </c>
      <c r="Y27" s="197" t="n">
        <v>1464.01</v>
      </c>
      <c r="Z27" s="197" t="n">
        <v>4065.73</v>
      </c>
      <c r="AA27" s="197" t="n">
        <v>4538.199999999994</v>
      </c>
      <c r="AB27" s="197" t="n">
        <v>4559.680000000051</v>
      </c>
      <c r="AC27" s="197" t="n">
        <v>20</v>
      </c>
      <c r="AD27" s="197" t="n">
        <v>200</v>
      </c>
      <c r="AE27" s="197" t="n">
        <v>14241.76</v>
      </c>
      <c r="AF27" s="172" t="n"/>
      <c r="AG27" s="172" t="n"/>
      <c r="AH27" s="180">
        <f>SUM(B27:AG27)</f>
        <v/>
      </c>
    </row>
    <row r="28" ht="16.5" customHeight="1" thickBot="1">
      <c r="A28" s="198" t="inlineStr">
        <is>
          <t>Total</t>
        </is>
      </c>
      <c r="B28" s="199">
        <f>SUM(B5:B27)</f>
        <v/>
      </c>
      <c r="C28" s="199">
        <f>SUM(C5:C27)</f>
        <v/>
      </c>
      <c r="D28" s="199">
        <f>SUM(D5:D27)</f>
        <v/>
      </c>
      <c r="E28" s="199">
        <f>SUM(E5:E27)</f>
        <v/>
      </c>
      <c r="F28" s="199">
        <f>SUM(F5:F27)</f>
        <v/>
      </c>
      <c r="G28" s="199">
        <f>SUM(G5:G27)</f>
        <v/>
      </c>
      <c r="H28" s="199">
        <f>SUM(H5:H27)</f>
        <v/>
      </c>
      <c r="I28" s="199">
        <f>SUM(I5:I27)</f>
        <v/>
      </c>
      <c r="J28" s="199">
        <f>SUM(J5:J27)</f>
        <v/>
      </c>
      <c r="K28" s="199">
        <f>SUM(K5:K27)</f>
        <v/>
      </c>
      <c r="L28" s="199">
        <f>SUM(L5:L27)</f>
        <v/>
      </c>
      <c r="M28" s="199">
        <f>SUM(M5:M27)</f>
        <v/>
      </c>
      <c r="N28" s="199">
        <f>SUM(N5:N27)</f>
        <v/>
      </c>
      <c r="O28" s="199">
        <f>SUM(O5:O27)</f>
        <v/>
      </c>
      <c r="P28" s="199">
        <f>SUM(P5:P27)</f>
        <v/>
      </c>
      <c r="Q28" s="199">
        <f>SUM(Q5:Q27)</f>
        <v/>
      </c>
      <c r="R28" s="199">
        <f>SUM(R5:R27)</f>
        <v/>
      </c>
      <c r="S28" s="199">
        <f>SUM(S5:S27)</f>
        <v/>
      </c>
      <c r="T28" s="199">
        <f>SUM(T5:T27)</f>
        <v/>
      </c>
      <c r="U28" s="199">
        <f>SUM(U5:U27)</f>
        <v/>
      </c>
      <c r="V28" s="199">
        <f>SUM(V5:V27)</f>
        <v/>
      </c>
      <c r="W28" s="199">
        <f>SUM(W5:W27)</f>
        <v/>
      </c>
      <c r="X28" s="199">
        <f>SUM(X5:X27)</f>
        <v/>
      </c>
      <c r="Y28" s="199">
        <f>SUM(Y5:Y27)</f>
        <v/>
      </c>
      <c r="Z28" s="199">
        <f>SUM(Z5:Z27)</f>
        <v/>
      </c>
      <c r="AA28" s="199">
        <f>SUM(AA5:AA27)</f>
        <v/>
      </c>
      <c r="AB28" s="199">
        <f>SUM(AB5:AB27)</f>
        <v/>
      </c>
      <c r="AC28" s="199">
        <f>SUM(AC5:AC27)</f>
        <v/>
      </c>
      <c r="AD28" s="199">
        <f>SUM(AD5:AD27)</f>
        <v/>
      </c>
      <c r="AE28" s="199">
        <f>SUM(AE5:AE27)</f>
        <v/>
      </c>
      <c r="AF28" s="199">
        <f>SUM(AF5:AF27)</f>
        <v/>
      </c>
      <c r="AG28" s="199">
        <f>SUM(AG5:AG27)</f>
        <v/>
      </c>
      <c r="AH28" s="200">
        <f>SUM(AH5:AH27)</f>
        <v/>
      </c>
      <c r="AI28" s="99" t="n"/>
    </row>
    <row r="29" ht="15.75" customHeight="1" thickTop="1">
      <c r="A29" s="181" t="inlineStr">
        <is>
          <t>Running Total</t>
        </is>
      </c>
      <c r="B29" s="25">
        <f>SUM(B28)</f>
        <v/>
      </c>
      <c r="C29" s="25">
        <f>SUM(C28+B29)</f>
        <v/>
      </c>
      <c r="D29" s="25">
        <f>SUM(D28+C29)</f>
        <v/>
      </c>
      <c r="E29" s="25">
        <f>SUM(E28+D29)</f>
        <v/>
      </c>
      <c r="F29" s="25">
        <f>SUM(F28+E29)</f>
        <v/>
      </c>
      <c r="G29" s="25">
        <f>SUM(G28+F29)</f>
        <v/>
      </c>
      <c r="H29" s="25">
        <f>SUM(H28+G29)</f>
        <v/>
      </c>
      <c r="I29" s="25">
        <f>SUM(I28+H29)</f>
        <v/>
      </c>
      <c r="J29" s="25">
        <f>SUM(J28+I29)</f>
        <v/>
      </c>
      <c r="K29" s="25">
        <f>SUM(K28+J29)</f>
        <v/>
      </c>
      <c r="L29" s="25">
        <f>SUM(L28+K29)</f>
        <v/>
      </c>
      <c r="M29" s="25">
        <f>SUM(M28+L29)</f>
        <v/>
      </c>
      <c r="N29" s="25">
        <f>SUM(N28+M29)</f>
        <v/>
      </c>
      <c r="O29" s="25">
        <f>SUM(O28+N29)</f>
        <v/>
      </c>
      <c r="P29" s="25">
        <f>SUM(P28+O29)</f>
        <v/>
      </c>
      <c r="Q29" s="25">
        <f>SUM(Q28+P29)</f>
        <v/>
      </c>
      <c r="R29" s="25">
        <f>SUM(R28+Q29)</f>
        <v/>
      </c>
      <c r="S29" s="25">
        <f>SUM(S28+R29)</f>
        <v/>
      </c>
      <c r="T29" s="25">
        <f>SUM(T28+S29)</f>
        <v/>
      </c>
      <c r="U29" s="25">
        <f>SUM(U28+T29)</f>
        <v/>
      </c>
      <c r="V29" s="25">
        <f>SUM(V28+U29)</f>
        <v/>
      </c>
      <c r="W29" s="25">
        <f>SUM(W28+V29)</f>
        <v/>
      </c>
      <c r="X29" s="25">
        <f>SUM(X28+W29)</f>
        <v/>
      </c>
      <c r="Y29" s="25">
        <f>SUM(Y28+X29)</f>
        <v/>
      </c>
      <c r="Z29" s="25">
        <f>SUM(Z28+Y29)</f>
        <v/>
      </c>
      <c r="AA29" s="25">
        <f>SUM(AA28+Z29)</f>
        <v/>
      </c>
      <c r="AB29" s="25">
        <f>SUM(AB28+AA29)</f>
        <v/>
      </c>
      <c r="AC29" s="25">
        <f>SUM(AC28+AB29)</f>
        <v/>
      </c>
      <c r="AD29" s="25">
        <f>SUM(AD28+AC29)</f>
        <v/>
      </c>
      <c r="AE29" s="25">
        <f>SUM(AE28+AD29)</f>
        <v/>
      </c>
      <c r="AF29" s="25">
        <f>SUM(AF28+AE29)</f>
        <v/>
      </c>
      <c r="AG29" s="25">
        <f>SUM(AG28+AF29)</f>
        <v/>
      </c>
      <c r="AH29" s="25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/>
  </sheetPr>
  <dimension ref="A3:AH28"/>
  <sheetViews>
    <sheetView topLeftCell="A6" zoomScale="70" zoomScaleNormal="70" workbookViewId="0">
      <pane xSplit="1" topLeftCell="B1" activePane="topRight" state="frozen"/>
      <selection activeCell="I36" sqref="I36"/>
      <selection pane="topRight" activeCell="AH28" sqref="AH28"/>
    </sheetView>
  </sheetViews>
  <sheetFormatPr baseColWidth="8" defaultRowHeight="15"/>
  <cols>
    <col width="27.7109375" bestFit="1" customWidth="1" min="1" max="1"/>
    <col width="12.5703125" bestFit="1" customWidth="1" min="2" max="2"/>
    <col width="13.140625" bestFit="1" customWidth="1" min="3" max="3"/>
    <col width="12.5703125" bestFit="1" customWidth="1" min="4" max="4"/>
    <col width="11.42578125" bestFit="1" customWidth="1" min="5" max="9"/>
    <col width="13.140625" bestFit="1" customWidth="1" min="10" max="10"/>
    <col width="12.5703125" bestFit="1" customWidth="1" min="11" max="11"/>
    <col width="10.42578125" bestFit="1" customWidth="1" min="12" max="12"/>
    <col width="11" bestFit="1" customWidth="1" min="13" max="16"/>
    <col width="13.140625" bestFit="1" customWidth="1" min="17" max="17"/>
    <col width="12.5703125" bestFit="1" customWidth="1" min="18" max="18"/>
    <col width="11" bestFit="1" customWidth="1" min="19" max="20"/>
    <col width="11.42578125" bestFit="1" customWidth="1" min="21" max="21"/>
    <col width="11" bestFit="1" customWidth="1" min="22" max="22"/>
    <col width="11.42578125" bestFit="1" customWidth="1" min="23" max="23"/>
    <col width="13.140625" bestFit="1" customWidth="1" min="24" max="24"/>
    <col width="12.5703125" bestFit="1" customWidth="1" min="25" max="25"/>
    <col width="11.42578125" bestFit="1" customWidth="1" min="26" max="29"/>
    <col width="12.5703125" bestFit="1" customWidth="1" min="30" max="30"/>
    <col width="13.140625" bestFit="1" customWidth="1" min="31" max="31"/>
    <col width="12.5703125" bestFit="1" customWidth="1" min="32" max="32"/>
    <col width="8.7109375" bestFit="1" customWidth="1" min="33" max="33"/>
    <col width="13.5703125" bestFit="1" customWidth="1" min="34" max="34"/>
  </cols>
  <sheetData>
    <row r="3">
      <c r="A3" s="170" t="n"/>
      <c r="B3" s="171" t="inlineStr">
        <is>
          <t>Tuesday</t>
        </is>
      </c>
      <c r="C3" s="171" t="inlineStr">
        <is>
          <t>Wednesday</t>
        </is>
      </c>
      <c r="D3" s="171" t="inlineStr">
        <is>
          <t>Thursday</t>
        </is>
      </c>
      <c r="E3" s="171" t="inlineStr">
        <is>
          <t>Friday</t>
        </is>
      </c>
      <c r="F3" s="171" t="inlineStr">
        <is>
          <t>Saturday</t>
        </is>
      </c>
      <c r="G3" s="171" t="inlineStr">
        <is>
          <t>Sunday</t>
        </is>
      </c>
      <c r="H3" s="171" t="inlineStr">
        <is>
          <t>Monday</t>
        </is>
      </c>
      <c r="I3" s="171" t="inlineStr">
        <is>
          <t>Tuesday</t>
        </is>
      </c>
      <c r="J3" s="171" t="inlineStr">
        <is>
          <t>Wednesday</t>
        </is>
      </c>
      <c r="K3" s="171" t="inlineStr">
        <is>
          <t>Thursday</t>
        </is>
      </c>
      <c r="L3" s="171" t="inlineStr">
        <is>
          <t>Friday</t>
        </is>
      </c>
      <c r="M3" s="171" t="inlineStr">
        <is>
          <t>Saturday</t>
        </is>
      </c>
      <c r="N3" s="171" t="inlineStr">
        <is>
          <t>Sunday</t>
        </is>
      </c>
      <c r="O3" s="171" t="inlineStr">
        <is>
          <t>Monday</t>
        </is>
      </c>
      <c r="P3" s="171" t="inlineStr">
        <is>
          <t>Tuesday</t>
        </is>
      </c>
      <c r="Q3" s="171" t="inlineStr">
        <is>
          <t>Wednesday</t>
        </is>
      </c>
      <c r="R3" s="171" t="inlineStr">
        <is>
          <t>Thursday</t>
        </is>
      </c>
      <c r="S3" s="171" t="inlineStr">
        <is>
          <t>Friday</t>
        </is>
      </c>
      <c r="T3" s="171" t="inlineStr">
        <is>
          <t>Saturday</t>
        </is>
      </c>
      <c r="U3" s="171" t="inlineStr">
        <is>
          <t>Sunday</t>
        </is>
      </c>
      <c r="V3" s="171" t="inlineStr">
        <is>
          <t>Monday</t>
        </is>
      </c>
      <c r="W3" s="171" t="inlineStr">
        <is>
          <t>Tuesday</t>
        </is>
      </c>
      <c r="X3" s="171" t="inlineStr">
        <is>
          <t>Wednesday</t>
        </is>
      </c>
      <c r="Y3" s="171" t="inlineStr">
        <is>
          <t>Thursday</t>
        </is>
      </c>
      <c r="Z3" s="171" t="inlineStr">
        <is>
          <t>Friday</t>
        </is>
      </c>
      <c r="AA3" s="171" t="inlineStr">
        <is>
          <t>Saturday</t>
        </is>
      </c>
      <c r="AB3" s="171" t="inlineStr">
        <is>
          <t>Sunday</t>
        </is>
      </c>
      <c r="AC3" s="171" t="inlineStr">
        <is>
          <t>Monday</t>
        </is>
      </c>
      <c r="AD3" s="171" t="inlineStr">
        <is>
          <t>Tuesday</t>
        </is>
      </c>
      <c r="AE3" s="171" t="inlineStr">
        <is>
          <t>Wednesday</t>
        </is>
      </c>
      <c r="AF3" s="171" t="inlineStr">
        <is>
          <t>Thursday</t>
        </is>
      </c>
      <c r="AH3" s="171" t="inlineStr">
        <is>
          <t>TOTAL</t>
        </is>
      </c>
    </row>
    <row r="4" ht="15.75" customHeight="1" thickBot="1">
      <c r="A4" s="172" t="n"/>
      <c r="B4" s="183" t="n">
        <v>45839</v>
      </c>
      <c r="C4" s="183" t="n">
        <v>45840</v>
      </c>
      <c r="D4" s="183" t="n">
        <v>45841</v>
      </c>
      <c r="E4" s="183" t="n">
        <v>45842</v>
      </c>
      <c r="F4" s="183" t="n">
        <v>45843</v>
      </c>
      <c r="G4" s="183" t="n">
        <v>45844</v>
      </c>
      <c r="H4" s="175" t="n">
        <v>45845</v>
      </c>
      <c r="I4" s="175" t="n">
        <v>45846</v>
      </c>
      <c r="J4" s="175" t="n">
        <v>45847</v>
      </c>
      <c r="K4" s="175" t="n">
        <v>45848</v>
      </c>
      <c r="L4" s="175" t="n">
        <v>45849</v>
      </c>
      <c r="M4" s="175" t="n">
        <v>45850</v>
      </c>
      <c r="N4" s="175" t="n">
        <v>45851</v>
      </c>
      <c r="O4" s="184" t="n">
        <v>45852</v>
      </c>
      <c r="P4" s="184" t="n">
        <v>45853</v>
      </c>
      <c r="Q4" s="184" t="n">
        <v>45854</v>
      </c>
      <c r="R4" s="184" t="n">
        <v>45855</v>
      </c>
      <c r="S4" s="184" t="n">
        <v>45856</v>
      </c>
      <c r="T4" s="184" t="n">
        <v>45857</v>
      </c>
      <c r="U4" s="184" t="n">
        <v>45858</v>
      </c>
      <c r="V4" s="174" t="n">
        <v>45859</v>
      </c>
      <c r="W4" s="174" t="n">
        <v>45860</v>
      </c>
      <c r="X4" s="174" t="n">
        <v>45861</v>
      </c>
      <c r="Y4" s="174" t="n">
        <v>45862</v>
      </c>
      <c r="Z4" s="174" t="n">
        <v>45863</v>
      </c>
      <c r="AA4" s="174" t="n">
        <v>45864</v>
      </c>
      <c r="AB4" s="174" t="n">
        <v>45865</v>
      </c>
      <c r="AC4" s="173" t="n">
        <v>45866</v>
      </c>
      <c r="AD4" s="173" t="n">
        <v>45867</v>
      </c>
      <c r="AE4" s="173" t="n">
        <v>45868</v>
      </c>
      <c r="AF4" s="173" t="n">
        <v>45869</v>
      </c>
    </row>
    <row r="5">
      <c r="A5" s="170" t="inlineStr">
        <is>
          <t>B-HAM CITY COUNCIL</t>
        </is>
      </c>
      <c r="B5" s="31" t="n"/>
      <c r="C5" s="31" t="n"/>
      <c r="D5" s="31" t="n"/>
      <c r="E5" s="31" t="n"/>
      <c r="F5" s="31" t="n"/>
      <c r="G5" s="31" t="n"/>
      <c r="H5" s="31" t="n"/>
      <c r="I5" s="31" t="n"/>
      <c r="J5" s="31" t="n"/>
      <c r="K5" s="31" t="n"/>
      <c r="L5" s="31" t="n"/>
      <c r="M5" s="31" t="n"/>
      <c r="N5" s="31" t="n"/>
      <c r="O5" s="31" t="n"/>
      <c r="P5" s="31" t="n"/>
      <c r="Q5" s="31" t="n"/>
      <c r="R5" s="31" t="n">
        <v>59419.08</v>
      </c>
      <c r="S5" s="31" t="n"/>
      <c r="T5" s="31" t="n"/>
      <c r="U5" s="31" t="n"/>
      <c r="V5" s="31" t="n"/>
      <c r="W5" s="31" t="n"/>
      <c r="X5" s="31" t="n"/>
      <c r="Y5" s="31" t="n">
        <v>6083.28</v>
      </c>
      <c r="Z5" s="31" t="n"/>
      <c r="AA5" s="31" t="n"/>
      <c r="AB5" s="31" t="n"/>
      <c r="AC5" s="31" t="n"/>
      <c r="AD5" s="31" t="n"/>
      <c r="AE5" s="31" t="n"/>
      <c r="AF5" s="31" t="n"/>
      <c r="AG5" s="12" t="n"/>
      <c r="AH5">
        <f>SUM(B5:AF5)</f>
        <v/>
      </c>
    </row>
    <row r="6">
      <c r="A6" s="170" t="inlineStr">
        <is>
          <t>Buckingham</t>
        </is>
      </c>
      <c r="B6" s="31" t="n"/>
      <c r="C6" s="31" t="n"/>
      <c r="D6" s="31" t="n"/>
      <c r="E6" s="31" t="n"/>
      <c r="F6" s="31" t="n"/>
      <c r="G6" s="31" t="n"/>
      <c r="H6" s="31" t="n"/>
      <c r="I6" s="31" t="n"/>
      <c r="J6" s="31" t="n"/>
      <c r="K6" s="31" t="n"/>
      <c r="L6" s="31" t="n"/>
      <c r="M6" s="31" t="n"/>
      <c r="N6" s="31" t="n"/>
      <c r="O6" s="31" t="n"/>
      <c r="P6" s="31" t="n"/>
      <c r="Q6" s="31" t="n"/>
      <c r="R6" s="31" t="n"/>
      <c r="S6" s="31" t="n"/>
      <c r="T6" s="31" t="n"/>
      <c r="U6" s="31" t="n"/>
      <c r="V6" s="31" t="n"/>
      <c r="W6" s="31" t="n"/>
      <c r="X6" s="31" t="n"/>
      <c r="Y6" s="31" t="n"/>
      <c r="Z6" s="31" t="n"/>
      <c r="AA6" s="31" t="n"/>
      <c r="AB6" s="31" t="n"/>
      <c r="AC6" s="31" t="n"/>
      <c r="AD6" s="31" t="n"/>
      <c r="AE6" s="31" t="n"/>
      <c r="AF6" s="31" t="n"/>
      <c r="AG6" s="12" t="n"/>
      <c r="AH6">
        <f>SUM(B6:AF6)</f>
        <v/>
      </c>
    </row>
    <row r="7">
      <c r="A7" s="170" t="inlineStr">
        <is>
          <t>Sandwell Respite</t>
        </is>
      </c>
      <c r="B7" s="31" t="n"/>
      <c r="C7" s="31" t="n"/>
      <c r="D7" s="31" t="n"/>
      <c r="E7" s="31" t="n"/>
      <c r="F7" s="31" t="n"/>
      <c r="G7" s="31" t="n"/>
      <c r="H7" s="31" t="n"/>
      <c r="I7" s="31" t="n"/>
      <c r="J7" s="31" t="n"/>
      <c r="K7" s="31" t="n"/>
      <c r="L7" s="31" t="n"/>
      <c r="M7" s="31" t="n"/>
      <c r="N7" s="31" t="n"/>
      <c r="O7" s="31" t="n"/>
      <c r="P7" s="31" t="n"/>
      <c r="Q7" s="31" t="n"/>
      <c r="R7" s="31" t="n"/>
      <c r="S7" s="31" t="n"/>
      <c r="T7" s="31" t="n"/>
      <c r="U7" s="31" t="n"/>
      <c r="V7" s="31" t="n"/>
      <c r="W7" s="31" t="n"/>
      <c r="X7" s="31" t="n"/>
      <c r="Y7" s="31" t="n"/>
      <c r="Z7" s="31" t="n"/>
      <c r="AA7" s="31" t="n"/>
      <c r="AB7" s="31" t="n"/>
      <c r="AC7" s="31" t="n"/>
      <c r="AD7" s="31" t="n"/>
      <c r="AE7" s="31" t="n"/>
      <c r="AF7" s="31" t="n">
        <v>4365.6</v>
      </c>
      <c r="AG7" s="12" t="n"/>
      <c r="AH7">
        <f>SUM(B7:AF7)</f>
        <v/>
      </c>
    </row>
    <row r="8">
      <c r="A8" s="170" t="inlineStr">
        <is>
          <t>Sandwell Daycare</t>
        </is>
      </c>
      <c r="B8" s="31" t="n"/>
      <c r="C8" s="31" t="n"/>
      <c r="D8" s="31" t="n"/>
      <c r="E8" s="31" t="n"/>
      <c r="F8" s="31" t="n"/>
      <c r="G8" s="31" t="n"/>
      <c r="H8" s="31" t="n"/>
      <c r="I8" s="31" t="n"/>
      <c r="J8" s="31" t="n"/>
      <c r="K8" s="31" t="n"/>
      <c r="L8" s="31" t="n"/>
      <c r="M8" s="31" t="n"/>
      <c r="N8" s="31" t="n"/>
      <c r="O8" s="31" t="n"/>
      <c r="P8" s="31" t="n"/>
      <c r="Q8" s="31" t="n"/>
      <c r="R8" s="31" t="n"/>
      <c r="S8" s="31" t="n"/>
      <c r="T8" s="31" t="n"/>
      <c r="U8" s="31" t="n"/>
      <c r="V8" s="31" t="n"/>
      <c r="W8" s="31" t="n"/>
      <c r="X8" s="31" t="n"/>
      <c r="Y8" s="31" t="n"/>
      <c r="Z8" s="31" t="n"/>
      <c r="AA8" s="31" t="n"/>
      <c r="AB8" s="31" t="n"/>
      <c r="AC8" s="31" t="n"/>
      <c r="AD8" s="31" t="n"/>
      <c r="AE8" s="31" t="n"/>
      <c r="AF8" s="31" t="n"/>
      <c r="AG8" s="12" t="n"/>
      <c r="AH8">
        <f>SUM(B8:AF8)</f>
        <v/>
      </c>
    </row>
    <row r="9">
      <c r="A9" s="170" t="inlineStr">
        <is>
          <t>Wolverhampton Respite</t>
        </is>
      </c>
      <c r="B9" s="31" t="n"/>
      <c r="C9" s="31" t="n"/>
      <c r="D9" s="31" t="n"/>
      <c r="E9" s="31" t="n"/>
      <c r="F9" s="31" t="n"/>
      <c r="G9" s="31" t="n"/>
      <c r="H9" s="31" t="n"/>
      <c r="I9" s="31" t="n"/>
      <c r="J9" s="31" t="n"/>
      <c r="K9" s="31" t="n"/>
      <c r="L9" s="31" t="n"/>
      <c r="M9" s="31" t="n"/>
      <c r="N9" s="31" t="n"/>
      <c r="O9" s="31" t="n"/>
      <c r="P9" s="31" t="n"/>
      <c r="Q9" s="31" t="n"/>
      <c r="R9" s="31" t="n"/>
      <c r="S9" s="31" t="n"/>
      <c r="T9" s="31" t="n"/>
      <c r="U9" s="31" t="n"/>
      <c r="V9" s="31" t="n"/>
      <c r="W9" s="31" t="n"/>
      <c r="X9" s="31" t="n"/>
      <c r="Y9" s="31" t="n"/>
      <c r="Z9" s="31" t="n"/>
      <c r="AA9" s="31" t="n"/>
      <c r="AB9" s="31" t="n"/>
      <c r="AC9" s="31" t="n"/>
      <c r="AD9" s="31" t="n"/>
      <c r="AE9" s="31" t="n"/>
      <c r="AF9" s="31" t="n"/>
      <c r="AG9" s="12" t="n"/>
      <c r="AH9">
        <f>SUM(B9:AF9)</f>
        <v/>
      </c>
    </row>
    <row r="10">
      <c r="A10" s="170" t="inlineStr">
        <is>
          <t>Wolverhampton Daycare</t>
        </is>
      </c>
      <c r="B10" s="31" t="n"/>
      <c r="C10" s="31" t="n"/>
      <c r="D10" s="31" t="n"/>
      <c r="E10" s="31" t="n"/>
      <c r="F10" s="31" t="n"/>
      <c r="G10" s="31" t="n"/>
      <c r="H10" s="31" t="n"/>
      <c r="I10" s="31" t="n"/>
      <c r="J10" s="31" t="n"/>
      <c r="K10" s="31" t="n"/>
      <c r="L10" s="31" t="n"/>
      <c r="M10" s="31" t="n"/>
      <c r="N10" s="31" t="n"/>
      <c r="O10" s="31" t="n"/>
      <c r="P10" s="31" t="n"/>
      <c r="Q10" s="31" t="n"/>
      <c r="R10" s="31" t="n"/>
      <c r="S10" s="31" t="n"/>
      <c r="T10" s="31" t="n"/>
      <c r="U10" s="31" t="n"/>
      <c r="V10" s="31" t="n"/>
      <c r="W10" s="31" t="n"/>
      <c r="X10" s="31" t="n"/>
      <c r="Y10" s="31" t="n"/>
      <c r="Z10" s="31" t="n"/>
      <c r="AA10" s="31" t="n"/>
      <c r="AB10" s="31" t="n"/>
      <c r="AC10" s="31" t="n"/>
      <c r="AD10" s="31" t="n"/>
      <c r="AE10" s="31" t="n"/>
      <c r="AF10" s="31" t="n"/>
      <c r="AG10" s="12" t="n"/>
      <c r="AH10">
        <f>SUM(B10:AF10)</f>
        <v/>
      </c>
    </row>
    <row r="11">
      <c r="A11" s="170" t="inlineStr">
        <is>
          <t>Walsall Respite</t>
        </is>
      </c>
      <c r="B11" s="31" t="n"/>
      <c r="C11" s="31" t="n"/>
      <c r="D11" s="31" t="n"/>
      <c r="E11" s="31" t="n"/>
      <c r="F11" s="31" t="n"/>
      <c r="G11" s="31" t="n"/>
      <c r="H11" s="31" t="n"/>
      <c r="I11" s="31" t="n"/>
      <c r="J11" s="31" t="n"/>
      <c r="K11" s="31" t="n"/>
      <c r="L11" s="31" t="n"/>
      <c r="M11" s="31" t="n"/>
      <c r="N11" s="31" t="n"/>
      <c r="O11" s="31" t="n"/>
      <c r="P11" s="31" t="n"/>
      <c r="Q11" s="31" t="n"/>
      <c r="R11" s="31" t="n"/>
      <c r="S11" s="31" t="n"/>
      <c r="T11" s="31" t="n"/>
      <c r="U11" s="31" t="n"/>
      <c r="V11" s="31" t="n"/>
      <c r="W11" s="31" t="n"/>
      <c r="X11" s="31" t="n"/>
      <c r="Y11" s="31" t="n"/>
      <c r="Z11" s="31" t="n"/>
      <c r="AA11" s="31" t="n"/>
      <c r="AB11" s="31" t="n"/>
      <c r="AC11" s="31" t="n"/>
      <c r="AD11" s="31" t="n"/>
      <c r="AE11" s="31" t="n"/>
      <c r="AF11" s="31" t="n"/>
      <c r="AG11" s="12" t="n"/>
      <c r="AH11">
        <f>SUM(B11:AF11)</f>
        <v/>
      </c>
    </row>
    <row r="12">
      <c r="A12" s="170" t="inlineStr">
        <is>
          <t>Walsall Daycare</t>
        </is>
      </c>
      <c r="B12" s="31" t="n"/>
      <c r="C12" s="31" t="n"/>
      <c r="D12" s="31" t="n"/>
      <c r="E12" s="31" t="n"/>
      <c r="F12" s="31" t="n"/>
      <c r="G12" s="31" t="n"/>
      <c r="H12" s="31" t="n"/>
      <c r="I12" s="31" t="n"/>
      <c r="J12" s="31" t="n"/>
      <c r="K12" s="31" t="n"/>
      <c r="L12" s="31" t="n"/>
      <c r="M12" s="31" t="n"/>
      <c r="N12" s="31" t="n"/>
      <c r="O12" s="31" t="n"/>
      <c r="P12" s="31" t="n"/>
      <c r="Q12" s="31" t="n"/>
      <c r="R12" s="31" t="n"/>
      <c r="S12" s="31" t="n"/>
      <c r="T12" s="31" t="n"/>
      <c r="U12" s="31" t="n"/>
      <c r="V12" s="31" t="n"/>
      <c r="W12" s="31" t="n"/>
      <c r="X12" s="31" t="n"/>
      <c r="Y12" s="31" t="n"/>
      <c r="Z12" s="31" t="n"/>
      <c r="AA12" s="31" t="n"/>
      <c r="AB12" s="31" t="n"/>
      <c r="AC12" s="31" t="n"/>
      <c r="AD12" s="31" t="n"/>
      <c r="AE12" s="31" t="n"/>
      <c r="AF12" s="31" t="n"/>
      <c r="AG12" s="12" t="n"/>
      <c r="AH12">
        <f>SUM(B12:AF12)</f>
        <v/>
      </c>
    </row>
    <row r="13">
      <c r="A13" s="170" t="inlineStr">
        <is>
          <t>Ideal for All Ltd</t>
        </is>
      </c>
      <c r="B13" s="31" t="n"/>
      <c r="C13" s="31" t="n"/>
      <c r="D13" s="31" t="n"/>
      <c r="E13" s="31" t="n"/>
      <c r="F13" s="31" t="n"/>
      <c r="G13" s="31" t="n"/>
      <c r="H13" s="31" t="n"/>
      <c r="I13" s="31" t="n"/>
      <c r="J13" s="31" t="n"/>
      <c r="K13" s="31" t="n"/>
      <c r="L13" s="31" t="n"/>
      <c r="M13" s="31" t="n"/>
      <c r="N13" s="31" t="n"/>
      <c r="O13" s="31" t="n"/>
      <c r="P13" s="31" t="n"/>
      <c r="Q13" s="31" t="n"/>
      <c r="R13" s="31" t="n">
        <v>3767.31</v>
      </c>
      <c r="S13" s="31" t="n"/>
      <c r="T13" s="31" t="n"/>
      <c r="U13" s="31" t="n"/>
      <c r="V13" s="31" t="n"/>
      <c r="W13" s="31" t="n"/>
      <c r="X13" s="31" t="n"/>
      <c r="Y13" s="31" t="n"/>
      <c r="Z13" s="31" t="n"/>
      <c r="AA13" s="31" t="n"/>
      <c r="AB13" s="31" t="n"/>
      <c r="AC13" s="31" t="n"/>
      <c r="AD13" s="31" t="n"/>
      <c r="AE13" s="31" t="n"/>
      <c r="AF13" s="31" t="n"/>
      <c r="AG13" s="12" t="n"/>
      <c r="AH13">
        <f>SUM(B13:AF13)</f>
        <v/>
      </c>
    </row>
    <row r="14">
      <c r="A14" s="170" t="inlineStr">
        <is>
          <t>KIRKLEES COUNCIL</t>
        </is>
      </c>
      <c r="B14" s="31" t="n"/>
      <c r="C14" s="31" t="n"/>
      <c r="D14" s="31" t="n"/>
      <c r="E14" s="31" t="n"/>
      <c r="F14" s="31" t="n"/>
      <c r="G14" s="31" t="n"/>
      <c r="H14" s="31" t="n"/>
      <c r="I14" s="31" t="n"/>
      <c r="J14" s="31" t="n"/>
      <c r="K14" s="31" t="n"/>
      <c r="L14" s="31" t="n"/>
      <c r="M14" s="31" t="n"/>
      <c r="N14" s="31" t="n"/>
      <c r="O14" s="31" t="n"/>
      <c r="P14" s="31" t="n"/>
      <c r="Q14" s="31" t="n"/>
      <c r="R14" s="31" t="n"/>
      <c r="S14" s="31" t="n"/>
      <c r="T14" s="31" t="n"/>
      <c r="U14" s="31" t="n"/>
      <c r="V14" s="31" t="n"/>
      <c r="W14" s="31" t="n"/>
      <c r="X14" s="31" t="n"/>
      <c r="Y14" s="31" t="n"/>
      <c r="Z14" s="31" t="n"/>
      <c r="AA14" s="31" t="n"/>
      <c r="AB14" s="31" t="n"/>
      <c r="AC14" s="31" t="n"/>
      <c r="AD14" s="31" t="n"/>
      <c r="AE14" s="31" t="n"/>
      <c r="AF14" s="31" t="n"/>
      <c r="AG14" s="12" t="n"/>
      <c r="AH14">
        <f>SUM(B14:AF14)</f>
        <v/>
      </c>
    </row>
    <row r="15">
      <c r="A15" s="170" t="inlineStr">
        <is>
          <t xml:space="preserve">LBH PAYMENTS </t>
        </is>
      </c>
      <c r="B15" s="31" t="n"/>
      <c r="C15" s="31" t="n"/>
      <c r="D15" s="31" t="n"/>
      <c r="E15" s="31" t="n"/>
      <c r="F15" s="31" t="n"/>
      <c r="G15" s="31" t="n"/>
      <c r="H15" s="31" t="n"/>
      <c r="I15" s="31" t="n"/>
      <c r="J15" s="31" t="n"/>
      <c r="K15" s="31" t="n"/>
      <c r="L15" s="31" t="n"/>
      <c r="M15" s="31" t="n"/>
      <c r="N15" s="31" t="n"/>
      <c r="O15" s="31" t="n"/>
      <c r="P15" s="31" t="n"/>
      <c r="Q15" s="31" t="n"/>
      <c r="R15" s="31" t="n">
        <v>5203.8</v>
      </c>
      <c r="S15" s="31" t="n"/>
      <c r="T15" s="31" t="n"/>
      <c r="U15" s="31" t="n"/>
      <c r="V15" s="31" t="n"/>
      <c r="W15" s="31" t="n"/>
      <c r="X15" s="31" t="n"/>
      <c r="Y15" s="31" t="n"/>
      <c r="Z15" s="31" t="n"/>
      <c r="AA15" s="31" t="n"/>
      <c r="AB15" s="31" t="n"/>
      <c r="AC15" s="31" t="n"/>
      <c r="AD15" s="31" t="n"/>
      <c r="AE15" s="31" t="n"/>
      <c r="AF15" s="31" t="n"/>
      <c r="AG15" s="12" t="n"/>
      <c r="AH15">
        <f>SUM(B15:AF15)</f>
        <v/>
      </c>
    </row>
    <row r="16">
      <c r="A16" s="170" t="inlineStr">
        <is>
          <t>NHS BIRMINGHAM &amp; Solihull</t>
        </is>
      </c>
      <c r="B16" s="31" t="n"/>
      <c r="C16" s="31" t="n"/>
      <c r="D16" s="31" t="n"/>
      <c r="E16" s="31" t="n"/>
      <c r="F16" s="31" t="n"/>
      <c r="G16" s="31" t="n"/>
      <c r="H16" s="31" t="n"/>
      <c r="I16" s="31" t="n"/>
      <c r="J16" s="31" t="n"/>
      <c r="K16" s="31" t="n"/>
      <c r="L16" s="31" t="n"/>
      <c r="M16" s="31" t="n"/>
      <c r="N16" s="31" t="n"/>
      <c r="O16" s="31" t="n"/>
      <c r="P16" s="31" t="n"/>
      <c r="Q16" s="31" t="n"/>
      <c r="R16" s="31" t="n"/>
      <c r="S16" s="31" t="n"/>
      <c r="T16" s="31" t="n"/>
      <c r="U16" s="31" t="n"/>
      <c r="V16" s="31" t="n"/>
      <c r="W16" s="31" t="n"/>
      <c r="X16" s="31" t="n"/>
      <c r="Y16" s="31" t="n"/>
      <c r="Z16" s="31" t="n"/>
      <c r="AA16" s="31" t="n"/>
      <c r="AB16" s="31" t="n"/>
      <c r="AC16" s="31" t="n"/>
      <c r="AD16" s="31" t="n"/>
      <c r="AE16" s="31" t="n"/>
      <c r="AF16" s="31" t="n"/>
      <c r="AG16" s="12" t="n"/>
      <c r="AH16">
        <f>SUM(B16:AF16)</f>
        <v/>
      </c>
    </row>
    <row r="17">
      <c r="A17" s="170" t="inlineStr">
        <is>
          <t>NHS BLACK COUNTRY</t>
        </is>
      </c>
      <c r="B17" s="31" t="n"/>
      <c r="C17" s="31" t="n"/>
      <c r="D17" s="31" t="n"/>
      <c r="E17" s="31" t="n"/>
      <c r="F17" s="31" t="n"/>
      <c r="G17" s="31" t="n"/>
      <c r="H17" s="31" t="n"/>
      <c r="I17" s="31" t="n"/>
      <c r="J17" s="31" t="n"/>
      <c r="K17" s="31" t="n"/>
      <c r="L17" s="31" t="n"/>
      <c r="M17" s="31" t="n"/>
      <c r="N17" s="31" t="n"/>
      <c r="O17" s="31" t="n"/>
      <c r="P17" s="31" t="n">
        <v>23944.37</v>
      </c>
      <c r="Q17" s="31" t="n"/>
      <c r="R17" s="31" t="n">
        <v>1101.6</v>
      </c>
      <c r="S17" s="31" t="n"/>
      <c r="T17" s="31" t="n"/>
      <c r="U17" s="31" t="n"/>
      <c r="V17" s="31" t="n"/>
      <c r="W17" s="31" t="n"/>
      <c r="X17" s="31" t="n"/>
      <c r="Y17" s="31" t="n"/>
      <c r="Z17" s="31" t="n"/>
      <c r="AA17" s="31" t="n"/>
      <c r="AB17" s="31" t="n"/>
      <c r="AC17" s="31" t="n"/>
      <c r="AD17" s="31" t="n"/>
      <c r="AE17" s="31" t="n"/>
      <c r="AF17" s="31" t="n"/>
      <c r="AG17" s="12" t="n"/>
      <c r="AH17">
        <f>SUM(B17:AF17)</f>
        <v/>
      </c>
    </row>
    <row r="18">
      <c r="A18" s="181" t="inlineStr">
        <is>
          <t>SANDWELL MBC  BEN</t>
        </is>
      </c>
      <c r="B18" s="31" t="n"/>
      <c r="C18" s="31" t="n"/>
      <c r="D18" s="31" t="n"/>
      <c r="E18" s="31" t="n"/>
      <c r="F18" s="31" t="n"/>
      <c r="G18" s="31" t="n"/>
      <c r="H18" s="31" t="n"/>
      <c r="I18" s="31" t="n"/>
      <c r="J18" s="31" t="n"/>
      <c r="K18" s="31" t="n"/>
      <c r="L18" s="31" t="n"/>
      <c r="M18" s="31" t="n"/>
      <c r="N18" s="31" t="n"/>
      <c r="O18" s="31" t="n"/>
      <c r="P18" s="31" t="n"/>
      <c r="Q18" s="31" t="n"/>
      <c r="R18" s="31" t="n"/>
      <c r="S18" s="31" t="n"/>
      <c r="T18" s="31" t="n"/>
      <c r="U18" s="31" t="n"/>
      <c r="V18" s="31" t="n">
        <v>1140</v>
      </c>
      <c r="W18" s="31" t="n"/>
      <c r="X18" s="31" t="n"/>
      <c r="Y18" s="31" t="n"/>
      <c r="Z18" s="31" t="n"/>
      <c r="AA18" s="31" t="n"/>
      <c r="AB18" s="31" t="n"/>
      <c r="AC18" s="31" t="n"/>
      <c r="AD18" s="31" t="n"/>
      <c r="AE18" s="31" t="n"/>
      <c r="AF18" s="31" t="n"/>
      <c r="AG18" s="12" t="n"/>
      <c r="AH18">
        <f>SUM(B18:AF18)</f>
        <v/>
      </c>
    </row>
    <row r="19">
      <c r="A19" s="181" t="inlineStr">
        <is>
          <t>SANDWELL MBC</t>
        </is>
      </c>
      <c r="B19" s="31" t="n"/>
      <c r="C19" s="31" t="n"/>
      <c r="D19" s="31" t="n"/>
      <c r="E19" s="31" t="n"/>
      <c r="F19" s="31" t="n"/>
      <c r="G19" s="31" t="n"/>
      <c r="H19" s="31" t="n">
        <v>133750.87</v>
      </c>
      <c r="I19" s="31" t="n"/>
      <c r="J19" s="31" t="n"/>
      <c r="K19" s="31" t="n"/>
      <c r="L19" s="31" t="n"/>
      <c r="M19" s="31" t="n"/>
      <c r="N19" s="31" t="n"/>
      <c r="O19" s="31" t="n"/>
      <c r="P19" s="31" t="n"/>
      <c r="Q19" s="31" t="n"/>
      <c r="R19" s="31" t="n"/>
      <c r="S19" s="31" t="n"/>
      <c r="T19" s="31" t="n"/>
      <c r="U19" s="31" t="n"/>
      <c r="V19" s="31" t="n">
        <v>146588</v>
      </c>
      <c r="W19" s="31" t="n"/>
      <c r="X19" s="31" t="n"/>
      <c r="Y19" s="31" t="n"/>
      <c r="Z19" s="31" t="n"/>
      <c r="AA19" s="31" t="n"/>
      <c r="AB19" s="31" t="n"/>
      <c r="AC19" s="31" t="n"/>
      <c r="AD19" s="31" t="n"/>
      <c r="AE19" s="31" t="n"/>
      <c r="AF19" s="31" t="n"/>
      <c r="AG19" s="12" t="n"/>
      <c r="AH19">
        <f>SUM(B19:AF19)</f>
        <v/>
      </c>
    </row>
    <row r="20">
      <c r="A20" s="181" t="inlineStr">
        <is>
          <t>SOLIHULL MBC</t>
        </is>
      </c>
      <c r="B20" s="31" t="n"/>
      <c r="C20" s="31" t="n"/>
      <c r="D20" s="31" t="n"/>
      <c r="E20" s="31" t="n"/>
      <c r="F20" s="31" t="n"/>
      <c r="G20" s="31" t="n"/>
      <c r="H20" s="31" t="n"/>
      <c r="I20" s="31" t="n"/>
      <c r="J20" s="31" t="n"/>
      <c r="K20" s="31" t="n"/>
      <c r="L20" s="31" t="n"/>
      <c r="M20" s="31" t="n"/>
      <c r="N20" s="31" t="n"/>
      <c r="O20" s="31" t="n">
        <v>33031.6</v>
      </c>
      <c r="P20" s="31" t="n"/>
      <c r="Q20" s="31" t="n"/>
      <c r="R20" s="31" t="n"/>
      <c r="S20" s="31" t="n"/>
      <c r="T20" s="31" t="n"/>
      <c r="U20" s="31" t="n"/>
      <c r="V20" s="31" t="n"/>
      <c r="W20" s="31" t="n"/>
      <c r="X20" s="31" t="n"/>
      <c r="Y20" s="31" t="n"/>
      <c r="Z20" s="31" t="n"/>
      <c r="AA20" s="31" t="n"/>
      <c r="AB20" s="31" t="n"/>
      <c r="AC20" s="31" t="n"/>
      <c r="AD20" s="31" t="n"/>
      <c r="AE20" s="31" t="n"/>
      <c r="AF20" s="31" t="n"/>
      <c r="AG20" s="12" t="n"/>
      <c r="AH20">
        <f>SUM(B20:AF20)</f>
        <v/>
      </c>
    </row>
    <row r="21">
      <c r="A21" s="181" t="inlineStr">
        <is>
          <t xml:space="preserve">WALSALL MBC </t>
        </is>
      </c>
      <c r="B21" s="31" t="n">
        <v>337319.05</v>
      </c>
      <c r="C21" s="31" t="n"/>
      <c r="D21" s="31" t="n"/>
      <c r="E21" s="31" t="n"/>
      <c r="F21" s="31" t="n"/>
      <c r="G21" s="31" t="n"/>
      <c r="H21" s="31" t="n"/>
      <c r="I21" s="31" t="n"/>
      <c r="J21" s="31" t="n"/>
      <c r="K21" s="31" t="n"/>
      <c r="L21" s="31" t="n"/>
      <c r="M21" s="31" t="n"/>
      <c r="N21" s="31" t="n"/>
      <c r="O21" s="31" t="n"/>
      <c r="P21" s="31" t="n"/>
      <c r="Q21" s="31" t="n"/>
      <c r="R21" s="31" t="n"/>
      <c r="S21" s="31" t="n"/>
      <c r="T21" s="31" t="n"/>
      <c r="U21" s="31" t="n"/>
      <c r="V21" s="31" t="n"/>
      <c r="W21" s="31" t="n"/>
      <c r="X21" s="31" t="n"/>
      <c r="Y21" s="31" t="n"/>
      <c r="Z21" s="31" t="n"/>
      <c r="AA21" s="31" t="n"/>
      <c r="AB21" s="31" t="n"/>
      <c r="AC21" s="31" t="n"/>
      <c r="AD21" s="31" t="n"/>
      <c r="AE21" s="31" t="n"/>
      <c r="AF21" s="31" t="n"/>
      <c r="AG21" s="12" t="n"/>
      <c r="AH21">
        <f>SUM(B21:AF21)</f>
        <v/>
      </c>
    </row>
    <row r="22">
      <c r="A22" s="181" t="inlineStr">
        <is>
          <t xml:space="preserve">WOLVERHAMPTON </t>
        </is>
      </c>
      <c r="B22" s="31" t="n"/>
      <c r="C22" s="31" t="n"/>
      <c r="D22" s="31" t="n">
        <v>133297.59</v>
      </c>
      <c r="E22" s="31" t="n"/>
      <c r="F22" s="31" t="n"/>
      <c r="G22" s="31" t="n"/>
      <c r="H22" s="31" t="n"/>
      <c r="I22" s="31" t="n"/>
      <c r="J22" s="31" t="n">
        <v>1471.36</v>
      </c>
      <c r="K22" s="31" t="n">
        <v>133297.59</v>
      </c>
      <c r="L22" s="31" t="n"/>
      <c r="M22" s="31" t="n"/>
      <c r="N22" s="31" t="n"/>
      <c r="O22" s="31" t="n"/>
      <c r="P22" s="31" t="n"/>
      <c r="Q22" s="31" t="n"/>
      <c r="R22" s="31" t="n">
        <v>133297.59</v>
      </c>
      <c r="S22" s="31" t="n"/>
      <c r="T22" s="31" t="n"/>
      <c r="U22" s="31" t="n"/>
      <c r="V22" s="31" t="n"/>
      <c r="W22" s="31" t="n"/>
      <c r="X22" s="31" t="n">
        <v>133453.34</v>
      </c>
      <c r="Y22" s="31" t="n"/>
      <c r="Z22" s="31" t="n">
        <v>2476.8</v>
      </c>
      <c r="AA22" s="31" t="n"/>
      <c r="AB22" s="31" t="n"/>
      <c r="AC22" s="31" t="n"/>
      <c r="AD22" s="31" t="n"/>
      <c r="AE22" s="31" t="n"/>
      <c r="AF22" s="31" t="n">
        <v>133453.34</v>
      </c>
      <c r="AG22" s="12" t="n"/>
      <c r="AH22">
        <f>SUM(B22:AF22)</f>
        <v/>
      </c>
    </row>
    <row r="23">
      <c r="A23" s="181" t="inlineStr">
        <is>
          <t>People Plus</t>
        </is>
      </c>
      <c r="B23" s="31" t="n"/>
      <c r="C23" s="31" t="n"/>
      <c r="D23" s="31" t="n"/>
      <c r="E23" s="31" t="n"/>
      <c r="F23" s="31" t="n"/>
      <c r="G23" s="31" t="n"/>
      <c r="H23" s="31" t="n"/>
      <c r="I23" s="31" t="n"/>
      <c r="J23" s="31" t="n">
        <v>1600</v>
      </c>
      <c r="K23" s="31" t="n"/>
      <c r="L23" s="31" t="n"/>
      <c r="M23" s="31" t="n"/>
      <c r="N23" s="31" t="n"/>
      <c r="O23" s="31" t="n"/>
      <c r="P23" s="31" t="n"/>
      <c r="Q23" s="31" t="n"/>
      <c r="R23" s="31" t="n"/>
      <c r="S23" s="31" t="n"/>
      <c r="T23" s="31" t="n"/>
      <c r="U23" s="31" t="n"/>
      <c r="V23" s="31" t="n"/>
      <c r="W23" s="31" t="n"/>
      <c r="X23" s="31" t="n"/>
      <c r="Y23" s="31" t="n"/>
      <c r="Z23" s="31" t="n"/>
      <c r="AA23" s="31" t="n"/>
      <c r="AB23" s="31" t="n"/>
      <c r="AC23" s="31" t="n"/>
      <c r="AD23" s="31" t="n"/>
      <c r="AE23" s="31" t="n"/>
      <c r="AF23" s="31" t="n"/>
      <c r="AG23" s="12" t="n"/>
      <c r="AH23">
        <f>SUM(B23:AF23)</f>
        <v/>
      </c>
    </row>
    <row r="24">
      <c r="A24" s="181" t="inlineStr">
        <is>
          <t>Middlesbrough council</t>
        </is>
      </c>
      <c r="B24" s="31" t="n"/>
      <c r="C24" s="31" t="n"/>
      <c r="D24" s="31" t="n"/>
      <c r="E24" s="31" t="n"/>
      <c r="F24" s="31" t="n"/>
      <c r="G24" s="31" t="n"/>
      <c r="H24" s="31" t="n"/>
      <c r="I24" s="31" t="n"/>
      <c r="J24" s="31" t="n"/>
      <c r="K24" s="31" t="n"/>
      <c r="L24" s="31" t="n"/>
      <c r="M24" s="31" t="n"/>
      <c r="N24" s="31" t="n"/>
      <c r="O24" s="31" t="n"/>
      <c r="P24" s="31" t="n">
        <v>6115.4</v>
      </c>
      <c r="Q24" s="31" t="n"/>
      <c r="R24" s="31" t="n"/>
      <c r="S24" s="31" t="n"/>
      <c r="T24" s="31" t="n"/>
      <c r="U24" s="31" t="n"/>
      <c r="V24" s="31" t="n"/>
      <c r="W24" s="31" t="n"/>
      <c r="X24" s="31" t="n"/>
      <c r="Y24" s="31" t="n"/>
      <c r="Z24" s="31" t="n"/>
      <c r="AA24" s="31" t="n"/>
      <c r="AB24" s="31" t="n"/>
      <c r="AC24" s="31" t="n"/>
      <c r="AD24" s="31" t="n"/>
      <c r="AE24" s="31" t="n"/>
      <c r="AF24" s="31" t="n"/>
      <c r="AG24" s="12" t="n"/>
      <c r="AH24">
        <f>SUM(B24:AF24)</f>
        <v/>
      </c>
    </row>
    <row r="25">
      <c r="A25" s="181" t="inlineStr">
        <is>
          <t>West  Northamptonshire Council</t>
        </is>
      </c>
      <c r="B25" s="31" t="n"/>
      <c r="C25" s="31" t="n"/>
      <c r="D25" s="31" t="n"/>
      <c r="E25" s="31" t="n"/>
      <c r="F25" s="31" t="n"/>
      <c r="G25" s="31" t="n"/>
      <c r="H25" s="31" t="n"/>
      <c r="I25" s="31" t="n"/>
      <c r="J25" s="31" t="n"/>
      <c r="K25" s="31" t="n"/>
      <c r="L25" s="31" t="n"/>
      <c r="M25" s="31" t="n"/>
      <c r="N25" s="31" t="n"/>
      <c r="O25" s="31" t="n"/>
      <c r="P25" s="31" t="n"/>
      <c r="Q25" s="31" t="n"/>
      <c r="R25" s="31" t="n"/>
      <c r="S25" s="31" t="n"/>
      <c r="T25" s="31" t="n"/>
      <c r="U25" s="31" t="n"/>
      <c r="V25" s="31" t="n"/>
      <c r="W25" s="31" t="n"/>
      <c r="X25" s="31" t="n"/>
      <c r="Y25" s="31" t="n"/>
      <c r="Z25" s="31" t="n"/>
      <c r="AA25" s="31" t="n"/>
      <c r="AB25" s="31" t="n"/>
      <c r="AC25" s="31" t="n"/>
      <c r="AD25" s="31" t="n"/>
      <c r="AE25" s="31" t="n"/>
      <c r="AF25" s="31" t="n"/>
      <c r="AG25" s="12" t="n"/>
      <c r="AH25">
        <f>SUM(B25:AF25)</f>
        <v/>
      </c>
    </row>
    <row r="26">
      <c r="A26" s="181" t="inlineStr">
        <is>
          <t>CHASING</t>
        </is>
      </c>
      <c r="B26" s="31" t="n"/>
      <c r="C26" s="31" t="n"/>
      <c r="D26" s="31" t="n"/>
      <c r="E26" s="31" t="n"/>
      <c r="F26" s="31" t="n"/>
      <c r="G26" s="31" t="n"/>
      <c r="H26" s="31" t="n"/>
      <c r="I26" s="31" t="n"/>
      <c r="J26" s="31" t="n">
        <v>18321.94</v>
      </c>
      <c r="K26" s="31" t="n"/>
      <c r="L26" s="31" t="n"/>
      <c r="M26" s="31" t="n"/>
      <c r="N26" s="31" t="n"/>
      <c r="O26" s="31" t="n"/>
      <c r="P26" s="31" t="n"/>
      <c r="Q26" s="31" t="n"/>
      <c r="R26" s="31" t="n"/>
      <c r="S26" s="31" t="n"/>
      <c r="T26" s="31" t="n"/>
      <c r="U26" s="31" t="n"/>
      <c r="V26" s="31" t="n"/>
      <c r="W26" s="31" t="n"/>
      <c r="X26" s="31" t="n"/>
      <c r="Y26" s="31" t="n"/>
      <c r="Z26" s="31" t="n"/>
      <c r="AA26" s="31" t="n"/>
      <c r="AB26" s="31" t="n"/>
      <c r="AC26" s="31" t="n"/>
      <c r="AD26" s="31" t="n"/>
      <c r="AE26" s="31" t="n"/>
      <c r="AF26" s="31" t="n"/>
      <c r="AG26" s="12" t="n"/>
      <c r="AH26">
        <f>SUM(B26:AF26)</f>
        <v/>
      </c>
    </row>
    <row r="27">
      <c r="A27" s="181" t="inlineStr">
        <is>
          <t>HB SC</t>
        </is>
      </c>
      <c r="B27" s="31" t="n">
        <v>6644.869999999995</v>
      </c>
      <c r="C27" s="31" t="n">
        <v>1986.51</v>
      </c>
      <c r="D27" s="31" t="n">
        <v>4671.540000000008</v>
      </c>
      <c r="E27" s="204" t="n">
        <v>8585.650000000001</v>
      </c>
      <c r="F27" s="204" t="n">
        <v>690</v>
      </c>
      <c r="G27" s="31" t="n">
        <v>0</v>
      </c>
      <c r="H27" s="31" t="n">
        <v>5235.399999999994</v>
      </c>
      <c r="I27" s="204" t="n">
        <v>2344.46</v>
      </c>
      <c r="J27" s="31" t="n">
        <v>2130.009999999998</v>
      </c>
      <c r="K27" s="31" t="n">
        <v>5515.970000000001</v>
      </c>
      <c r="L27" s="204" t="n">
        <v>10910.32</v>
      </c>
      <c r="M27" s="31" t="n">
        <v>0</v>
      </c>
      <c r="N27" s="31" t="n">
        <v>200</v>
      </c>
      <c r="O27" s="31" t="n">
        <v>7794.25</v>
      </c>
      <c r="P27" s="31" t="n">
        <v>2969.230000000001</v>
      </c>
      <c r="Q27" s="204" t="n">
        <v>3139.43</v>
      </c>
      <c r="R27" s="31" t="n">
        <v>1588.210000000021</v>
      </c>
      <c r="S27" s="31" t="n">
        <v>7330.43</v>
      </c>
      <c r="T27" s="31" t="n">
        <v>800</v>
      </c>
      <c r="U27" s="204" t="n">
        <v>487.84</v>
      </c>
      <c r="V27" s="31" t="n">
        <v>18534.46000000002</v>
      </c>
      <c r="W27" s="31" t="n">
        <v>3093.02</v>
      </c>
      <c r="X27" s="204" t="n">
        <v>2916.37</v>
      </c>
      <c r="Y27" s="31" t="n">
        <v>1578.48000000001</v>
      </c>
      <c r="Z27" s="31" t="n">
        <v>5426.030000000001</v>
      </c>
      <c r="AA27" s="31" t="n">
        <v>0</v>
      </c>
      <c r="AB27" s="31" t="n">
        <v>200</v>
      </c>
      <c r="AC27" s="31" t="n">
        <v>7090.95</v>
      </c>
      <c r="AD27" s="31" t="n">
        <v>2335.629999999888</v>
      </c>
      <c r="AE27" s="31" t="n">
        <v>6042.97</v>
      </c>
      <c r="AF27" s="31" t="n">
        <v>3747.489999999996</v>
      </c>
      <c r="AG27" s="12" t="n"/>
      <c r="AH27">
        <f>SUM(B27:AF27)</f>
        <v/>
      </c>
    </row>
    <row r="28" ht="15.75" customHeight="1" thickBot="1">
      <c r="A28" s="203" t="inlineStr">
        <is>
          <t>Total</t>
        </is>
      </c>
      <c r="B28" s="58">
        <f>SUM(B5:B27)</f>
        <v/>
      </c>
      <c r="C28" s="58">
        <f>SUM(C5:C27)</f>
        <v/>
      </c>
      <c r="D28" s="58">
        <f>SUM(D5:D27)</f>
        <v/>
      </c>
      <c r="E28" s="58">
        <f>SUM(E5:E27)</f>
        <v/>
      </c>
      <c r="F28" s="58">
        <f>SUM(F5:F27)</f>
        <v/>
      </c>
      <c r="G28" s="58">
        <f>SUM(G5:G27)</f>
        <v/>
      </c>
      <c r="H28" s="58">
        <f>SUM(H5:H27)</f>
        <v/>
      </c>
      <c r="I28" s="58">
        <f>SUM(I5:I27)</f>
        <v/>
      </c>
      <c r="J28" s="58">
        <f>SUM(J5:J27)</f>
        <v/>
      </c>
      <c r="K28" s="58">
        <f>SUM(K5:K27)</f>
        <v/>
      </c>
      <c r="L28" s="58">
        <f>SUM(L5:L27)</f>
        <v/>
      </c>
      <c r="M28" s="58">
        <f>SUM(M5:M27)</f>
        <v/>
      </c>
      <c r="N28" s="58">
        <f>SUM(N5:N27)</f>
        <v/>
      </c>
      <c r="O28" s="58">
        <f>SUM(O5:O27)</f>
        <v/>
      </c>
      <c r="P28" s="58">
        <f>SUM(P5:P27)</f>
        <v/>
      </c>
      <c r="Q28" s="58">
        <f>SUM(Q5:Q27)</f>
        <v/>
      </c>
      <c r="R28" s="58">
        <f>SUM(R5:R27)</f>
        <v/>
      </c>
      <c r="S28" s="58">
        <f>SUM(S5:S27)</f>
        <v/>
      </c>
      <c r="T28" s="58">
        <f>SUM(T5:T27)</f>
        <v/>
      </c>
      <c r="U28" s="58">
        <f>SUM(U5:U27)</f>
        <v/>
      </c>
      <c r="V28" s="58">
        <f>SUM(V5:V27)</f>
        <v/>
      </c>
      <c r="W28" s="58">
        <f>SUM(W5:W27)</f>
        <v/>
      </c>
      <c r="X28" s="58">
        <f>SUM(X5:X27)</f>
        <v/>
      </c>
      <c r="Y28" s="58">
        <f>SUM(Y5:Y27)</f>
        <v/>
      </c>
      <c r="Z28" s="58">
        <f>SUM(Z5:Z27)</f>
        <v/>
      </c>
      <c r="AA28" s="58">
        <f>SUM(AA5:AA27)</f>
        <v/>
      </c>
      <c r="AB28" s="58">
        <f>SUM(AB5:AB27)</f>
        <v/>
      </c>
      <c r="AC28" s="58">
        <f>SUM(AC5:AC27)</f>
        <v/>
      </c>
      <c r="AD28" s="58">
        <f>SUM(AD5:AD27)</f>
        <v/>
      </c>
      <c r="AE28" s="58">
        <f>SUM(AE5:AE27)</f>
        <v/>
      </c>
      <c r="AF28" s="58">
        <f>SUM(AF5:AF27)</f>
        <v/>
      </c>
      <c r="AG28" s="29" t="n"/>
      <c r="AH28" s="29">
        <f>SUM(AH5:AH27)</f>
        <v/>
      </c>
    </row>
    <row r="29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L26"/>
  <sheetViews>
    <sheetView zoomScale="70" zoomScaleNormal="70" workbookViewId="0">
      <pane xSplit="1" ySplit="2" topLeftCell="I3" activePane="bottomRight" state="frozen"/>
      <selection activeCell="I36" sqref="I36"/>
      <selection pane="topRight" activeCell="I36" sqref="I36"/>
      <selection pane="bottomLeft" activeCell="I36" sqref="I36"/>
      <selection pane="bottomRight" activeCell="AG26" sqref="AG26"/>
    </sheetView>
  </sheetViews>
  <sheetFormatPr baseColWidth="8" defaultRowHeight="15"/>
  <cols>
    <col width="29.5703125" bestFit="1" customWidth="1" min="1" max="1"/>
    <col width="12" bestFit="1" customWidth="1" min="2" max="2"/>
    <col width="12.5703125" bestFit="1" customWidth="1" min="3" max="6"/>
    <col width="13.140625" bestFit="1" customWidth="1" min="7" max="7"/>
    <col width="12.5703125" bestFit="1" customWidth="1" min="8" max="10"/>
    <col width="12" bestFit="1" customWidth="1" min="11" max="11"/>
    <col width="11.5703125" bestFit="1" customWidth="1" min="12" max="12"/>
    <col width="12" bestFit="1" customWidth="1" min="13" max="13"/>
    <col width="13.140625" bestFit="1" customWidth="1" min="14" max="14"/>
    <col width="12.5703125" bestFit="1" customWidth="1" min="15" max="15"/>
    <col width="12" bestFit="1" customWidth="1" min="16" max="20"/>
    <col width="13.140625" bestFit="1" customWidth="1" min="21" max="21"/>
    <col width="12.5703125" bestFit="1" customWidth="1" min="22" max="27"/>
    <col width="13.140625" bestFit="1" customWidth="1" min="28" max="28"/>
    <col width="12.5703125" bestFit="1" customWidth="1" min="29" max="31"/>
    <col width="12" bestFit="1" customWidth="1" min="32" max="32"/>
    <col width="13.5703125" bestFit="1" customWidth="1" min="33" max="33"/>
  </cols>
  <sheetData>
    <row r="1">
      <c r="A1" s="1" t="n"/>
      <c r="B1" s="171" t="inlineStr">
        <is>
          <t>Friday</t>
        </is>
      </c>
      <c r="C1" s="171" t="inlineStr">
        <is>
          <t>Saturday</t>
        </is>
      </c>
      <c r="D1" s="171" t="inlineStr">
        <is>
          <t>Sunday</t>
        </is>
      </c>
      <c r="E1" s="171" t="inlineStr">
        <is>
          <t>Monday</t>
        </is>
      </c>
      <c r="F1" s="171" t="inlineStr">
        <is>
          <t>Tuesday</t>
        </is>
      </c>
      <c r="G1" s="171" t="inlineStr">
        <is>
          <t>Wednesday</t>
        </is>
      </c>
      <c r="H1" s="171" t="inlineStr">
        <is>
          <t>Thursday</t>
        </is>
      </c>
      <c r="I1" s="171" t="inlineStr">
        <is>
          <t>Friday</t>
        </is>
      </c>
      <c r="J1" s="171" t="inlineStr">
        <is>
          <t>Saturday</t>
        </is>
      </c>
      <c r="K1" s="171" t="inlineStr">
        <is>
          <t>Sunday</t>
        </is>
      </c>
      <c r="L1" s="171" t="inlineStr">
        <is>
          <t>Monday</t>
        </is>
      </c>
      <c r="M1" s="171" t="inlineStr">
        <is>
          <t>Tuesday</t>
        </is>
      </c>
      <c r="N1" s="171" t="inlineStr">
        <is>
          <t>Wednesday</t>
        </is>
      </c>
      <c r="O1" s="171" t="inlineStr">
        <is>
          <t>Thursday</t>
        </is>
      </c>
      <c r="P1" s="171" t="inlineStr">
        <is>
          <t>Friday</t>
        </is>
      </c>
      <c r="Q1" s="171" t="inlineStr">
        <is>
          <t>Saturday</t>
        </is>
      </c>
      <c r="R1" s="171" t="inlineStr">
        <is>
          <t>Sunday</t>
        </is>
      </c>
      <c r="S1" s="171" t="inlineStr">
        <is>
          <t>Monday</t>
        </is>
      </c>
      <c r="T1" s="171" t="inlineStr">
        <is>
          <t>Tuesday</t>
        </is>
      </c>
      <c r="U1" s="171" t="inlineStr">
        <is>
          <t>Wednesday</t>
        </is>
      </c>
      <c r="V1" s="171" t="inlineStr">
        <is>
          <t>Thursday</t>
        </is>
      </c>
      <c r="W1" s="171" t="inlineStr">
        <is>
          <t>Friday</t>
        </is>
      </c>
      <c r="X1" s="171" t="inlineStr">
        <is>
          <t>Saturday</t>
        </is>
      </c>
      <c r="Y1" s="171" t="inlineStr">
        <is>
          <t>Sunday</t>
        </is>
      </c>
      <c r="Z1" s="171" t="inlineStr">
        <is>
          <t>Monday</t>
        </is>
      </c>
      <c r="AA1" s="171" t="inlineStr">
        <is>
          <t>Tuesday</t>
        </is>
      </c>
      <c r="AB1" s="171" t="inlineStr">
        <is>
          <t>Wednesday</t>
        </is>
      </c>
      <c r="AC1" s="171" t="inlineStr">
        <is>
          <t>Thursday</t>
        </is>
      </c>
      <c r="AD1" s="171" t="inlineStr">
        <is>
          <t>Friday</t>
        </is>
      </c>
      <c r="AE1" s="171" t="inlineStr">
        <is>
          <t>Saturday</t>
        </is>
      </c>
      <c r="AF1" s="171" t="inlineStr">
        <is>
          <t>Sunday</t>
        </is>
      </c>
      <c r="AG1" s="171" t="inlineStr">
        <is>
          <t>Total</t>
        </is>
      </c>
      <c r="AI1" s="99" t="n"/>
      <c r="AL1" s="99" t="n"/>
    </row>
    <row r="2" ht="15.75" customHeight="1" thickBot="1">
      <c r="A2" s="1" t="n"/>
      <c r="B2" s="173" t="n">
        <v>45870</v>
      </c>
      <c r="C2" s="173" t="n">
        <v>45871</v>
      </c>
      <c r="D2" s="173" t="n">
        <v>45872</v>
      </c>
      <c r="E2" s="174" t="n">
        <v>45873</v>
      </c>
      <c r="F2" s="174" t="n">
        <v>45874</v>
      </c>
      <c r="G2" s="174" t="n">
        <v>45875</v>
      </c>
      <c r="H2" s="174" t="n">
        <v>45876</v>
      </c>
      <c r="I2" s="174" t="n">
        <v>45877</v>
      </c>
      <c r="J2" s="174" t="n">
        <v>45878</v>
      </c>
      <c r="K2" s="174" t="n">
        <v>45879</v>
      </c>
      <c r="L2" s="175" t="n">
        <v>45880</v>
      </c>
      <c r="M2" s="175" t="n">
        <v>45881</v>
      </c>
      <c r="N2" s="175" t="n">
        <v>45882</v>
      </c>
      <c r="O2" s="175" t="n">
        <v>45883</v>
      </c>
      <c r="P2" s="175" t="n">
        <v>45884</v>
      </c>
      <c r="Q2" s="175" t="n">
        <v>45885</v>
      </c>
      <c r="R2" s="175" t="n">
        <v>45886</v>
      </c>
      <c r="S2" s="176" t="n">
        <v>45887</v>
      </c>
      <c r="T2" s="176" t="n">
        <v>45888</v>
      </c>
      <c r="U2" s="176" t="n">
        <v>45889</v>
      </c>
      <c r="V2" s="176" t="n">
        <v>45890</v>
      </c>
      <c r="W2" s="176" t="n">
        <v>45891</v>
      </c>
      <c r="X2" s="176" t="n">
        <v>45892</v>
      </c>
      <c r="Y2" s="176" t="n">
        <v>45893</v>
      </c>
      <c r="Z2" s="173" t="n">
        <v>45894</v>
      </c>
      <c r="AA2" s="173" t="n">
        <v>45895</v>
      </c>
      <c r="AB2" s="173" t="n">
        <v>45896</v>
      </c>
      <c r="AC2" s="173" t="n">
        <v>45897</v>
      </c>
      <c r="AD2" s="173" t="n">
        <v>45898</v>
      </c>
      <c r="AE2" s="173" t="n">
        <v>45899</v>
      </c>
      <c r="AF2" s="173" t="n">
        <v>45900</v>
      </c>
      <c r="AG2" s="172" t="n"/>
      <c r="AL2" s="99" t="n"/>
    </row>
    <row r="3">
      <c r="A3" s="1" t="inlineStr">
        <is>
          <t>B-HAM CITY COUNCIL</t>
        </is>
      </c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t="n">
        <v>59419.08</v>
      </c>
      <c r="Q3" s="1" t="n"/>
      <c r="R3" s="1" t="n"/>
      <c r="S3" t="n">
        <v>6083.28</v>
      </c>
      <c r="T3" s="1" t="n"/>
      <c r="U3" s="1" t="n"/>
      <c r="V3" s="1" t="n"/>
      <c r="W3" s="1" t="n"/>
      <c r="X3" s="1" t="n"/>
      <c r="Y3" s="1" t="n"/>
      <c r="Z3" s="1" t="n"/>
      <c r="AA3" s="1" t="n"/>
      <c r="AB3" s="1" t="n"/>
      <c r="AC3" s="1" t="n"/>
      <c r="AD3" s="1" t="n"/>
      <c r="AE3" s="1" t="n"/>
      <c r="AF3" s="1" t="n"/>
      <c r="AG3">
        <f>SUM(B3:AF3)</f>
        <v/>
      </c>
      <c r="AL3" s="99" t="n"/>
    </row>
    <row r="4">
      <c r="A4" s="1" t="inlineStr">
        <is>
          <t>Buckingham</t>
        </is>
      </c>
      <c r="B4" t="n">
        <v>10781.04</v>
      </c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  <c r="AA4" s="1" t="n"/>
      <c r="AB4" s="1" t="n"/>
      <c r="AC4" s="1" t="n"/>
      <c r="AD4" s="1" t="n"/>
      <c r="AE4" s="1" t="n"/>
      <c r="AF4" s="1" t="n"/>
      <c r="AG4">
        <f>SUM(B4:AF4)</f>
        <v/>
      </c>
      <c r="AL4" s="99" t="n"/>
    </row>
    <row r="5">
      <c r="A5" s="1" t="inlineStr">
        <is>
          <t>Sandwell Respite</t>
        </is>
      </c>
      <c r="B5" s="1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  <c r="P5" t="n">
        <v>2393.6</v>
      </c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  <c r="AA5" t="n">
        <v>12699.76</v>
      </c>
      <c r="AB5" s="1" t="n"/>
      <c r="AC5" s="1" t="n"/>
      <c r="AD5" s="1" t="n"/>
      <c r="AE5" s="1" t="n"/>
      <c r="AF5" s="1" t="n"/>
      <c r="AG5">
        <f>SUM(B5:AF5)</f>
        <v/>
      </c>
      <c r="AI5" s="99" t="n"/>
      <c r="AL5" s="99" t="n"/>
    </row>
    <row r="6">
      <c r="A6" s="1" t="inlineStr">
        <is>
          <t>Sandwell Daycare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  <c r="AA6" s="1" t="n"/>
      <c r="AB6" s="1" t="n"/>
      <c r="AC6" s="1" t="n"/>
      <c r="AD6" s="1" t="n"/>
      <c r="AE6" s="1" t="n"/>
      <c r="AF6" s="1" t="n"/>
      <c r="AG6">
        <f>SUM(B6:AF6)</f>
        <v/>
      </c>
      <c r="AL6" s="99" t="n"/>
    </row>
    <row r="7">
      <c r="A7" s="1" t="inlineStr">
        <is>
          <t>Wolverhampton Respite</t>
        </is>
      </c>
      <c r="B7" s="1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>
        <f>SUM(B7:AF7)</f>
        <v/>
      </c>
      <c r="AI7" s="99" t="n"/>
    </row>
    <row r="8">
      <c r="A8" s="1" t="inlineStr">
        <is>
          <t>Wolverhampton Daycare</t>
        </is>
      </c>
      <c r="B8" s="1" t="n"/>
      <c r="C8" s="1" t="n"/>
      <c r="D8" s="1" t="n"/>
      <c r="E8" s="1" t="n"/>
      <c r="F8" s="1" t="n"/>
      <c r="G8" s="1" t="n"/>
      <c r="H8" s="197" t="n">
        <v>5606.3</v>
      </c>
      <c r="I8" s="1" t="n"/>
      <c r="J8" s="1" t="n"/>
      <c r="K8" s="1" t="n"/>
      <c r="L8" s="1" t="n"/>
      <c r="M8" s="1" t="n"/>
      <c r="N8" s="1" t="n"/>
      <c r="O8" s="197" t="n">
        <v>5606.3</v>
      </c>
      <c r="P8" s="1" t="n"/>
      <c r="Q8" s="1" t="n"/>
      <c r="R8" s="1" t="n"/>
      <c r="S8" s="1" t="n"/>
      <c r="T8" s="1" t="n"/>
      <c r="U8" s="1" t="n"/>
      <c r="V8" s="197" t="n">
        <v>5606.3</v>
      </c>
      <c r="W8" s="1" t="n"/>
      <c r="X8" s="1" t="n"/>
      <c r="Y8" s="1" t="n"/>
      <c r="Z8" s="1" t="n"/>
      <c r="AA8" s="1" t="n"/>
      <c r="AB8" s="1" t="n"/>
      <c r="AD8" s="197" t="n">
        <v>5606.3</v>
      </c>
      <c r="AE8" s="1" t="n"/>
      <c r="AF8" s="1" t="n"/>
      <c r="AG8">
        <f>SUM(B8:AF8)</f>
        <v/>
      </c>
    </row>
    <row r="9">
      <c r="A9" s="1" t="inlineStr">
        <is>
          <t>Walsall Respite</t>
        </is>
      </c>
      <c r="B9" s="1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  <c r="AA9" s="1" t="n"/>
      <c r="AB9" s="1" t="n"/>
      <c r="AD9" s="1" t="n"/>
      <c r="AE9" s="1" t="n"/>
      <c r="AF9" s="1" t="n"/>
      <c r="AG9">
        <f>SUM(B9:AF9)</f>
        <v/>
      </c>
      <c r="AI9" s="99" t="n"/>
    </row>
    <row r="10">
      <c r="A10" s="1" t="inlineStr">
        <is>
          <t>Walsall Daycare</t>
        </is>
      </c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  <c r="AA10" s="1" t="n"/>
      <c r="AB10" s="1" t="n"/>
      <c r="AD10" s="1" t="n"/>
      <c r="AE10" s="1" t="n"/>
      <c r="AF10" s="1" t="n"/>
      <c r="AG10">
        <f>SUM(B10:AF10)</f>
        <v/>
      </c>
    </row>
    <row r="11">
      <c r="A11" s="1" t="inlineStr">
        <is>
          <t>Ideal for All Ltd</t>
        </is>
      </c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t="n">
        <v>1812.16</v>
      </c>
      <c r="V11" s="1" t="n"/>
      <c r="W11" s="1" t="n"/>
      <c r="X11" s="1" t="n"/>
      <c r="Y11" s="1" t="n"/>
      <c r="Z11" s="1" t="n"/>
      <c r="AA11" s="1" t="n"/>
      <c r="AB11" s="1" t="n"/>
      <c r="AD11" s="1" t="n"/>
      <c r="AE11" s="1" t="n"/>
      <c r="AF11" s="1" t="n"/>
      <c r="AG11">
        <f>SUM(B11:AF11)</f>
        <v/>
      </c>
      <c r="AI11" s="99" t="n"/>
    </row>
    <row r="12">
      <c r="A12" s="1" t="inlineStr">
        <is>
          <t>KIRKLEES COUNCIL</t>
        </is>
      </c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t="n">
        <v>5888.14</v>
      </c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  <c r="AA12" s="1" t="n"/>
      <c r="AB12" s="1" t="n"/>
      <c r="AD12" s="1" t="n"/>
      <c r="AE12" s="1" t="n"/>
      <c r="AF12" s="1" t="n"/>
      <c r="AG12">
        <f>SUM(B12:AF12)</f>
        <v/>
      </c>
    </row>
    <row r="13">
      <c r="A13" s="1" t="inlineStr">
        <is>
          <t xml:space="preserve">LBH PAYMENTS </t>
        </is>
      </c>
      <c r="B13" s="1" t="n"/>
      <c r="C13" s="1" t="n"/>
      <c r="D13" s="1" t="n"/>
      <c r="E13" s="1" t="n"/>
      <c r="F13" s="1" t="n"/>
      <c r="G13" s="1" t="n"/>
      <c r="H13" t="n">
        <v>5203.8</v>
      </c>
      <c r="I13" s="1" t="n"/>
      <c r="J13" s="1" t="n"/>
      <c r="K13" s="1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  <c r="AA13" s="1" t="n"/>
      <c r="AB13" s="1" t="n"/>
      <c r="AD13" s="1" t="n"/>
      <c r="AE13" s="1" t="n"/>
      <c r="AF13" s="1" t="n"/>
      <c r="AG13">
        <f>SUM(B13:AF13)</f>
        <v/>
      </c>
      <c r="AI13" s="99" t="n"/>
    </row>
    <row r="14">
      <c r="A14" s="1" t="inlineStr">
        <is>
          <t>NHS BIRMINGHAM &amp; Solihull</t>
        </is>
      </c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t="n">
        <v>7442.08</v>
      </c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  <c r="AA14" s="1" t="n"/>
      <c r="AB14" s="1" t="n"/>
      <c r="AD14" s="1" t="n"/>
      <c r="AE14" s="1" t="n"/>
      <c r="AF14" s="1" t="n"/>
      <c r="AG14">
        <f>SUM(B14:AF14)</f>
        <v/>
      </c>
    </row>
    <row r="15">
      <c r="A15" s="1" t="inlineStr">
        <is>
          <t>NHS BLACK COUNTRY</t>
        </is>
      </c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t="n">
        <v>15224.81</v>
      </c>
      <c r="Q15" s="1" t="n"/>
      <c r="R15" s="1" t="n"/>
      <c r="S15" s="1" t="n"/>
      <c r="T15" s="1" t="n"/>
      <c r="U15" s="1" t="n"/>
      <c r="V15" s="1" t="n"/>
      <c r="W15" t="n">
        <v>7957.58</v>
      </c>
      <c r="X15" s="1" t="n"/>
      <c r="Y15" s="1" t="n"/>
      <c r="Z15" s="1" t="n"/>
      <c r="AA15" s="1" t="n"/>
      <c r="AB15" s="1" t="n"/>
      <c r="AD15" s="1" t="n"/>
      <c r="AE15" s="1" t="n"/>
      <c r="AF15" s="1" t="n"/>
      <c r="AG15">
        <f>SUM(B15:AF15)</f>
        <v/>
      </c>
      <c r="AI15" s="99" t="n"/>
    </row>
    <row r="16">
      <c r="A16" s="1" t="inlineStr">
        <is>
          <t>SANDWELL MBC  BEN</t>
        </is>
      </c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  <c r="S16" t="n">
        <v>1045</v>
      </c>
      <c r="T16" s="1" t="n"/>
      <c r="U16" s="1" t="n"/>
      <c r="V16" s="1" t="n"/>
      <c r="W16" s="1" t="n"/>
      <c r="X16" s="1" t="n"/>
      <c r="Y16" s="1" t="n"/>
      <c r="Z16" s="1" t="n"/>
      <c r="AA16" s="1" t="n"/>
      <c r="AB16" s="1" t="n"/>
      <c r="AD16" s="1" t="n"/>
      <c r="AE16" s="1" t="n"/>
      <c r="AF16" s="1" t="n"/>
      <c r="AG16">
        <f>SUM(B16:AF16)</f>
        <v/>
      </c>
    </row>
    <row r="17">
      <c r="A17" s="1" t="inlineStr">
        <is>
          <t>SANDWELL MBC</t>
        </is>
      </c>
      <c r="B17" t="n">
        <v>135053.6</v>
      </c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t="n">
        <v>135053.6</v>
      </c>
      <c r="T17" s="1" t="n"/>
      <c r="U17" s="1" t="n"/>
      <c r="V17" s="1" t="n"/>
      <c r="W17" s="1" t="n"/>
      <c r="X17" s="1" t="n"/>
      <c r="Y17" s="1" t="n"/>
      <c r="Z17" s="1" t="n"/>
      <c r="AA17" s="1" t="n"/>
      <c r="AB17" s="1" t="n"/>
      <c r="AD17" s="1" t="n"/>
      <c r="AE17" s="1" t="n"/>
      <c r="AF17" s="1" t="n"/>
      <c r="AG17">
        <f>SUM(B17:AF17)</f>
        <v/>
      </c>
      <c r="AI17" s="99" t="n"/>
    </row>
    <row r="18">
      <c r="A18" s="1" t="inlineStr">
        <is>
          <t>SOLIHULL MBC</t>
        </is>
      </c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t="n">
        <v>33031.6</v>
      </c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  <c r="AA18" s="1" t="n"/>
      <c r="AB18" s="1" t="n"/>
      <c r="AD18" s="1" t="n"/>
      <c r="AE18" s="1" t="n"/>
      <c r="AF18" s="1" t="n"/>
      <c r="AG18">
        <f>SUM(B18:AF18)</f>
        <v/>
      </c>
    </row>
    <row r="19">
      <c r="AA19" t="n">
        <v>344060.14</v>
      </c>
      <c r="AG19">
        <f>SUM(B19:AF19)</f>
        <v/>
      </c>
    </row>
    <row r="20">
      <c r="A20" s="1" t="inlineStr">
        <is>
          <t xml:space="preserve">WALSALL MBC </t>
        </is>
      </c>
      <c r="B20" s="1" t="n"/>
      <c r="C20" s="1" t="n"/>
      <c r="D20" s="1" t="n"/>
      <c r="E20" s="1" t="n"/>
      <c r="F20" s="1" t="n"/>
      <c r="G20" s="1" t="n"/>
      <c r="H20" s="75">
        <f>132225.26-H8</f>
        <v/>
      </c>
      <c r="I20" t="n">
        <v>2343.69</v>
      </c>
      <c r="J20" s="1" t="n"/>
      <c r="K20" s="1" t="n"/>
      <c r="L20" s="1" t="n"/>
      <c r="M20" s="1" t="n"/>
      <c r="N20" s="1" t="n"/>
      <c r="O20" s="75">
        <f>132225.26-O8</f>
        <v/>
      </c>
      <c r="P20" s="1" t="n"/>
      <c r="Q20" s="1" t="n"/>
      <c r="R20" s="1" t="n"/>
      <c r="S20" s="1" t="n"/>
      <c r="T20" s="1" t="n"/>
      <c r="U20" s="1" t="n"/>
      <c r="V20" s="75">
        <f>132225.26-V8</f>
        <v/>
      </c>
      <c r="W20" s="1" t="n"/>
      <c r="X20" s="1" t="n"/>
      <c r="Y20" s="1" t="n"/>
      <c r="Z20" s="1" t="n"/>
      <c r="AB20" s="1" t="n"/>
      <c r="AD20" s="75">
        <f>132225.26-AD8</f>
        <v/>
      </c>
      <c r="AE20" s="1" t="n"/>
      <c r="AF20" s="1" t="n"/>
      <c r="AG20">
        <f>SUM(B20:AF20)</f>
        <v/>
      </c>
      <c r="AI20" s="99" t="n"/>
    </row>
    <row r="21">
      <c r="A21" s="1" t="inlineStr">
        <is>
          <t>People Plus</t>
        </is>
      </c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t="n">
        <v>9030.200000000001</v>
      </c>
      <c r="Q21" s="1" t="n"/>
      <c r="R21" s="1" t="n"/>
      <c r="S21" s="1" t="n"/>
      <c r="T21" s="1" t="n"/>
      <c r="U21" t="n">
        <v>7330.4</v>
      </c>
      <c r="V21" s="1" t="n"/>
      <c r="W21" s="1" t="n"/>
      <c r="X21" s="1" t="n"/>
      <c r="Y21" s="1" t="n"/>
      <c r="Z21" s="1" t="n"/>
      <c r="AB21" s="1" t="n"/>
      <c r="AC21" s="1" t="n"/>
      <c r="AD21" s="1" t="n"/>
      <c r="AE21" s="1" t="n"/>
      <c r="AF21" s="1" t="n"/>
      <c r="AG21">
        <f>SUM(B21:AF21)</f>
        <v/>
      </c>
      <c r="AI21" s="99" t="n"/>
    </row>
    <row r="22">
      <c r="A22" s="1" t="inlineStr">
        <is>
          <t>Middlesbrough council</t>
        </is>
      </c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t="n">
        <v>6115.4</v>
      </c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  <c r="AA22" s="1" t="n"/>
      <c r="AB22" s="1" t="n"/>
      <c r="AC22" s="1" t="n"/>
      <c r="AD22" s="1" t="n"/>
      <c r="AE22" s="1" t="n"/>
      <c r="AF22" s="1" t="n"/>
      <c r="AG22">
        <f>SUM(B22:AF22)</f>
        <v/>
      </c>
    </row>
    <row r="23">
      <c r="A23" s="1" t="inlineStr">
        <is>
          <t>West  Northamptonshire Council</t>
        </is>
      </c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>
        <v>7280</v>
      </c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  <c r="AA23" s="1" t="n"/>
      <c r="AB23" s="1" t="n"/>
      <c r="AC23" s="1" t="n"/>
      <c r="AD23" s="1" t="n"/>
      <c r="AE23" s="1" t="n"/>
      <c r="AF23" s="1" t="n"/>
      <c r="AG23">
        <f>SUM(B23:AF23)</f>
        <v/>
      </c>
      <c r="AI23" s="99" t="n"/>
    </row>
    <row r="24">
      <c r="A24" s="1" t="inlineStr">
        <is>
          <t>CHASING</t>
        </is>
      </c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AB24" s="1" t="n"/>
      <c r="AC24" s="1" t="n"/>
      <c r="AD24" s="1" t="n"/>
      <c r="AE24" s="1" t="n"/>
      <c r="AF24" s="1" t="n"/>
      <c r="AG24">
        <f>SUM(B24:AF24)</f>
        <v/>
      </c>
    </row>
    <row r="25" customFormat="1" s="255">
      <c r="A25" s="1" t="inlineStr">
        <is>
          <t>HB SC</t>
        </is>
      </c>
      <c r="B25" s="1" t="n">
        <v>7272.510000000017</v>
      </c>
      <c r="C25" s="1" t="n">
        <v>0</v>
      </c>
      <c r="D25" s="1" t="n">
        <v>816.67</v>
      </c>
      <c r="E25" t="n">
        <v>8018.780000000001</v>
      </c>
      <c r="F25" t="n">
        <v>2934.31</v>
      </c>
      <c r="G25" t="n">
        <v>1048.59</v>
      </c>
      <c r="H25" t="n">
        <v>2266.279999999987</v>
      </c>
      <c r="I25">
        <f>9239.03-I20</f>
        <v/>
      </c>
      <c r="J25" s="1" t="n">
        <v>0</v>
      </c>
      <c r="K25" s="1" t="n">
        <v>0</v>
      </c>
      <c r="L25" s="1" t="n">
        <v>16565.23</v>
      </c>
      <c r="M25" s="1" t="n">
        <v>4428.769999999998</v>
      </c>
      <c r="N25" s="1" t="n">
        <v>2425.01</v>
      </c>
      <c r="O25" s="1" t="n">
        <v>3107.850000000006</v>
      </c>
      <c r="P25" s="1" t="n">
        <v>5597.289999999979</v>
      </c>
      <c r="Q25">
        <f>SUM(Q2:Q24)</f>
        <v/>
      </c>
      <c r="R25" t="n">
        <v>199</v>
      </c>
      <c r="S25" s="1" t="n">
        <v>19469.94</v>
      </c>
      <c r="T25" t="n">
        <v>3586.77</v>
      </c>
      <c r="U25" t="n">
        <v>4284.249999999998</v>
      </c>
      <c r="V25" s="1" t="n">
        <v>3013.589999999997</v>
      </c>
      <c r="W25" s="1" t="n">
        <v>8112.239999999998</v>
      </c>
      <c r="X25">
        <f>SUM(X2:X24)</f>
        <v/>
      </c>
      <c r="Y25" t="n">
        <v>509.38</v>
      </c>
      <c r="Z25" t="n">
        <v>145</v>
      </c>
      <c r="AA25" t="n">
        <v>7836.310000000007</v>
      </c>
      <c r="AB25" s="1" t="n">
        <v>2112.940000000001</v>
      </c>
      <c r="AC25" s="1" t="n">
        <v>2565.76</v>
      </c>
      <c r="AD25" s="1" t="n">
        <v>8188.010000000009</v>
      </c>
      <c r="AE25" s="1" t="n"/>
      <c r="AF25" s="1" t="n"/>
      <c r="AG25">
        <f>SUM(B25:AF25)</f>
        <v/>
      </c>
      <c r="AI25" s="99" t="n"/>
    </row>
    <row r="26">
      <c r="A26" s="1" t="inlineStr">
        <is>
          <t>Total</t>
        </is>
      </c>
      <c r="B26">
        <f>SUM(B3:B25)</f>
        <v/>
      </c>
      <c r="C26">
        <f>SUM(C3:C25)</f>
        <v/>
      </c>
      <c r="D26">
        <f>SUM(D3:D25)</f>
        <v/>
      </c>
      <c r="E26">
        <f>SUM(E3:E25)</f>
        <v/>
      </c>
      <c r="F26">
        <f>SUM(F3:F25)</f>
        <v/>
      </c>
      <c r="G26">
        <f>SUM(G3:G25)</f>
        <v/>
      </c>
      <c r="H26">
        <f>SUM(H3:H25)</f>
        <v/>
      </c>
      <c r="I26">
        <f>SUM(I3:I25)</f>
        <v/>
      </c>
      <c r="J26">
        <f>SUM(J3:J25)</f>
        <v/>
      </c>
      <c r="K26">
        <f>SUM(K3:K25)</f>
        <v/>
      </c>
      <c r="L26">
        <f>SUM(L3:L25)</f>
        <v/>
      </c>
      <c r="M26">
        <f>SUM(M3:M25)</f>
        <v/>
      </c>
      <c r="N26">
        <f>SUM(N3:N25)</f>
        <v/>
      </c>
      <c r="O26">
        <f>SUM(O3:O25)</f>
        <v/>
      </c>
      <c r="P26">
        <f>SUM(P3:P25)</f>
        <v/>
      </c>
      <c r="Q26">
        <f>SUM(Q3:Q25)</f>
        <v/>
      </c>
      <c r="R26">
        <f>SUM(R3:R25)</f>
        <v/>
      </c>
      <c r="S26">
        <f>SUM(S3:S25)</f>
        <v/>
      </c>
      <c r="T26">
        <f>SUM(T3:T25)</f>
        <v/>
      </c>
      <c r="U26">
        <f>SUM(U3:U25)</f>
        <v/>
      </c>
      <c r="V26">
        <f>SUM(V3:V25)</f>
        <v/>
      </c>
      <c r="W26">
        <f>SUM(W3:W25)</f>
        <v/>
      </c>
      <c r="X26">
        <f>SUM(X3:X25)</f>
        <v/>
      </c>
      <c r="Y26">
        <f>SUM(Y3:Y25)</f>
        <v/>
      </c>
      <c r="Z26">
        <f>SUM(Z3:Z25)</f>
        <v/>
      </c>
      <c r="AA26">
        <f>SUM(AA3:AA25)</f>
        <v/>
      </c>
      <c r="AB26">
        <f>SUM(AB3:AB25)</f>
        <v/>
      </c>
      <c r="AC26">
        <f>SUM(AC3:AC25)</f>
        <v/>
      </c>
      <c r="AD26">
        <f>SUM(AD3:AD25)</f>
        <v/>
      </c>
      <c r="AE26">
        <f>SUM(AE3:AE25)</f>
        <v/>
      </c>
      <c r="AF26">
        <f>SUM(AF3:AF25)</f>
        <v/>
      </c>
      <c r="AG26">
        <f>SUM(AG3:AG25)</f>
        <v/>
      </c>
      <c r="AL26" s="99" t="n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L27"/>
  <sheetViews>
    <sheetView zoomScale="80" zoomScaleNormal="80" workbookViewId="0">
      <pane xSplit="1" topLeftCell="I1" activePane="topRight" state="frozen"/>
      <selection activeCell="I36" sqref="I36"/>
      <selection pane="topRight" activeCell="AG26" sqref="AG26"/>
    </sheetView>
  </sheetViews>
  <sheetFormatPr baseColWidth="8" defaultRowHeight="15"/>
  <cols>
    <col width="29.42578125" bestFit="1" customWidth="1" min="1" max="1"/>
    <col width="9.85546875" bestFit="1" customWidth="1" min="2" max="4"/>
    <col width="10.7109375" bestFit="1" customWidth="1" min="5" max="5"/>
    <col width="9.85546875" bestFit="1" customWidth="1" min="6" max="11"/>
    <col width="10.7109375" bestFit="1" customWidth="1" min="12" max="13"/>
    <col width="9.85546875" bestFit="1" customWidth="1" min="14" max="15"/>
    <col width="10.7109375" bestFit="1" customWidth="1" min="16" max="16"/>
    <col width="9.85546875" bestFit="1" customWidth="1" min="17" max="18"/>
    <col width="10.7109375" bestFit="1" customWidth="1" min="19" max="19"/>
    <col width="9.85546875" bestFit="1" customWidth="1" min="20" max="23"/>
    <col width="10.7109375" bestFit="1" customWidth="1" min="24" max="24"/>
    <col width="9.85546875" bestFit="1" customWidth="1" min="25" max="25"/>
    <col width="10.7109375" bestFit="1" customWidth="1" min="26" max="26"/>
    <col width="9.85546875" bestFit="1" customWidth="1" min="27" max="31"/>
    <col width="6.5703125" bestFit="1" customWidth="1" min="32" max="32"/>
    <col width="12" bestFit="1" customWidth="1" min="33" max="33"/>
    <col width="9.85546875" bestFit="1" customWidth="1" min="34" max="34"/>
  </cols>
  <sheetData>
    <row r="1" ht="27" customHeight="1">
      <c r="A1" s="1" t="n"/>
      <c r="B1" s="171" t="inlineStr">
        <is>
          <t>Monday</t>
        </is>
      </c>
      <c r="C1" s="171" t="inlineStr">
        <is>
          <t>Tuesday</t>
        </is>
      </c>
      <c r="D1" s="171" t="inlineStr">
        <is>
          <t>Wednesday</t>
        </is>
      </c>
      <c r="E1" s="171" t="inlineStr">
        <is>
          <t>Thursday</t>
        </is>
      </c>
      <c r="F1" s="171" t="inlineStr">
        <is>
          <t>Friday</t>
        </is>
      </c>
      <c r="G1" s="171" t="inlineStr">
        <is>
          <t>Saturday</t>
        </is>
      </c>
      <c r="H1" s="171" t="inlineStr">
        <is>
          <t>Sunday</t>
        </is>
      </c>
      <c r="I1" s="171" t="inlineStr">
        <is>
          <t>Monday</t>
        </is>
      </c>
      <c r="J1" s="171" t="inlineStr">
        <is>
          <t>Tuesday</t>
        </is>
      </c>
      <c r="K1" s="171" t="inlineStr">
        <is>
          <t>Wednesday</t>
        </is>
      </c>
      <c r="L1" s="171" t="inlineStr">
        <is>
          <t>Thursday</t>
        </is>
      </c>
      <c r="M1" s="171" t="inlineStr">
        <is>
          <t>Friday</t>
        </is>
      </c>
      <c r="N1" s="171" t="inlineStr">
        <is>
          <t>Saturday</t>
        </is>
      </c>
      <c r="O1" s="171" t="inlineStr">
        <is>
          <t>Sunday</t>
        </is>
      </c>
      <c r="P1" s="171" t="inlineStr">
        <is>
          <t>Monday</t>
        </is>
      </c>
      <c r="Q1" s="171" t="inlineStr">
        <is>
          <t>Tuesday</t>
        </is>
      </c>
      <c r="R1" s="171" t="inlineStr">
        <is>
          <t>Wednesday</t>
        </is>
      </c>
      <c r="S1" s="171" t="inlineStr">
        <is>
          <t>Thursday</t>
        </is>
      </c>
      <c r="T1" s="171" t="inlineStr">
        <is>
          <t>Friday</t>
        </is>
      </c>
      <c r="U1" s="171" t="inlineStr">
        <is>
          <t>Saturday</t>
        </is>
      </c>
      <c r="V1" s="171" t="inlineStr">
        <is>
          <t>Sunday</t>
        </is>
      </c>
      <c r="W1" s="171" t="inlineStr">
        <is>
          <t>Monday</t>
        </is>
      </c>
      <c r="X1" s="171" t="inlineStr">
        <is>
          <t>Tuesday</t>
        </is>
      </c>
      <c r="Y1" s="171" t="inlineStr">
        <is>
          <t>Wednesday</t>
        </is>
      </c>
      <c r="Z1" s="171" t="inlineStr">
        <is>
          <t>Thursday</t>
        </is>
      </c>
      <c r="AA1" s="171" t="inlineStr">
        <is>
          <t>Friday</t>
        </is>
      </c>
      <c r="AB1" s="171" t="inlineStr">
        <is>
          <t>Saturday</t>
        </is>
      </c>
      <c r="AC1" s="171" t="inlineStr">
        <is>
          <t>Sunday</t>
        </is>
      </c>
      <c r="AD1" s="171" t="inlineStr">
        <is>
          <t>Monday</t>
        </is>
      </c>
      <c r="AE1" s="171" t="inlineStr">
        <is>
          <t>Tuesday</t>
        </is>
      </c>
      <c r="AF1" s="171" t="n"/>
      <c r="AG1" s="171" t="inlineStr">
        <is>
          <t>Total</t>
        </is>
      </c>
      <c r="AI1" s="99" t="n"/>
      <c r="AL1" s="99" t="n"/>
    </row>
    <row r="2" ht="15.75" customHeight="1" thickBot="1">
      <c r="A2" s="1" t="n"/>
      <c r="B2" s="173" t="n">
        <v>45901</v>
      </c>
      <c r="C2" s="173" t="n">
        <v>45902</v>
      </c>
      <c r="D2" s="173" t="n">
        <v>45903</v>
      </c>
      <c r="E2" s="173" t="n">
        <v>45904</v>
      </c>
      <c r="F2" s="173" t="n">
        <v>45905</v>
      </c>
      <c r="G2" s="173" t="n">
        <v>45906</v>
      </c>
      <c r="H2" s="173" t="n">
        <v>45907</v>
      </c>
      <c r="I2" s="175" t="n">
        <v>45908</v>
      </c>
      <c r="J2" s="175" t="n">
        <v>45909</v>
      </c>
      <c r="K2" s="175" t="n">
        <v>45910</v>
      </c>
      <c r="L2" s="175" t="n">
        <v>45911</v>
      </c>
      <c r="M2" s="175" t="n">
        <v>45912</v>
      </c>
      <c r="N2" s="175" t="n">
        <v>45913</v>
      </c>
      <c r="O2" s="175" t="n">
        <v>45914</v>
      </c>
      <c r="P2" s="176" t="n">
        <v>45915</v>
      </c>
      <c r="Q2" s="176" t="n">
        <v>45916</v>
      </c>
      <c r="R2" s="176" t="n">
        <v>45917</v>
      </c>
      <c r="S2" s="176" t="n">
        <v>45918</v>
      </c>
      <c r="T2" s="176" t="n">
        <v>45919</v>
      </c>
      <c r="U2" s="176" t="n">
        <v>45920</v>
      </c>
      <c r="V2" s="176" t="n">
        <v>45921</v>
      </c>
      <c r="W2" s="174" t="n">
        <v>45922</v>
      </c>
      <c r="X2" s="174" t="n">
        <v>45923</v>
      </c>
      <c r="Y2" s="174" t="n">
        <v>45924</v>
      </c>
      <c r="Z2" s="174" t="n">
        <v>45925</v>
      </c>
      <c r="AA2" s="174" t="n">
        <v>45926</v>
      </c>
      <c r="AB2" s="174" t="n">
        <v>45927</v>
      </c>
      <c r="AC2" s="174" t="n">
        <v>45928</v>
      </c>
      <c r="AD2" s="183" t="n">
        <v>45929</v>
      </c>
      <c r="AE2" s="183" t="n">
        <v>45930</v>
      </c>
      <c r="AF2" s="173" t="n"/>
      <c r="AG2" s="172" t="n"/>
      <c r="AL2" s="99" t="n"/>
    </row>
    <row r="3">
      <c r="A3" s="1" t="inlineStr">
        <is>
          <t>B-HAM CITY COUNCIL</t>
        </is>
      </c>
      <c r="B3" s="208" t="n"/>
      <c r="C3" s="208" t="n"/>
      <c r="D3" s="208" t="n"/>
      <c r="E3" s="208" t="n"/>
      <c r="F3" s="208" t="n"/>
      <c r="G3" s="208" t="n"/>
      <c r="H3" s="208" t="n"/>
      <c r="I3" s="208" t="n"/>
      <c r="J3" s="208" t="n"/>
      <c r="K3" s="208" t="n"/>
      <c r="L3" s="208" t="n"/>
      <c r="M3" s="31" t="n"/>
      <c r="N3" s="208" t="n"/>
      <c r="O3" s="208" t="n"/>
      <c r="P3" s="208" t="n"/>
      <c r="Q3" s="208" t="n"/>
      <c r="R3" s="208" t="n">
        <v>59419.08</v>
      </c>
      <c r="S3" s="31" t="n"/>
      <c r="T3" s="208" t="n"/>
      <c r="U3" s="208" t="n"/>
      <c r="V3" s="208" t="n"/>
      <c r="W3" s="31" t="n">
        <v>6083.28</v>
      </c>
      <c r="X3" s="208" t="n"/>
      <c r="Y3" s="208" t="n"/>
      <c r="Z3" s="208" t="n"/>
      <c r="AA3" s="208" t="n"/>
      <c r="AB3" s="208" t="n"/>
      <c r="AC3" s="208" t="n"/>
      <c r="AD3" s="208" t="n"/>
      <c r="AE3" s="207" t="n"/>
      <c r="AF3" s="207" t="n"/>
      <c r="AG3">
        <f>SUM(B3:AF3)</f>
        <v/>
      </c>
      <c r="AL3" s="99" t="n"/>
    </row>
    <row r="4">
      <c r="A4" s="1" t="inlineStr">
        <is>
          <t>Buckingham</t>
        </is>
      </c>
      <c r="B4" s="31" t="n"/>
      <c r="C4" s="208" t="n"/>
      <c r="D4" s="208" t="n"/>
      <c r="E4" s="208" t="n"/>
      <c r="F4" s="208" t="n"/>
      <c r="G4" s="208" t="n"/>
      <c r="H4" s="208" t="n"/>
      <c r="I4" s="208" t="n"/>
      <c r="J4" s="208" t="n"/>
      <c r="K4" s="208" t="n"/>
      <c r="L4" s="208" t="n"/>
      <c r="M4" s="208" t="n"/>
      <c r="N4" s="208" t="n"/>
      <c r="O4" s="208" t="n"/>
      <c r="P4" s="31" t="n"/>
      <c r="Q4" s="31" t="n"/>
      <c r="R4" s="208" t="n"/>
      <c r="S4" s="208" t="n"/>
      <c r="T4" s="31" t="n"/>
      <c r="U4" s="208" t="n"/>
      <c r="V4" s="208" t="n"/>
      <c r="W4" s="208" t="n"/>
      <c r="X4" s="208" t="n"/>
      <c r="Y4" s="31" t="n"/>
      <c r="Z4" s="208" t="n"/>
      <c r="AA4" s="208" t="n"/>
      <c r="AB4" s="208" t="n"/>
      <c r="AC4" s="31" t="n"/>
      <c r="AD4" s="208" t="n"/>
      <c r="AE4" s="210" t="n">
        <v>5390.52</v>
      </c>
      <c r="AF4" s="207" t="n"/>
      <c r="AG4">
        <f>SUM(B4:AF4)</f>
        <v/>
      </c>
      <c r="AL4" s="99" t="n"/>
    </row>
    <row r="5">
      <c r="A5" s="1" t="inlineStr">
        <is>
          <t>Sandwell Respite</t>
        </is>
      </c>
      <c r="B5" s="208" t="n"/>
      <c r="C5" s="208" t="n"/>
      <c r="D5" s="208" t="n"/>
      <c r="E5" s="208" t="n"/>
      <c r="F5" s="208" t="n"/>
      <c r="G5" s="208" t="n"/>
      <c r="H5" s="208" t="n"/>
      <c r="I5" s="208" t="n"/>
      <c r="J5" s="208" t="n"/>
      <c r="K5" s="208" t="n"/>
      <c r="L5" s="208" t="n"/>
      <c r="M5" s="208" t="n"/>
      <c r="N5" s="208" t="n"/>
      <c r="O5" s="208" t="n"/>
      <c r="P5" s="31" t="n"/>
      <c r="Q5" s="31" t="n"/>
      <c r="R5" s="208" t="n"/>
      <c r="S5" s="208" t="n"/>
      <c r="T5" s="31" t="n">
        <v>6384</v>
      </c>
      <c r="U5" s="208" t="n"/>
      <c r="V5" s="208" t="n"/>
      <c r="W5" s="208" t="n"/>
      <c r="X5" s="208" t="n"/>
      <c r="Y5" s="31" t="n"/>
      <c r="Z5" s="208" t="n"/>
      <c r="AA5" s="31" t="n"/>
      <c r="AB5" s="208" t="n"/>
      <c r="AC5" s="31" t="n"/>
      <c r="AD5" s="208" t="n"/>
      <c r="AE5" s="207" t="n"/>
      <c r="AF5" s="207" t="n"/>
      <c r="AG5">
        <f>SUM(B5:AF5)</f>
        <v/>
      </c>
      <c r="AI5" s="99" t="n"/>
      <c r="AL5" s="99" t="n"/>
    </row>
    <row r="6">
      <c r="A6" s="1" t="inlineStr">
        <is>
          <t>Sandwell Daycare</t>
        </is>
      </c>
      <c r="B6" s="208" t="n"/>
      <c r="C6" s="208" t="n"/>
      <c r="D6" s="208" t="n"/>
      <c r="E6" s="208" t="n"/>
      <c r="F6" s="208" t="n"/>
      <c r="G6" s="208" t="n"/>
      <c r="H6" s="208" t="n"/>
      <c r="I6" s="208" t="n"/>
      <c r="J6" s="208" t="n"/>
      <c r="K6" s="208" t="n"/>
      <c r="L6" s="208" t="n"/>
      <c r="M6" s="208" t="n"/>
      <c r="N6" s="208" t="n"/>
      <c r="O6" s="208" t="n"/>
      <c r="P6" s="31" t="n"/>
      <c r="Q6" s="31" t="n"/>
      <c r="R6" s="208" t="n"/>
      <c r="S6" s="208" t="n"/>
      <c r="T6" s="208" t="n"/>
      <c r="U6" s="208" t="n"/>
      <c r="V6" s="208" t="n"/>
      <c r="W6" s="208" t="n"/>
      <c r="X6" s="208" t="n"/>
      <c r="Y6" s="31" t="n"/>
      <c r="Z6" s="208" t="n"/>
      <c r="AA6" s="31" t="n">
        <v>15693.26</v>
      </c>
      <c r="AB6" s="208" t="n"/>
      <c r="AC6" s="31" t="n"/>
      <c r="AD6" s="208" t="n"/>
      <c r="AE6" s="207" t="n"/>
      <c r="AF6" s="207" t="n"/>
      <c r="AG6">
        <f>SUM(B6:AF6)</f>
        <v/>
      </c>
      <c r="AL6" s="99" t="n"/>
    </row>
    <row r="7">
      <c r="A7" s="1" t="inlineStr">
        <is>
          <t>Wolverhampton Respite</t>
        </is>
      </c>
      <c r="B7" s="208" t="n"/>
      <c r="C7" s="208" t="n"/>
      <c r="D7" s="208" t="n"/>
      <c r="E7" s="208" t="n"/>
      <c r="F7" s="208" t="n"/>
      <c r="G7" s="208" t="n"/>
      <c r="H7" s="208" t="n"/>
      <c r="I7" s="208" t="n"/>
      <c r="J7" s="208" t="n"/>
      <c r="K7" s="208" t="n"/>
      <c r="L7" s="208" t="n"/>
      <c r="M7" s="208" t="n"/>
      <c r="N7" s="208" t="n"/>
      <c r="O7" s="208" t="n"/>
      <c r="P7" s="31" t="n"/>
      <c r="Q7" s="31" t="n"/>
      <c r="R7" s="208" t="n"/>
      <c r="S7" s="208" t="n"/>
      <c r="T7" s="208" t="n"/>
      <c r="U7" s="208" t="n"/>
      <c r="V7" s="208" t="n"/>
      <c r="W7" s="208" t="n"/>
      <c r="X7" s="208" t="n"/>
      <c r="Y7" s="31" t="n"/>
      <c r="Z7" s="208" t="n"/>
      <c r="AA7" s="208" t="n"/>
      <c r="AB7" s="208" t="n"/>
      <c r="AC7" s="31" t="n"/>
      <c r="AD7" s="208" t="n"/>
      <c r="AE7" s="207" t="n"/>
      <c r="AF7" s="207" t="n"/>
      <c r="AG7">
        <f>SUM(B7:AF7)</f>
        <v/>
      </c>
      <c r="AI7" s="99" t="n"/>
    </row>
    <row r="8">
      <c r="A8" s="1" t="inlineStr">
        <is>
          <t>Wolverhampton Daycare</t>
        </is>
      </c>
      <c r="B8" s="208" t="n"/>
      <c r="C8" s="208" t="n"/>
      <c r="D8" s="208" t="n"/>
      <c r="E8" s="197" t="n">
        <v>5606.3</v>
      </c>
      <c r="F8" s="208" t="n"/>
      <c r="G8" s="208" t="n"/>
      <c r="H8" s="197" t="n"/>
      <c r="I8" s="208" t="n"/>
      <c r="J8" s="208" t="n"/>
      <c r="K8" s="208" t="n"/>
      <c r="L8" s="209" t="n">
        <v>5606.3</v>
      </c>
      <c r="M8" s="208" t="n"/>
      <c r="N8" s="208" t="n"/>
      <c r="O8" s="197" t="n"/>
      <c r="P8" s="31" t="n"/>
      <c r="Q8" s="31" t="n"/>
      <c r="R8" s="208" t="n"/>
      <c r="S8" s="197" t="n">
        <v>5606.3</v>
      </c>
      <c r="T8" s="208" t="n"/>
      <c r="U8" s="208" t="n"/>
      <c r="V8" s="197" t="n"/>
      <c r="W8" s="208" t="n"/>
      <c r="X8" s="208" t="n"/>
      <c r="Y8" s="31" t="n"/>
      <c r="Z8" s="197" t="n">
        <v>5606.3</v>
      </c>
      <c r="AA8" s="208" t="n"/>
      <c r="AB8" s="208" t="n"/>
      <c r="AC8" s="31" t="n"/>
      <c r="AD8" s="197" t="n"/>
      <c r="AE8" s="207" t="n"/>
      <c r="AF8" s="207" t="n"/>
      <c r="AG8">
        <f>SUM(B8:AF8)</f>
        <v/>
      </c>
    </row>
    <row r="9">
      <c r="A9" s="1" t="inlineStr">
        <is>
          <t>Walsall Respite</t>
        </is>
      </c>
      <c r="B9" s="208" t="n"/>
      <c r="C9" s="208" t="n"/>
      <c r="D9" s="208" t="n"/>
      <c r="E9" s="208" t="n"/>
      <c r="F9" s="208" t="n"/>
      <c r="G9" s="208" t="n"/>
      <c r="H9" s="208" t="n"/>
      <c r="I9" s="208" t="n"/>
      <c r="J9" s="208" t="n"/>
      <c r="K9" s="208" t="n"/>
      <c r="L9" s="208" t="n"/>
      <c r="M9" s="208" t="n"/>
      <c r="N9" s="208" t="n"/>
      <c r="O9" s="208" t="n"/>
      <c r="P9" s="31" t="n"/>
      <c r="Q9" s="31" t="n"/>
      <c r="R9" s="208" t="n"/>
      <c r="S9" s="208" t="n"/>
      <c r="T9" s="208" t="n"/>
      <c r="U9" s="208" t="n"/>
      <c r="V9" s="208" t="n"/>
      <c r="W9" s="208" t="n"/>
      <c r="X9" s="208" t="n">
        <v>26725.2</v>
      </c>
      <c r="Y9" s="31" t="n"/>
      <c r="Z9" s="208" t="n"/>
      <c r="AA9" s="208" t="n"/>
      <c r="AB9" s="208" t="n"/>
      <c r="AC9" s="31" t="n"/>
      <c r="AD9" s="208" t="n"/>
      <c r="AE9" s="207" t="n"/>
      <c r="AF9" s="207" t="n"/>
      <c r="AG9">
        <f>SUM(B9:AF9)</f>
        <v/>
      </c>
      <c r="AI9" s="99" t="n"/>
    </row>
    <row r="10">
      <c r="A10" s="1" t="inlineStr">
        <is>
          <t>Walsall Daycare</t>
        </is>
      </c>
      <c r="B10" s="208" t="n"/>
      <c r="C10" s="208" t="n"/>
      <c r="D10" s="208" t="n"/>
      <c r="E10" s="208" t="n"/>
      <c r="F10" s="208" t="n"/>
      <c r="G10" s="208" t="n"/>
      <c r="H10" s="208" t="n"/>
      <c r="I10" s="208" t="n"/>
      <c r="J10" s="208" t="n"/>
      <c r="K10" s="208" t="n"/>
      <c r="L10" s="208" t="n"/>
      <c r="M10" s="208" t="n"/>
      <c r="N10" s="208" t="n"/>
      <c r="O10" s="208" t="n"/>
      <c r="P10" s="31" t="n"/>
      <c r="Q10" s="31" t="n"/>
      <c r="R10" s="208" t="n"/>
      <c r="S10" s="208" t="n"/>
      <c r="T10" s="208" t="n"/>
      <c r="U10" s="208" t="n"/>
      <c r="V10" s="208" t="n"/>
      <c r="W10" s="208" t="n"/>
      <c r="X10" s="208" t="n"/>
      <c r="Y10" s="31" t="n"/>
      <c r="Z10" s="208" t="n"/>
      <c r="AA10" s="208" t="n"/>
      <c r="AB10" s="208" t="n"/>
      <c r="AC10" s="31" t="n"/>
      <c r="AD10" s="208" t="n"/>
      <c r="AE10" s="207" t="n"/>
      <c r="AF10" s="207" t="n"/>
      <c r="AG10">
        <f>SUM(B10:AF10)</f>
        <v/>
      </c>
    </row>
    <row r="11">
      <c r="A11" s="1" t="inlineStr">
        <is>
          <t>Ideal for All Ltd</t>
        </is>
      </c>
      <c r="B11" s="208" t="n"/>
      <c r="C11" s="208" t="n"/>
      <c r="D11" s="208" t="n"/>
      <c r="E11" s="208" t="n"/>
      <c r="F11" s="208" t="n"/>
      <c r="G11" s="208" t="n"/>
      <c r="H11" s="208" t="n"/>
      <c r="I11" s="208" t="n"/>
      <c r="J11" s="208" t="n"/>
      <c r="K11" s="208" t="n"/>
      <c r="L11" s="208" t="n"/>
      <c r="M11" s="208" t="n"/>
      <c r="N11" s="208" t="n"/>
      <c r="O11" s="208" t="n"/>
      <c r="P11" s="31" t="n"/>
      <c r="Q11" s="31" t="n"/>
      <c r="R11" s="31" t="n"/>
      <c r="S11" s="208" t="n"/>
      <c r="T11" s="31" t="n">
        <v>3896.75</v>
      </c>
      <c r="U11" s="31" t="n"/>
      <c r="V11" s="208" t="n"/>
      <c r="W11" s="208" t="n"/>
      <c r="X11" s="208" t="n"/>
      <c r="Y11" s="31" t="n"/>
      <c r="Z11" s="208" t="n"/>
      <c r="AA11" s="208" t="n"/>
      <c r="AB11" s="208" t="n"/>
      <c r="AC11" s="31" t="n"/>
      <c r="AD11" s="208" t="n"/>
      <c r="AE11" s="207" t="n"/>
      <c r="AF11" s="207" t="n"/>
      <c r="AG11">
        <f>SUM(B11:AF11)</f>
        <v/>
      </c>
      <c r="AI11" s="99" t="n"/>
    </row>
    <row r="12">
      <c r="A12" s="1" t="inlineStr">
        <is>
          <t>KIRKLEES COUNCIL</t>
        </is>
      </c>
      <c r="B12" s="208" t="n"/>
      <c r="C12" s="208" t="n"/>
      <c r="D12" s="208" t="n"/>
      <c r="E12" s="208" t="n"/>
      <c r="F12" s="208" t="n"/>
      <c r="G12" s="208" t="n"/>
      <c r="H12" s="208" t="n"/>
      <c r="I12" s="208" t="n"/>
      <c r="J12" s="31" t="n"/>
      <c r="K12" s="208" t="n"/>
      <c r="L12" s="208" t="n"/>
      <c r="M12" s="208" t="n"/>
      <c r="N12" s="31" t="n"/>
      <c r="O12" s="208" t="n"/>
      <c r="P12" s="31" t="n"/>
      <c r="Q12" s="31" t="n"/>
      <c r="R12" s="208" t="n"/>
      <c r="S12" s="208" t="n"/>
      <c r="T12" s="31" t="n"/>
      <c r="U12" s="208" t="n"/>
      <c r="V12" s="208" t="n"/>
      <c r="W12" s="208" t="n"/>
      <c r="X12" s="208" t="n"/>
      <c r="Y12" s="31" t="n"/>
      <c r="Z12" s="208" t="n"/>
      <c r="AA12" s="208" t="n"/>
      <c r="AB12" s="31" t="n"/>
      <c r="AC12" s="31" t="n"/>
      <c r="AD12" s="208" t="n">
        <v>6040.2</v>
      </c>
      <c r="AF12" s="207" t="n"/>
      <c r="AG12">
        <f>SUM(B12:AF12)</f>
        <v/>
      </c>
    </row>
    <row r="13">
      <c r="A13" s="1" t="inlineStr">
        <is>
          <t xml:space="preserve">LBH PAYMENTS </t>
        </is>
      </c>
      <c r="B13" s="208" t="n"/>
      <c r="C13" s="208" t="n"/>
      <c r="D13" s="208" t="n"/>
      <c r="E13" s="31" t="n">
        <v>5203.8</v>
      </c>
      <c r="F13" s="208" t="n"/>
      <c r="G13" s="208" t="n"/>
      <c r="H13" s="208" t="n"/>
      <c r="I13" s="208" t="n"/>
      <c r="J13" s="208" t="n"/>
      <c r="K13" s="208" t="n"/>
      <c r="L13" s="208" t="n"/>
      <c r="M13" s="208" t="n"/>
      <c r="N13" s="208" t="n"/>
      <c r="O13" s="208" t="n"/>
      <c r="P13" s="31" t="n"/>
      <c r="Q13" s="31" t="n"/>
      <c r="R13" s="208" t="n"/>
      <c r="S13" s="208" t="n"/>
      <c r="T13" s="208" t="n"/>
      <c r="U13" s="208" t="n"/>
      <c r="V13" s="208" t="n"/>
      <c r="W13" s="208" t="n"/>
      <c r="X13" s="208" t="n"/>
      <c r="Y13" s="31" t="n"/>
      <c r="Z13" s="208" t="n"/>
      <c r="AA13" s="208" t="n"/>
      <c r="AB13" s="208" t="n"/>
      <c r="AC13" s="31" t="n"/>
      <c r="AD13" s="208" t="n"/>
      <c r="AE13" s="207" t="n"/>
      <c r="AF13" s="207" t="n"/>
      <c r="AG13">
        <f>SUM(B13:AF13)</f>
        <v/>
      </c>
      <c r="AI13" s="99" t="n"/>
    </row>
    <row r="14">
      <c r="A14" s="1" t="inlineStr">
        <is>
          <t>NHS BIRMINGHAM &amp; Solihull</t>
        </is>
      </c>
      <c r="B14" s="208" t="n"/>
      <c r="C14" s="208" t="n"/>
      <c r="D14" s="208" t="n"/>
      <c r="E14" s="208" t="n"/>
      <c r="F14" s="208" t="n"/>
      <c r="G14" s="208" t="n"/>
      <c r="H14" s="208" t="n"/>
      <c r="I14" s="208" t="n"/>
      <c r="J14" s="208" t="n"/>
      <c r="K14" s="208" t="n"/>
      <c r="L14" s="208" t="n"/>
      <c r="M14" s="31" t="n"/>
      <c r="N14" s="208" t="n"/>
      <c r="O14" s="208" t="n"/>
      <c r="P14" s="31" t="n"/>
      <c r="Q14" s="31" t="n"/>
      <c r="R14" s="208" t="n"/>
      <c r="S14" s="208" t="n"/>
      <c r="T14" s="31" t="n">
        <v>7202.01</v>
      </c>
      <c r="U14" s="208" t="n"/>
      <c r="V14" s="208" t="n"/>
      <c r="W14" s="208" t="n"/>
      <c r="X14" s="208" t="n"/>
      <c r="Y14" s="31" t="n"/>
      <c r="Z14" s="208" t="n"/>
      <c r="AA14" s="208" t="n"/>
      <c r="AB14" s="208" t="n"/>
      <c r="AC14" s="31" t="n"/>
      <c r="AD14" s="208" t="n"/>
      <c r="AE14" s="207" t="n"/>
      <c r="AF14" s="207" t="n"/>
      <c r="AG14">
        <f>SUM(B14:AF14)</f>
        <v/>
      </c>
    </row>
    <row r="15">
      <c r="A15" s="1" t="inlineStr">
        <is>
          <t>NHS BLACK COUNTRY</t>
        </is>
      </c>
      <c r="B15" s="208" t="n"/>
      <c r="C15" s="208" t="n"/>
      <c r="D15" s="208" t="n"/>
      <c r="E15" s="208" t="n"/>
      <c r="F15" s="208" t="n"/>
      <c r="G15" s="208" t="n"/>
      <c r="H15" s="208" t="n"/>
      <c r="I15" s="208" t="n"/>
      <c r="J15" s="208" t="n"/>
      <c r="K15" s="208" t="n"/>
      <c r="L15" s="208" t="n"/>
      <c r="M15" s="31" t="n"/>
      <c r="N15" s="208" t="n"/>
      <c r="O15" s="208" t="n"/>
      <c r="P15" s="31" t="n">
        <v>14733.69</v>
      </c>
      <c r="Q15" s="208" t="n"/>
      <c r="R15" s="208" t="n"/>
      <c r="S15" s="208" t="n"/>
      <c r="T15" s="31" t="n"/>
      <c r="U15" s="208" t="n"/>
      <c r="V15" s="208" t="n"/>
      <c r="W15" s="31" t="n"/>
      <c r="X15" s="208" t="n"/>
      <c r="Y15" s="31" t="n"/>
      <c r="Z15" s="208" t="n"/>
      <c r="AA15" s="208" t="n"/>
      <c r="AB15" s="208" t="n"/>
      <c r="AC15" s="31" t="n"/>
      <c r="AD15" s="208" t="n"/>
      <c r="AE15" s="12" t="n"/>
      <c r="AF15" s="207" t="n"/>
      <c r="AG15">
        <f>SUM(B15:AF15)</f>
        <v/>
      </c>
      <c r="AI15" s="99" t="n"/>
    </row>
    <row r="16">
      <c r="A16" s="1" t="inlineStr">
        <is>
          <t>SANDWELL MBC  BEN</t>
        </is>
      </c>
      <c r="B16" s="208" t="n"/>
      <c r="C16" s="208" t="n"/>
      <c r="D16" s="208" t="n"/>
      <c r="E16" s="208" t="n"/>
      <c r="F16" s="208" t="n"/>
      <c r="G16" s="208" t="n"/>
      <c r="H16" s="208" t="n"/>
      <c r="I16" s="208" t="n"/>
      <c r="J16" s="208" t="n"/>
      <c r="K16" s="208" t="n"/>
      <c r="L16" s="208" t="n"/>
      <c r="M16" s="208" t="n"/>
      <c r="N16" s="208" t="n"/>
      <c r="O16" s="208" t="n"/>
      <c r="P16" s="208" t="n"/>
      <c r="Q16" s="208" t="n"/>
      <c r="R16" s="208" t="n"/>
      <c r="S16" s="31" t="n"/>
      <c r="T16" s="31" t="n"/>
      <c r="U16" s="208" t="n"/>
      <c r="V16" s="208" t="n"/>
      <c r="W16" s="208" t="n"/>
      <c r="X16" s="208" t="n"/>
      <c r="Y16" s="31" t="n"/>
      <c r="Z16" s="208" t="n"/>
      <c r="AA16" s="208" t="n"/>
      <c r="AB16" s="208" t="n"/>
      <c r="AC16" s="31" t="n"/>
      <c r="AD16" s="208" t="n"/>
      <c r="AE16" s="12" t="n"/>
      <c r="AF16" s="207" t="n"/>
      <c r="AG16">
        <f>SUM(B16:AF16)</f>
        <v/>
      </c>
    </row>
    <row r="17">
      <c r="A17" s="1" t="inlineStr">
        <is>
          <t>SANDWELL MBC</t>
        </is>
      </c>
      <c r="B17" s="31" t="n">
        <v>132169.6</v>
      </c>
      <c r="C17" s="208" t="n"/>
      <c r="D17" s="208" t="n"/>
      <c r="E17" s="208" t="n"/>
      <c r="F17" s="208" t="n"/>
      <c r="G17" s="208" t="n"/>
      <c r="H17" s="208" t="n"/>
      <c r="I17" s="208" t="n"/>
      <c r="J17" s="208" t="n"/>
      <c r="K17" s="208" t="n"/>
      <c r="L17" s="208" t="n"/>
      <c r="M17" s="31" t="n">
        <v>135053.6</v>
      </c>
      <c r="N17" s="208" t="n"/>
      <c r="O17" s="208" t="n"/>
      <c r="P17" s="31" t="n"/>
      <c r="Q17" s="208" t="n"/>
      <c r="R17" s="208" t="n"/>
      <c r="S17" s="31" t="n"/>
      <c r="T17" s="31" t="n"/>
      <c r="U17" s="208" t="n"/>
      <c r="V17" s="208" t="n"/>
      <c r="W17" s="208" t="n"/>
      <c r="X17" s="208" t="n"/>
      <c r="Y17" s="31" t="n"/>
      <c r="Z17" s="208" t="n"/>
      <c r="AA17" s="208" t="n"/>
      <c r="AB17" s="208" t="n"/>
      <c r="AC17" s="31" t="n"/>
      <c r="AD17" s="31" t="n">
        <v>132169.6</v>
      </c>
      <c r="AE17" s="207" t="n"/>
      <c r="AF17" s="207" t="n"/>
      <c r="AG17">
        <f>SUM(B17:AF17)</f>
        <v/>
      </c>
      <c r="AI17" s="99" t="n"/>
    </row>
    <row r="18">
      <c r="A18" s="1" t="inlineStr">
        <is>
          <t>SOLIHULL MBC</t>
        </is>
      </c>
      <c r="B18" s="208" t="n"/>
      <c r="C18" s="208" t="n"/>
      <c r="D18" s="208" t="n"/>
      <c r="E18" s="208" t="n"/>
      <c r="F18" s="208" t="n"/>
      <c r="G18" s="208" t="n"/>
      <c r="H18" s="208" t="n"/>
      <c r="I18" s="31" t="n">
        <v>33031.6</v>
      </c>
      <c r="J18" s="208" t="n"/>
      <c r="K18" s="208" t="n"/>
      <c r="L18" s="31" t="n"/>
      <c r="M18" s="208" t="n"/>
      <c r="N18" s="208" t="n"/>
      <c r="O18" s="208" t="n"/>
      <c r="P18" s="208" t="n"/>
      <c r="Q18" s="208" t="n"/>
      <c r="R18" s="208" t="n"/>
      <c r="S18" s="208" t="n"/>
      <c r="T18" s="31" t="n"/>
      <c r="U18" s="208" t="n"/>
      <c r="V18" s="208" t="n"/>
      <c r="W18" s="208" t="n"/>
      <c r="X18" s="208" t="n"/>
      <c r="Y18" s="31" t="n"/>
      <c r="Z18" s="208" t="n"/>
      <c r="AA18" s="208" t="n"/>
      <c r="AB18" s="208" t="n"/>
      <c r="AC18" s="31" t="n"/>
      <c r="AD18" s="208" t="n"/>
      <c r="AE18" s="207" t="n"/>
      <c r="AF18" s="207" t="n"/>
      <c r="AG18">
        <f>SUM(B18:AF18)</f>
        <v/>
      </c>
    </row>
    <row r="19">
      <c r="A19" s="1" t="inlineStr">
        <is>
          <t xml:space="preserve">WALSALL MBC </t>
        </is>
      </c>
      <c r="B19" s="208" t="n"/>
      <c r="C19" s="208" t="n"/>
      <c r="D19" s="208" t="n"/>
      <c r="E19" s="208" t="n"/>
      <c r="F19" s="208" t="n"/>
      <c r="G19" s="208" t="n"/>
      <c r="H19" s="75" t="n"/>
      <c r="I19" s="31" t="n"/>
      <c r="J19" s="208" t="n"/>
      <c r="K19" s="208" t="n"/>
      <c r="L19" s="208" t="n"/>
      <c r="M19" s="208" t="n"/>
      <c r="N19" s="208" t="n"/>
      <c r="O19" s="75" t="n"/>
      <c r="P19" s="208" t="n"/>
      <c r="Q19" s="208" t="n"/>
      <c r="R19" s="208" t="n"/>
      <c r="S19" s="208" t="n"/>
      <c r="T19" s="31" t="n"/>
      <c r="U19" s="208" t="n"/>
      <c r="V19" s="75" t="n"/>
      <c r="W19" s="208" t="n"/>
      <c r="X19" s="75" t="n">
        <v>297993.57</v>
      </c>
      <c r="Y19" s="31" t="n"/>
      <c r="Z19" s="208" t="n"/>
      <c r="AA19" s="31" t="n"/>
      <c r="AB19" s="208" t="n"/>
      <c r="AC19" s="31" t="n"/>
      <c r="AD19" s="75" t="n"/>
      <c r="AE19" s="207" t="n"/>
      <c r="AF19" s="207" t="n"/>
      <c r="AG19">
        <f>SUM(B19:AF19)</f>
        <v/>
      </c>
      <c r="AI19" s="99" t="n"/>
    </row>
    <row r="20">
      <c r="A20" s="1" t="inlineStr">
        <is>
          <t xml:space="preserve">WOLVERHAMPTON </t>
        </is>
      </c>
      <c r="B20" s="208" t="n"/>
      <c r="C20" s="208" t="n"/>
      <c r="D20" s="208" t="n"/>
      <c r="E20" s="75">
        <f>132225.26-E8</f>
        <v/>
      </c>
      <c r="F20" s="208" t="n"/>
      <c r="G20" s="208" t="n"/>
      <c r="H20" s="208" t="n"/>
      <c r="I20" s="208" t="n"/>
      <c r="J20" s="208" t="n"/>
      <c r="K20" s="208" t="n"/>
      <c r="L20" s="75">
        <f>132225.26-L8</f>
        <v/>
      </c>
      <c r="M20" s="208" t="n"/>
      <c r="N20" s="208" t="n"/>
      <c r="O20" s="208" t="n"/>
      <c r="P20" s="208" t="n"/>
      <c r="Q20" s="208" t="n"/>
      <c r="R20" s="208" t="n"/>
      <c r="S20" s="75">
        <f>132225.26-S8</f>
        <v/>
      </c>
      <c r="T20" s="31" t="n"/>
      <c r="U20" s="208" t="n"/>
      <c r="V20" s="208" t="n"/>
      <c r="W20" s="208" t="n"/>
      <c r="X20" s="208" t="n"/>
      <c r="Y20" s="31" t="n"/>
      <c r="Z20" s="75">
        <f>123596.15+2889.6</f>
        <v/>
      </c>
      <c r="AA20" s="208" t="n"/>
      <c r="AB20" s="208" t="n"/>
      <c r="AC20" s="31" t="n"/>
      <c r="AD20" s="208" t="n"/>
      <c r="AE20" s="207" t="n"/>
      <c r="AF20" s="207" t="n"/>
      <c r="AG20">
        <f>SUM(B20:AF20)</f>
        <v/>
      </c>
    </row>
    <row r="21">
      <c r="A21" s="1" t="inlineStr">
        <is>
          <t>People Plus</t>
        </is>
      </c>
      <c r="B21" s="208" t="n"/>
      <c r="C21" s="208" t="n"/>
      <c r="D21" s="208" t="n"/>
      <c r="E21" s="208" t="n"/>
      <c r="F21" s="208" t="n"/>
      <c r="G21" s="208" t="n"/>
      <c r="H21" s="208" t="n"/>
      <c r="I21" s="208" t="n"/>
      <c r="J21" s="208" t="n">
        <v>4978</v>
      </c>
      <c r="K21" s="208" t="n"/>
      <c r="L21" s="208" t="n"/>
      <c r="M21" s="31" t="n">
        <v>6132</v>
      </c>
      <c r="N21" s="208" t="n"/>
      <c r="O21" s="208" t="n"/>
      <c r="P21" s="208" t="n"/>
      <c r="Q21" s="208" t="n"/>
      <c r="R21" s="31" t="n"/>
      <c r="S21" s="208" t="n"/>
      <c r="T21" s="31" t="n"/>
      <c r="U21" s="31" t="n"/>
      <c r="V21" s="208" t="n"/>
      <c r="W21" s="208" t="n"/>
      <c r="X21" s="208" t="n"/>
      <c r="Y21" s="31" t="n"/>
      <c r="Z21" s="208" t="n"/>
      <c r="AA21" s="31" t="n"/>
      <c r="AB21" s="208" t="n"/>
      <c r="AC21" s="31" t="n"/>
      <c r="AD21" s="208" t="n"/>
      <c r="AE21" s="12" t="n"/>
      <c r="AF21" s="207" t="n"/>
      <c r="AG21">
        <f>SUM(B21:AF21)</f>
        <v/>
      </c>
      <c r="AI21" s="99" t="n"/>
    </row>
    <row r="22">
      <c r="A22" s="1" t="inlineStr">
        <is>
          <t>Middlesbrough council</t>
        </is>
      </c>
      <c r="B22" s="208" t="n"/>
      <c r="C22" s="208" t="n"/>
      <c r="D22" s="208" t="n"/>
      <c r="E22" s="208" t="n"/>
      <c r="F22" s="208" t="n">
        <v>6115.4</v>
      </c>
      <c r="G22" s="208" t="n"/>
      <c r="H22" s="208" t="n"/>
      <c r="I22" s="208" t="n"/>
      <c r="J22" s="31" t="n"/>
      <c r="K22" s="208" t="n"/>
      <c r="L22" s="208" t="n"/>
      <c r="M22" s="31" t="n"/>
      <c r="N22" s="208" t="n"/>
      <c r="O22" s="208" t="n"/>
      <c r="P22" s="208" t="n"/>
      <c r="Q22" s="208" t="n"/>
      <c r="R22" s="208" t="n"/>
      <c r="S22" s="208" t="n"/>
      <c r="T22" s="208" t="n"/>
      <c r="U22" s="208" t="n"/>
      <c r="V22" s="208" t="n"/>
      <c r="W22" s="208" t="n"/>
      <c r="X22" s="208" t="n"/>
      <c r="Y22" s="31" t="n"/>
      <c r="Z22" s="208" t="n"/>
      <c r="AA22" s="208" t="n"/>
      <c r="AB22" s="208" t="n"/>
      <c r="AC22" s="31" t="n"/>
      <c r="AD22" s="208" t="n"/>
      <c r="AE22" s="207" t="n"/>
      <c r="AF22" s="207" t="n"/>
      <c r="AG22">
        <f>SUM(B22:AF22)</f>
        <v/>
      </c>
    </row>
    <row r="23">
      <c r="A23" s="1" t="inlineStr">
        <is>
          <t>West  Northamptonshire Council</t>
        </is>
      </c>
      <c r="B23" s="208" t="n"/>
      <c r="C23" s="208" t="n"/>
      <c r="D23" s="208" t="n"/>
      <c r="E23" s="208" t="n"/>
      <c r="F23" s="208" t="n"/>
      <c r="G23" s="208" t="n"/>
      <c r="H23" s="208" t="n"/>
      <c r="I23" s="208" t="n"/>
      <c r="J23" s="208" t="n"/>
      <c r="K23" s="208" t="n"/>
      <c r="L23" s="208" t="n"/>
      <c r="M23" s="208" t="n">
        <v>7280</v>
      </c>
      <c r="N23" s="208" t="n"/>
      <c r="O23" s="208" t="n"/>
      <c r="P23" s="208" t="n"/>
      <c r="Q23" s="208" t="n"/>
      <c r="R23" s="208" t="n"/>
      <c r="S23" s="208" t="n"/>
      <c r="T23" s="208" t="n"/>
      <c r="U23" s="208" t="n"/>
      <c r="V23" s="208" t="n"/>
      <c r="W23" s="208" t="n"/>
      <c r="X23" s="208" t="n"/>
      <c r="Y23" s="31" t="n"/>
      <c r="Z23" s="208" t="n"/>
      <c r="AA23" s="208" t="n"/>
      <c r="AB23" s="208" t="n"/>
      <c r="AC23" s="31" t="n"/>
      <c r="AD23" s="208" t="n"/>
      <c r="AE23" s="207" t="n"/>
      <c r="AF23" s="207" t="n"/>
      <c r="AG23">
        <f>SUM(B23:AF23)</f>
        <v/>
      </c>
      <c r="AI23" s="99" t="n"/>
    </row>
    <row r="24">
      <c r="A24" s="1" t="inlineStr">
        <is>
          <t>CHASING</t>
        </is>
      </c>
      <c r="B24" s="208" t="n"/>
      <c r="C24" s="208" t="n"/>
      <c r="D24" s="208" t="n"/>
      <c r="E24" s="208" t="n"/>
      <c r="F24" s="208" t="n"/>
      <c r="G24" s="208" t="n"/>
      <c r="H24" s="208" t="n"/>
      <c r="I24" s="208" t="n"/>
      <c r="J24" s="208" t="n"/>
      <c r="K24" s="208" t="n"/>
      <c r="L24" s="208" t="n"/>
      <c r="M24" s="208" t="n"/>
      <c r="N24" s="208" t="n"/>
      <c r="O24" s="208" t="n"/>
      <c r="P24" s="208" t="n"/>
      <c r="Q24" s="208" t="n"/>
      <c r="R24" s="208" t="n"/>
      <c r="S24" s="208" t="n"/>
      <c r="T24" s="208">
        <f>7955.1</f>
        <v/>
      </c>
      <c r="U24" s="208" t="n"/>
      <c r="V24" s="208" t="n"/>
      <c r="W24" s="208" t="n"/>
      <c r="X24" s="31" t="n"/>
      <c r="Y24" s="31" t="n"/>
      <c r="Z24" s="31">
        <f>136426.45-132092.05</f>
        <v/>
      </c>
      <c r="AA24" s="31" t="n"/>
      <c r="AB24" s="208" t="n"/>
      <c r="AC24" s="208" t="n"/>
      <c r="AD24" s="208" t="n">
        <v>6241.54</v>
      </c>
      <c r="AE24" s="207" t="n"/>
      <c r="AF24" s="207" t="n"/>
      <c r="AG24">
        <f>SUM(B24:AF24)</f>
        <v/>
      </c>
    </row>
    <row r="25" customFormat="1" s="255">
      <c r="A25" s="1" t="inlineStr">
        <is>
          <t>HB SC</t>
        </is>
      </c>
      <c r="B25" s="208" t="n">
        <v>8158.920000000042</v>
      </c>
      <c r="C25" s="208" t="n">
        <v>3121.14</v>
      </c>
      <c r="D25" s="208" t="n">
        <v>3031.16</v>
      </c>
      <c r="E25" s="208" t="n">
        <v>3287.140000000014</v>
      </c>
      <c r="F25" s="208" t="n">
        <v>6750.630000000001</v>
      </c>
      <c r="G25" s="208" t="n">
        <v>0</v>
      </c>
      <c r="H25" s="208" t="n">
        <v>3287.140000000014</v>
      </c>
      <c r="I25" s="208" t="n">
        <v>15992.67000000001</v>
      </c>
      <c r="J25" s="208" t="n">
        <v>3500</v>
      </c>
      <c r="K25" s="208" t="n">
        <v>7000.48</v>
      </c>
      <c r="L25" s="208" t="n">
        <v>3336.51999999999</v>
      </c>
      <c r="M25" s="208" t="n">
        <v>5668.109999999986</v>
      </c>
      <c r="N25" s="208" t="n">
        <v>214.28</v>
      </c>
      <c r="O25" s="208" t="n">
        <v>0</v>
      </c>
      <c r="P25" s="208" t="n">
        <v>16855.25</v>
      </c>
      <c r="Q25" s="208" t="n">
        <v>4811.01</v>
      </c>
      <c r="R25" s="208" t="n">
        <v>1588.830000000002</v>
      </c>
      <c r="S25" s="208" t="n">
        <v>4699.260000000009</v>
      </c>
      <c r="T25" s="208" t="n">
        <v>6065.380000000006</v>
      </c>
      <c r="U25" s="208" t="n">
        <v>557.25</v>
      </c>
      <c r="V25" s="208" t="n">
        <v>2096.58</v>
      </c>
      <c r="W25" s="208" t="n">
        <v>8057.529999999998</v>
      </c>
      <c r="X25" s="208" t="n">
        <v>26725.2</v>
      </c>
      <c r="Y25" s="208" t="n">
        <v>1705.04</v>
      </c>
      <c r="Z25" s="208" t="n">
        <v>4429.559999999998</v>
      </c>
      <c r="AA25" s="208" t="n">
        <v>6626.359999999999</v>
      </c>
      <c r="AB25" s="208" t="n">
        <v>20</v>
      </c>
      <c r="AC25" s="208" t="n">
        <v>200</v>
      </c>
      <c r="AD25" s="208" t="n">
        <v>7922.189999999906</v>
      </c>
      <c r="AE25" s="207" t="n">
        <v>3500</v>
      </c>
      <c r="AF25" s="207" t="n"/>
      <c r="AG25">
        <f>SUM(B25:AF25)</f>
        <v/>
      </c>
      <c r="AI25" s="99" t="n"/>
    </row>
    <row r="26" ht="15.75" customHeight="1" thickBot="1">
      <c r="A26" s="206" t="inlineStr">
        <is>
          <t>Total</t>
        </is>
      </c>
      <c r="B26">
        <f>SUM(B3:B25)</f>
        <v/>
      </c>
      <c r="C26">
        <f>SUM(C3:C25)</f>
        <v/>
      </c>
      <c r="D26">
        <f>SUM(D3:D25)</f>
        <v/>
      </c>
      <c r="E26">
        <f>SUM(E3:E25)</f>
        <v/>
      </c>
      <c r="F26">
        <f>SUM(F3:F25)</f>
        <v/>
      </c>
      <c r="G26">
        <f>SUM(G3:G25)</f>
        <v/>
      </c>
      <c r="H26">
        <f>SUM(H3:H25)</f>
        <v/>
      </c>
      <c r="I26">
        <f>SUM(I3:I25)</f>
        <v/>
      </c>
      <c r="J26">
        <f>SUM(J3:J25)</f>
        <v/>
      </c>
      <c r="K26">
        <f>SUM(K3:K25)</f>
        <v/>
      </c>
      <c r="L26" s="31">
        <f>SUM(L3:L25)</f>
        <v/>
      </c>
      <c r="M26" s="31">
        <f>SUM(M3:M25)</f>
        <v/>
      </c>
      <c r="N26" s="31">
        <f>SUM(N3:N25)</f>
        <v/>
      </c>
      <c r="O26" s="31">
        <f>SUM(O3:O25)</f>
        <v/>
      </c>
      <c r="P26" s="31">
        <f>SUM(P3:P25)</f>
        <v/>
      </c>
      <c r="Q26" s="31">
        <f>SUM(Q3:Q25)</f>
        <v/>
      </c>
      <c r="R26" s="31">
        <f>SUM(R3:R25)</f>
        <v/>
      </c>
      <c r="S26" s="31">
        <f>SUM(S3:S25)</f>
        <v/>
      </c>
      <c r="T26">
        <f>SUM(T3:T25)</f>
        <v/>
      </c>
      <c r="U26">
        <f>SUM(U3:U25)</f>
        <v/>
      </c>
      <c r="V26">
        <f>SUM(V3:V25)</f>
        <v/>
      </c>
      <c r="W26">
        <f>SUM(W3:W25)</f>
        <v/>
      </c>
      <c r="X26">
        <f>SUM(X3:X25)</f>
        <v/>
      </c>
      <c r="Y26">
        <f>SUM(Y3:Y25)</f>
        <v/>
      </c>
      <c r="Z26">
        <f>SUM(Z3:Z25)</f>
        <v/>
      </c>
      <c r="AA26">
        <f>SUM(AA3:AA25)</f>
        <v/>
      </c>
      <c r="AB26">
        <f>SUM(AB3:AB25)</f>
        <v/>
      </c>
      <c r="AC26">
        <f>SUM(AC3:AC25)</f>
        <v/>
      </c>
      <c r="AD26">
        <f>SUM(AD3:AD25)</f>
        <v/>
      </c>
      <c r="AE26">
        <f>SUM(AE3:AE25)</f>
        <v/>
      </c>
      <c r="AF26">
        <f>SUM(AF3:AF25)</f>
        <v/>
      </c>
      <c r="AG26" s="29">
        <f>SUM(AG3:AG25)</f>
        <v/>
      </c>
    </row>
    <row r="27" ht="15.75" customHeight="1" thickTop="1">
      <c r="S27" s="31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L38"/>
  <sheetViews>
    <sheetView zoomScale="70" zoomScaleNormal="70" workbookViewId="0">
      <pane xSplit="1" topLeftCell="G1" activePane="topRight" state="frozen"/>
      <selection activeCell="I36" sqref="I36"/>
      <selection pane="topRight" activeCell="AG26" sqref="AG26"/>
    </sheetView>
  </sheetViews>
  <sheetFormatPr baseColWidth="8" defaultRowHeight="15"/>
  <cols>
    <col width="30.140625" bestFit="1" customWidth="1" min="1" max="1"/>
    <col width="13" bestFit="1" customWidth="1" min="2" max="2"/>
    <col width="13.42578125" bestFit="1" customWidth="1" min="3" max="3"/>
    <col width="14.140625" bestFit="1" customWidth="1" min="4" max="4"/>
    <col width="13.42578125" bestFit="1" customWidth="1" min="5" max="5"/>
    <col width="13.28515625" bestFit="1" customWidth="1" min="6" max="6"/>
    <col width="13.42578125" bestFit="1" customWidth="1" min="7" max="7"/>
    <col width="13.28515625" bestFit="1" customWidth="1" min="8" max="8"/>
    <col width="13.42578125" bestFit="1" customWidth="1" min="9" max="10"/>
    <col width="14.140625" bestFit="1" customWidth="1" min="11" max="11"/>
    <col width="12.5703125" bestFit="1" customWidth="1" min="12" max="12"/>
    <col width="13" bestFit="1" customWidth="1" min="13" max="17"/>
    <col width="14.140625" bestFit="1" customWidth="1" min="18" max="18"/>
    <col width="13" bestFit="1" customWidth="1" min="19" max="20"/>
    <col width="13.42578125" bestFit="1" customWidth="1" min="21" max="21"/>
    <col width="13" bestFit="1" customWidth="1" min="22" max="22"/>
    <col width="13.42578125" bestFit="1" customWidth="1" min="23" max="24"/>
    <col width="14.140625" bestFit="1" customWidth="1" min="25" max="25"/>
    <col width="13.28515625" bestFit="1" customWidth="1" min="26" max="26"/>
    <col width="13.42578125" bestFit="1" customWidth="1" min="27" max="27"/>
    <col width="13.28515625" bestFit="1" customWidth="1" min="28" max="28"/>
    <col width="13.42578125" bestFit="1" customWidth="1" min="29" max="31"/>
    <col width="12.85546875" bestFit="1" customWidth="1" min="32" max="32"/>
    <col width="12.28515625" bestFit="1" customWidth="1" min="33" max="33"/>
  </cols>
  <sheetData>
    <row r="1">
      <c r="A1" s="1" t="n"/>
      <c r="B1" s="171" t="inlineStr">
        <is>
          <t>Wednesday</t>
        </is>
      </c>
      <c r="C1" s="171" t="inlineStr">
        <is>
          <t>Thursday</t>
        </is>
      </c>
      <c r="D1" s="171" t="inlineStr">
        <is>
          <t>Friday</t>
        </is>
      </c>
      <c r="E1" s="171" t="inlineStr">
        <is>
          <t>Saturday</t>
        </is>
      </c>
      <c r="F1" s="171" t="inlineStr">
        <is>
          <t>Sunday</t>
        </is>
      </c>
      <c r="G1" s="171" t="inlineStr">
        <is>
          <t>Monday</t>
        </is>
      </c>
      <c r="H1" s="171" t="inlineStr">
        <is>
          <t>Tuesday</t>
        </is>
      </c>
      <c r="I1" s="171" t="inlineStr">
        <is>
          <t>Wednesday</t>
        </is>
      </c>
      <c r="J1" s="171" t="inlineStr">
        <is>
          <t>Thursday</t>
        </is>
      </c>
      <c r="K1" s="171" t="inlineStr">
        <is>
          <t>Friday</t>
        </is>
      </c>
      <c r="L1" s="171" t="inlineStr">
        <is>
          <t>Saturday</t>
        </is>
      </c>
      <c r="M1" s="171" t="inlineStr">
        <is>
          <t>Sunday</t>
        </is>
      </c>
      <c r="N1" s="171" t="inlineStr">
        <is>
          <t>Monday</t>
        </is>
      </c>
      <c r="O1" s="171" t="inlineStr">
        <is>
          <t>Tuesday</t>
        </is>
      </c>
      <c r="P1" s="171" t="inlineStr">
        <is>
          <t>Wednesday</t>
        </is>
      </c>
      <c r="Q1" s="171" t="inlineStr">
        <is>
          <t>Thursday</t>
        </is>
      </c>
      <c r="R1" s="171" t="inlineStr">
        <is>
          <t>Friday</t>
        </is>
      </c>
      <c r="S1" s="171" t="inlineStr">
        <is>
          <t>Saturday</t>
        </is>
      </c>
      <c r="T1" s="171" t="inlineStr">
        <is>
          <t>Sunday</t>
        </is>
      </c>
      <c r="U1" s="171" t="inlineStr">
        <is>
          <t>Monday</t>
        </is>
      </c>
      <c r="V1" s="171" t="inlineStr">
        <is>
          <t>Tuesday</t>
        </is>
      </c>
      <c r="W1" s="171" t="inlineStr">
        <is>
          <t>Wednesday</t>
        </is>
      </c>
      <c r="X1" s="171" t="inlineStr">
        <is>
          <t>Thursday</t>
        </is>
      </c>
      <c r="Y1" s="171" t="inlineStr">
        <is>
          <t>Friday</t>
        </is>
      </c>
      <c r="Z1" s="171" t="inlineStr">
        <is>
          <t>Saturday</t>
        </is>
      </c>
      <c r="AA1" s="171" t="inlineStr">
        <is>
          <t>Sunday</t>
        </is>
      </c>
      <c r="AB1" s="171" t="inlineStr">
        <is>
          <t>Monday</t>
        </is>
      </c>
      <c r="AC1" s="171" t="inlineStr">
        <is>
          <t>Tuesday</t>
        </is>
      </c>
      <c r="AD1" s="171" t="inlineStr">
        <is>
          <t>Wednesday</t>
        </is>
      </c>
      <c r="AE1" s="171" t="inlineStr">
        <is>
          <t>Thursday</t>
        </is>
      </c>
      <c r="AF1" s="171" t="inlineStr">
        <is>
          <t>Friday</t>
        </is>
      </c>
      <c r="AG1" s="171" t="inlineStr">
        <is>
          <t>Total</t>
        </is>
      </c>
      <c r="AI1" s="99" t="n"/>
      <c r="AL1" s="99" t="n"/>
    </row>
    <row r="2" ht="15.75" customHeight="1" thickBot="1">
      <c r="A2" s="1" t="n"/>
      <c r="B2" s="183" t="n">
        <v>45931</v>
      </c>
      <c r="C2" s="183" t="n">
        <v>45932</v>
      </c>
      <c r="D2" s="183" t="n">
        <v>45933</v>
      </c>
      <c r="E2" s="183" t="n">
        <v>45934</v>
      </c>
      <c r="F2" s="183" t="n">
        <v>45935</v>
      </c>
      <c r="G2" s="175" t="n">
        <v>45936</v>
      </c>
      <c r="H2" s="175" t="n">
        <v>45937</v>
      </c>
      <c r="I2" s="175" t="n">
        <v>45938</v>
      </c>
      <c r="J2" s="175" t="n">
        <v>45939</v>
      </c>
      <c r="K2" s="175" t="n">
        <v>45940</v>
      </c>
      <c r="L2" s="175" t="n">
        <v>45941</v>
      </c>
      <c r="M2" s="175" t="n">
        <v>45942</v>
      </c>
      <c r="N2" s="174" t="n">
        <v>45943</v>
      </c>
      <c r="O2" s="174" t="n">
        <v>45944</v>
      </c>
      <c r="P2" s="174" t="n">
        <v>45945</v>
      </c>
      <c r="Q2" s="174" t="n">
        <v>45946</v>
      </c>
      <c r="R2" s="174" t="n">
        <v>45947</v>
      </c>
      <c r="S2" s="174" t="n">
        <v>45948</v>
      </c>
      <c r="T2" s="174" t="n">
        <v>45949</v>
      </c>
      <c r="U2" s="173" t="n">
        <v>45950</v>
      </c>
      <c r="V2" s="173" t="n">
        <v>45951</v>
      </c>
      <c r="W2" s="173" t="n">
        <v>45952</v>
      </c>
      <c r="X2" s="173" t="n">
        <v>45953</v>
      </c>
      <c r="Y2" s="173" t="n">
        <v>45954</v>
      </c>
      <c r="Z2" s="173" t="n">
        <v>45955</v>
      </c>
      <c r="AA2" s="173" t="n">
        <v>45956</v>
      </c>
      <c r="AB2" s="176" t="n">
        <v>45957</v>
      </c>
      <c r="AC2" s="176" t="n">
        <v>45958</v>
      </c>
      <c r="AD2" s="176" t="n">
        <v>45959</v>
      </c>
      <c r="AE2" s="176" t="n">
        <v>45960</v>
      </c>
      <c r="AF2" s="176" t="n">
        <v>45961</v>
      </c>
      <c r="AG2" s="172" t="n"/>
      <c r="AL2" s="99" t="n"/>
    </row>
    <row r="3">
      <c r="A3" s="1" t="inlineStr">
        <is>
          <t>B-HAM CITY COUNCIL</t>
        </is>
      </c>
      <c r="B3" s="208" t="n"/>
      <c r="C3" s="208" t="n"/>
      <c r="D3" s="208" t="n"/>
      <c r="E3" s="208" t="n"/>
      <c r="F3" s="208" t="n"/>
      <c r="G3" s="208" t="n"/>
      <c r="H3" s="208" t="n"/>
      <c r="I3" s="208" t="n">
        <v>59419.08</v>
      </c>
      <c r="J3" s="208" t="n"/>
      <c r="K3" s="31" t="n"/>
      <c r="L3" s="208" t="n"/>
      <c r="M3" s="208" t="n"/>
      <c r="N3" s="208" t="n"/>
      <c r="O3" s="208" t="n"/>
      <c r="P3" s="208" t="n"/>
      <c r="Q3" s="208" t="n">
        <v>6083.28</v>
      </c>
      <c r="R3" s="208" t="n"/>
      <c r="S3" s="31" t="n"/>
      <c r="T3" s="208" t="n"/>
      <c r="U3" s="208" t="n"/>
      <c r="V3" s="208" t="n"/>
      <c r="W3" t="n">
        <v>6083.28</v>
      </c>
      <c r="X3" s="207" t="n"/>
      <c r="Y3" s="207" t="n"/>
      <c r="Z3" s="207" t="n"/>
      <c r="AA3" s="207" t="n"/>
      <c r="AB3" s="207" t="n"/>
      <c r="AC3" s="207" t="n"/>
      <c r="AD3" s="207" t="n"/>
      <c r="AE3" s="207" t="n"/>
      <c r="AF3" s="207" t="n"/>
      <c r="AG3">
        <f>SUM(B3:AF3)</f>
        <v/>
      </c>
      <c r="AL3" s="99" t="n"/>
    </row>
    <row r="4">
      <c r="A4" s="1" t="inlineStr">
        <is>
          <t>Buckingham</t>
        </is>
      </c>
      <c r="B4" s="31" t="n"/>
      <c r="C4" s="31" t="n"/>
      <c r="D4" s="208" t="n"/>
      <c r="E4" s="208" t="n"/>
      <c r="F4" s="208" t="n"/>
      <c r="G4" s="31" t="n"/>
      <c r="H4" s="208" t="n"/>
      <c r="I4" s="31" t="n"/>
      <c r="J4" s="208" t="n"/>
      <c r="K4" s="31" t="n"/>
      <c r="L4" s="31" t="n"/>
      <c r="M4" s="208" t="n"/>
      <c r="N4" s="31" t="n"/>
      <c r="O4" s="31" t="n"/>
      <c r="P4" s="208" t="n"/>
      <c r="Q4" s="208" t="n"/>
      <c r="R4" s="208" t="n"/>
      <c r="S4" s="208" t="n"/>
      <c r="T4" s="208" t="n"/>
      <c r="U4" s="31" t="n"/>
      <c r="V4" s="31" t="n">
        <v>5390.52</v>
      </c>
      <c r="W4" s="207" t="n"/>
      <c r="X4" s="207" t="n"/>
      <c r="Y4" s="207" t="n"/>
      <c r="Z4" s="207" t="n"/>
      <c r="AA4" s="207" t="n"/>
      <c r="AB4" s="207" t="n"/>
      <c r="AC4" s="207" t="n"/>
      <c r="AD4" s="207" t="n"/>
      <c r="AE4" s="207" t="n"/>
      <c r="AF4" s="207" t="n"/>
      <c r="AG4">
        <f>SUM(B4:AF4)</f>
        <v/>
      </c>
      <c r="AL4" s="99" t="n"/>
    </row>
    <row r="5">
      <c r="A5" s="1" t="inlineStr">
        <is>
          <t>Sandwell Respite</t>
        </is>
      </c>
      <c r="B5" s="208" t="n"/>
      <c r="C5" s="208" t="n"/>
      <c r="D5" s="208" t="n"/>
      <c r="E5" s="208" t="n"/>
      <c r="F5" s="208" t="n"/>
      <c r="G5" s="31" t="n"/>
      <c r="H5" s="208" t="n"/>
      <c r="I5" s="208" t="n"/>
      <c r="J5" s="208" t="n"/>
      <c r="K5" s="31" t="n"/>
      <c r="L5" s="208" t="n"/>
      <c r="M5" s="208" t="n"/>
      <c r="N5" s="208" t="n"/>
      <c r="O5" s="31" t="n"/>
      <c r="P5" s="31" t="n"/>
      <c r="Q5" s="208" t="n"/>
      <c r="R5" s="208" t="n"/>
      <c r="S5" s="208" t="n"/>
      <c r="T5" s="208" t="n"/>
      <c r="U5" s="31" t="n">
        <v>12991.1</v>
      </c>
      <c r="V5" s="208" t="n"/>
      <c r="W5" s="207" t="n"/>
      <c r="X5" s="207" t="n"/>
      <c r="Y5" s="207" t="n"/>
      <c r="Z5" s="207" t="n"/>
      <c r="AA5" s="12" t="n"/>
      <c r="AB5" s="207" t="n"/>
      <c r="AC5" s="207" t="n"/>
      <c r="AD5" s="207" t="n"/>
      <c r="AE5" s="207" t="n"/>
      <c r="AF5" s="207" t="n"/>
      <c r="AG5">
        <f>SUM(B5:AF5)</f>
        <v/>
      </c>
      <c r="AI5" s="99" t="n"/>
      <c r="AL5" s="99" t="n"/>
    </row>
    <row r="6">
      <c r="A6" s="1" t="inlineStr">
        <is>
          <t>Sandwell Daycare</t>
        </is>
      </c>
      <c r="B6" s="208" t="n"/>
      <c r="C6" s="31" t="n"/>
      <c r="D6" s="208" t="n"/>
      <c r="E6" s="208" t="n"/>
      <c r="F6" s="208" t="n"/>
      <c r="G6" s="31" t="n"/>
      <c r="H6" s="208" t="n"/>
      <c r="I6" s="208" t="n"/>
      <c r="J6" s="208" t="n"/>
      <c r="K6" s="31" t="n"/>
      <c r="L6" s="208" t="n"/>
      <c r="M6" s="208" t="n"/>
      <c r="N6" s="208" t="n"/>
      <c r="O6" s="208" t="n"/>
      <c r="P6" s="208" t="n"/>
      <c r="Q6" s="208" t="n"/>
      <c r="R6" s="208" t="n"/>
      <c r="S6" s="208" t="n"/>
      <c r="T6" s="208" t="n"/>
      <c r="U6" s="208" t="n"/>
      <c r="V6" s="208" t="n"/>
      <c r="W6" s="207" t="n"/>
      <c r="X6" s="207" t="n"/>
      <c r="Y6" s="207" t="n"/>
      <c r="Z6" s="207" t="n"/>
      <c r="AA6" s="207" t="n"/>
      <c r="AB6" s="207" t="n"/>
      <c r="AC6" s="207" t="n"/>
      <c r="AD6" s="207" t="n"/>
      <c r="AE6" s="207" t="n"/>
      <c r="AF6" s="207" t="n"/>
      <c r="AG6">
        <f>SUM(B6:AF6)</f>
        <v/>
      </c>
      <c r="AL6" s="99" t="n"/>
    </row>
    <row r="7">
      <c r="A7" s="1" t="inlineStr">
        <is>
          <t>Wolverhampton Respite</t>
        </is>
      </c>
      <c r="B7" s="208" t="n"/>
      <c r="C7" s="208" t="n"/>
      <c r="D7" s="208" t="n"/>
      <c r="E7" s="208" t="n"/>
      <c r="F7" s="208" t="n"/>
      <c r="G7" s="31" t="n"/>
      <c r="H7" s="208" t="n"/>
      <c r="I7" s="208" t="n"/>
      <c r="J7" s="208" t="n"/>
      <c r="K7" s="31" t="n"/>
      <c r="L7" s="208" t="n"/>
      <c r="M7" s="208" t="n"/>
      <c r="N7" s="208" t="n"/>
      <c r="O7" s="208" t="n"/>
      <c r="P7" s="208" t="n"/>
      <c r="Q7" s="208" t="n"/>
      <c r="R7" s="208" t="n"/>
      <c r="S7" s="208" t="n"/>
      <c r="T7" s="208" t="n"/>
      <c r="U7" s="208" t="n"/>
      <c r="V7" s="208" t="n"/>
      <c r="W7" s="207" t="n"/>
      <c r="X7" s="207" t="n"/>
      <c r="Y7" s="207" t="n"/>
      <c r="Z7" s="207" t="n"/>
      <c r="AA7" s="207" t="n"/>
      <c r="AB7" s="207" t="n"/>
      <c r="AC7" s="207" t="n"/>
      <c r="AD7" s="207" t="n"/>
      <c r="AE7" s="207" t="n"/>
      <c r="AF7" s="207" t="n"/>
      <c r="AG7">
        <f>SUM(B7:AF7)</f>
        <v/>
      </c>
      <c r="AI7" s="99" t="n"/>
    </row>
    <row r="8">
      <c r="A8" s="1" t="inlineStr">
        <is>
          <t>Wolverhampton Daycare</t>
        </is>
      </c>
      <c r="B8" s="208" t="n"/>
      <c r="C8" s="208" t="n">
        <v>5606.3</v>
      </c>
      <c r="D8" s="208" t="n"/>
      <c r="E8" s="208" t="n"/>
      <c r="F8" s="208" t="n"/>
      <c r="G8" s="31" t="n"/>
      <c r="H8" s="208" t="n"/>
      <c r="I8" s="208" t="n"/>
      <c r="J8" s="208" t="n">
        <v>5606.3</v>
      </c>
      <c r="K8" s="31" t="n"/>
      <c r="L8" s="208" t="n"/>
      <c r="M8" s="208" t="n"/>
      <c r="N8" s="208" t="n"/>
      <c r="O8" s="208" t="n"/>
      <c r="P8" s="208" t="n"/>
      <c r="Q8" s="208" t="n">
        <v>5606.3</v>
      </c>
      <c r="R8" s="208" t="n"/>
      <c r="S8" s="208" t="n"/>
      <c r="T8" s="208" t="n"/>
      <c r="U8" s="208" t="n"/>
      <c r="V8" s="208" t="n"/>
      <c r="W8" s="207" t="n"/>
      <c r="X8" s="208" t="n">
        <v>5606.3</v>
      </c>
      <c r="Y8" s="207" t="n"/>
      <c r="Z8" s="207" t="n"/>
      <c r="AA8" s="207" t="n"/>
      <c r="AB8" s="207" t="n"/>
      <c r="AC8" s="207" t="n"/>
      <c r="AD8" s="207" t="n"/>
      <c r="AE8" s="207" t="n"/>
      <c r="AF8" s="207" t="n"/>
      <c r="AG8">
        <f>SUM(B8:AF8)</f>
        <v/>
      </c>
    </row>
    <row r="9">
      <c r="A9" s="1" t="inlineStr">
        <is>
          <t>Walsall Respite</t>
        </is>
      </c>
      <c r="B9" s="208" t="n"/>
      <c r="C9" s="208" t="n"/>
      <c r="D9" s="208" t="n"/>
      <c r="E9" s="208" t="n"/>
      <c r="F9" s="208" t="n"/>
      <c r="G9" s="31" t="n"/>
      <c r="H9" s="208" t="n"/>
      <c r="I9" s="208" t="n"/>
      <c r="J9" s="208" t="n"/>
      <c r="K9" s="31" t="n"/>
      <c r="L9" s="208" t="n"/>
      <c r="M9" s="208" t="n"/>
      <c r="N9" s="208" t="n"/>
      <c r="O9" s="208" t="n"/>
      <c r="P9" s="208" t="n"/>
      <c r="Q9" s="208" t="n"/>
      <c r="R9" s="208" t="n"/>
      <c r="S9" s="208" t="n"/>
      <c r="T9" s="208" t="n"/>
      <c r="U9" s="208" t="n"/>
      <c r="V9" s="208" t="n">
        <v>24665.28000000003</v>
      </c>
      <c r="W9" s="207" t="n"/>
      <c r="X9" s="207" t="n"/>
      <c r="Y9" s="207" t="n"/>
      <c r="Z9" s="207" t="n"/>
      <c r="AA9" s="207" t="n"/>
      <c r="AB9" s="207" t="n"/>
      <c r="AC9" s="207" t="n"/>
      <c r="AD9" s="207" t="n"/>
      <c r="AE9" s="207" t="n"/>
      <c r="AF9" s="207" t="n"/>
      <c r="AG9">
        <f>SUM(B9:AF9)</f>
        <v/>
      </c>
      <c r="AI9" s="99" t="n"/>
    </row>
    <row r="10">
      <c r="A10" s="1" t="inlineStr">
        <is>
          <t>Walsall Daycare</t>
        </is>
      </c>
      <c r="B10" s="208" t="n"/>
      <c r="C10" s="208" t="n"/>
      <c r="D10" s="208" t="n"/>
      <c r="E10" s="208" t="n"/>
      <c r="F10" s="208" t="n"/>
      <c r="G10" s="31" t="n"/>
      <c r="H10" s="208" t="n"/>
      <c r="I10" s="208" t="n"/>
      <c r="J10" s="208" t="n"/>
      <c r="K10" s="31" t="n"/>
      <c r="L10" s="208" t="n"/>
      <c r="M10" s="208" t="n"/>
      <c r="N10" s="208" t="n"/>
      <c r="O10" s="208" t="n"/>
      <c r="P10" s="208" t="n"/>
      <c r="Q10" s="208" t="n"/>
      <c r="R10" s="208" t="n"/>
      <c r="S10" s="208" t="n"/>
      <c r="T10" s="208" t="n"/>
      <c r="U10" s="208" t="n"/>
      <c r="V10" s="208" t="n"/>
      <c r="W10" s="207" t="n"/>
      <c r="X10" s="207" t="n"/>
      <c r="Y10" s="207" t="n"/>
      <c r="Z10" s="207" t="n"/>
      <c r="AA10" s="207" t="n"/>
      <c r="AB10" s="207" t="n"/>
      <c r="AC10" s="207" t="n"/>
      <c r="AD10" s="207" t="n"/>
      <c r="AE10" s="207" t="n"/>
      <c r="AF10" s="207" t="n"/>
      <c r="AG10">
        <f>SUM(B10:AF10)</f>
        <v/>
      </c>
    </row>
    <row r="11">
      <c r="A11" s="1" t="inlineStr">
        <is>
          <t>Ideal for All Ltd</t>
        </is>
      </c>
      <c r="B11" s="208" t="n"/>
      <c r="C11" s="208" t="n"/>
      <c r="D11" s="208" t="n"/>
      <c r="E11" s="208" t="n"/>
      <c r="F11" s="208" t="n"/>
      <c r="G11" s="31" t="n"/>
      <c r="H11" s="208" t="n"/>
      <c r="I11" s="208" t="n"/>
      <c r="J11" s="208" t="n"/>
      <c r="K11" s="31" t="n">
        <v>4002.18</v>
      </c>
      <c r="L11" s="208" t="n"/>
      <c r="M11" s="208" t="n"/>
      <c r="N11" s="208" t="n"/>
      <c r="O11" s="208" t="n"/>
      <c r="P11" s="31" t="n"/>
      <c r="Q11" s="208" t="n"/>
      <c r="R11" s="208" t="n"/>
      <c r="S11" s="208" t="n"/>
      <c r="T11" s="208" t="n"/>
      <c r="U11" s="31" t="n"/>
      <c r="V11" s="208" t="n"/>
      <c r="W11" s="207" t="n"/>
      <c r="X11" s="207" t="n"/>
      <c r="Y11" s="207" t="n"/>
      <c r="Z11" s="207" t="n"/>
      <c r="AA11" s="207" t="n"/>
      <c r="AB11" s="207" t="n"/>
      <c r="AC11" s="12" t="n"/>
      <c r="AD11" s="207" t="n"/>
      <c r="AE11" s="207" t="n"/>
      <c r="AF11" s="207" t="n"/>
      <c r="AG11">
        <f>SUM(B11:AF11)</f>
        <v/>
      </c>
      <c r="AI11" s="99" t="n"/>
    </row>
    <row r="12">
      <c r="A12" s="1" t="inlineStr">
        <is>
          <t>KIRKLEES COUNCIL</t>
        </is>
      </c>
      <c r="B12" s="208" t="n"/>
      <c r="C12" s="208" t="n"/>
      <c r="D12" s="208" t="n"/>
      <c r="E12" s="208" t="n"/>
      <c r="F12" s="208" t="n"/>
      <c r="G12" s="31" t="n"/>
      <c r="H12" s="31" t="n"/>
      <c r="I12" s="208" t="n"/>
      <c r="J12" s="208" t="n"/>
      <c r="K12" s="31" t="n"/>
      <c r="L12" s="208" t="n"/>
      <c r="M12" s="208" t="n"/>
      <c r="N12" s="208" t="n"/>
      <c r="O12" s="208" t="n"/>
      <c r="P12" s="208" t="n"/>
      <c r="Q12" s="208" t="n"/>
      <c r="R12" s="208" t="n"/>
      <c r="S12" s="208" t="n"/>
      <c r="T12" s="208" t="n"/>
      <c r="U12" s="208" t="n"/>
      <c r="V12" s="208" t="n"/>
      <c r="W12" s="207" t="n"/>
      <c r="X12" s="207" t="n"/>
      <c r="Y12" s="207" t="n"/>
      <c r="Z12" s="207" t="n"/>
      <c r="AA12" s="207" t="n"/>
      <c r="AB12" s="207" t="n"/>
      <c r="AC12" s="12" t="n"/>
      <c r="AD12" s="207" t="n"/>
      <c r="AE12" s="207" t="n"/>
      <c r="AF12" s="207" t="n"/>
      <c r="AG12">
        <f>SUM(B12:AF12)</f>
        <v/>
      </c>
    </row>
    <row r="13">
      <c r="A13" s="1" t="inlineStr">
        <is>
          <t xml:space="preserve">LBH PAYMENTS </t>
        </is>
      </c>
      <c r="B13" s="208" t="n"/>
      <c r="C13" s="31" t="n"/>
      <c r="D13" s="208" t="n"/>
      <c r="E13" s="208" t="n"/>
      <c r="F13" s="208" t="n"/>
      <c r="G13" s="31" t="n"/>
      <c r="H13" s="208" t="n"/>
      <c r="I13" s="31" t="n">
        <v>5203.8</v>
      </c>
      <c r="J13" s="208" t="n"/>
      <c r="K13" s="31" t="n"/>
      <c r="L13" s="208" t="n"/>
      <c r="M13" s="208" t="n"/>
      <c r="N13" s="208" t="n"/>
      <c r="O13" s="208" t="n"/>
      <c r="P13" s="208" t="n"/>
      <c r="Q13" s="208" t="n"/>
      <c r="R13" s="208" t="n"/>
      <c r="S13" s="208" t="n"/>
      <c r="T13" s="208" t="n"/>
      <c r="U13" s="208" t="n"/>
      <c r="V13" s="208" t="n"/>
      <c r="W13" s="207" t="n"/>
      <c r="X13" s="207" t="n"/>
      <c r="Y13" s="207" t="n"/>
      <c r="Z13" s="207" t="n"/>
      <c r="AA13" s="207" t="n"/>
      <c r="AB13" s="207" t="n"/>
      <c r="AC13" s="12" t="n"/>
      <c r="AD13" s="207" t="n"/>
      <c r="AE13" s="207" t="n"/>
      <c r="AF13" s="207" t="n"/>
      <c r="AG13">
        <f>SUM(B13:AF13)</f>
        <v/>
      </c>
      <c r="AI13" s="99" t="n"/>
    </row>
    <row r="14">
      <c r="A14" s="1" t="inlineStr">
        <is>
          <t>NHS BIRMINGHAM &amp; Solihull</t>
        </is>
      </c>
      <c r="B14" s="208" t="n"/>
      <c r="C14" s="208" t="n"/>
      <c r="D14" s="208" t="n"/>
      <c r="E14" s="208" t="n"/>
      <c r="F14" s="208" t="n"/>
      <c r="G14" s="208" t="n"/>
      <c r="H14" s="208" t="n"/>
      <c r="I14" s="208" t="n"/>
      <c r="J14" s="208" t="n"/>
      <c r="K14" s="31" t="n"/>
      <c r="L14" s="208" t="n"/>
      <c r="M14" s="208" t="n"/>
      <c r="N14" s="31" t="n"/>
      <c r="O14" s="31" t="n"/>
      <c r="P14" s="208" t="n"/>
      <c r="Q14" s="208" t="n"/>
      <c r="R14" s="31" t="n"/>
      <c r="S14" s="208" t="n"/>
      <c r="T14" s="208" t="n"/>
      <c r="U14" s="31" t="n">
        <v>7202.01</v>
      </c>
      <c r="V14" s="208" t="n"/>
      <c r="W14" s="12" t="n"/>
      <c r="X14" s="207" t="n"/>
      <c r="Y14" s="207" t="n"/>
      <c r="Z14" s="207" t="n"/>
      <c r="AA14" s="12" t="n"/>
      <c r="AB14" s="207" t="n"/>
      <c r="AC14" s="12" t="n"/>
      <c r="AD14" s="207" t="n"/>
      <c r="AE14" s="207" t="n"/>
      <c r="AF14" s="207" t="n"/>
      <c r="AG14">
        <f>SUM(B14:AF14)</f>
        <v/>
      </c>
    </row>
    <row r="15">
      <c r="A15" s="1" t="inlineStr">
        <is>
          <t>NHS BLACK COUNTRY</t>
        </is>
      </c>
      <c r="B15" s="208" t="n"/>
      <c r="C15" s="208" t="n"/>
      <c r="D15" s="208" t="n"/>
      <c r="E15" s="208" t="n"/>
      <c r="F15" s="208" t="n"/>
      <c r="G15" s="208" t="n"/>
      <c r="H15" s="208" t="n"/>
      <c r="I15" s="208" t="n"/>
      <c r="J15" s="208" t="n"/>
      <c r="K15" s="31" t="n"/>
      <c r="L15" s="208" t="n"/>
      <c r="M15" s="208" t="n"/>
      <c r="N15" s="31" t="n"/>
      <c r="O15" s="31" t="n"/>
      <c r="P15" s="31" t="n">
        <v>15224.81</v>
      </c>
      <c r="Q15" s="31" t="n"/>
      <c r="R15" s="31" t="n"/>
      <c r="S15" s="208" t="n"/>
      <c r="T15" s="208" t="n"/>
      <c r="U15" s="31" t="n"/>
      <c r="V15" s="208" t="n"/>
      <c r="W15" s="12" t="n"/>
      <c r="X15" s="207" t="n"/>
      <c r="Y15" s="207" t="n"/>
      <c r="Z15" s="207" t="n"/>
      <c r="AA15" s="12" t="n"/>
      <c r="AB15" s="207" t="n"/>
      <c r="AC15" s="12" t="n"/>
      <c r="AD15" s="207" t="n"/>
      <c r="AE15" s="207" t="n"/>
      <c r="AF15" s="207" t="n"/>
      <c r="AG15">
        <f>SUM(B15:AF15)</f>
        <v/>
      </c>
      <c r="AI15" s="99" t="n"/>
    </row>
    <row r="16">
      <c r="A16" s="1" t="inlineStr">
        <is>
          <t>SANDWELL MBC  BEN</t>
        </is>
      </c>
      <c r="B16" s="208" t="n"/>
      <c r="C16" s="208" t="n"/>
      <c r="D16" s="208" t="n"/>
      <c r="E16" s="208" t="n"/>
      <c r="F16" s="208" t="n"/>
      <c r="G16" s="208" t="n"/>
      <c r="H16" s="208" t="n"/>
      <c r="I16" s="208" t="n"/>
      <c r="J16" s="208" t="n"/>
      <c r="K16" s="31" t="n"/>
      <c r="L16" s="208" t="n"/>
      <c r="M16" s="208" t="n"/>
      <c r="N16" s="208" t="n"/>
      <c r="O16" s="31" t="n"/>
      <c r="P16" s="208" t="n"/>
      <c r="Q16" s="31" t="n"/>
      <c r="R16" s="31" t="n"/>
      <c r="S16" s="208" t="n"/>
      <c r="T16" s="208" t="n"/>
      <c r="U16" s="208" t="n"/>
      <c r="V16" s="208" t="n"/>
      <c r="W16" s="12" t="n"/>
      <c r="X16" s="207" t="n"/>
      <c r="Y16" s="207" t="n"/>
      <c r="Z16" s="207" t="n"/>
      <c r="AA16" s="12" t="n"/>
      <c r="AB16" s="207" t="n"/>
      <c r="AC16" s="12" t="n"/>
      <c r="AD16" s="207" t="n"/>
      <c r="AE16" s="207" t="n"/>
      <c r="AF16" s="207" t="n"/>
      <c r="AG16">
        <f>SUM(B16:AF16)</f>
        <v/>
      </c>
    </row>
    <row r="17">
      <c r="A17" s="1" t="inlineStr">
        <is>
          <t>SANDWELL MBC</t>
        </is>
      </c>
      <c r="B17" s="31" t="n"/>
      <c r="C17" s="208" t="n"/>
      <c r="D17" s="208" t="n"/>
      <c r="E17" s="208" t="n"/>
      <c r="F17" s="208" t="n"/>
      <c r="G17" s="208" t="n"/>
      <c r="H17" s="208" t="n"/>
      <c r="I17" s="208" t="n"/>
      <c r="J17" s="208" t="n"/>
      <c r="K17" s="31" t="n"/>
      <c r="L17" s="208" t="n"/>
      <c r="M17" s="208" t="n"/>
      <c r="N17" s="31" t="n">
        <v>117749.6</v>
      </c>
      <c r="O17" s="208" t="n"/>
      <c r="P17" s="208" t="n"/>
      <c r="Q17" s="31" t="n">
        <v>3344</v>
      </c>
      <c r="R17" s="31" t="n"/>
      <c r="S17" s="208" t="n"/>
      <c r="T17" s="208" t="n"/>
      <c r="U17" s="208" t="n"/>
      <c r="V17" s="208" t="n"/>
      <c r="W17" s="12" t="n"/>
      <c r="X17" s="207" t="n"/>
      <c r="Y17" s="207" t="n"/>
      <c r="Z17" s="207" t="n"/>
      <c r="AA17" s="12" t="n"/>
      <c r="AB17" s="12" t="n"/>
      <c r="AC17" s="12" t="n"/>
      <c r="AD17" s="12" t="n"/>
      <c r="AE17" s="207" t="n"/>
      <c r="AF17" s="207" t="n"/>
      <c r="AG17">
        <f>SUM(B17:AF17)</f>
        <v/>
      </c>
      <c r="AI17" s="99" t="n"/>
    </row>
    <row r="18">
      <c r="A18" s="1" t="inlineStr">
        <is>
          <t>SOLIHULL MBC</t>
        </is>
      </c>
      <c r="B18" s="208" t="n"/>
      <c r="C18" s="208" t="n"/>
      <c r="D18" s="208" t="n"/>
      <c r="E18" s="208" t="n"/>
      <c r="F18" s="208" t="n"/>
      <c r="G18" s="31" t="n">
        <v>33031.6</v>
      </c>
      <c r="H18" s="208" t="n"/>
      <c r="I18" s="208" t="n"/>
      <c r="J18" s="31" t="n"/>
      <c r="K18" s="208" t="n"/>
      <c r="L18" s="208" t="n"/>
      <c r="M18" s="208" t="n"/>
      <c r="N18" s="208" t="n"/>
      <c r="O18" s="31" t="n"/>
      <c r="P18" s="208" t="n"/>
      <c r="Q18" s="208" t="n"/>
      <c r="R18" s="31" t="n"/>
      <c r="S18" s="208" t="n"/>
      <c r="T18" s="208" t="n"/>
      <c r="U18" s="208" t="n"/>
      <c r="V18" s="208" t="n"/>
      <c r="W18" s="12" t="n"/>
      <c r="X18" s="207" t="n"/>
      <c r="Y18" s="207" t="n"/>
      <c r="Z18" s="207" t="n"/>
      <c r="AA18" s="12" t="n"/>
      <c r="AB18" s="207" t="n"/>
      <c r="AC18" s="12" t="n"/>
      <c r="AD18" s="207" t="n"/>
      <c r="AE18" s="207" t="n"/>
      <c r="AF18" s="207" t="n"/>
      <c r="AG18">
        <f>SUM(B18:AF18)</f>
        <v/>
      </c>
    </row>
    <row r="19">
      <c r="A19" s="1" t="inlineStr">
        <is>
          <t xml:space="preserve">WALSALL MBC </t>
        </is>
      </c>
      <c r="B19" s="208" t="n"/>
      <c r="C19" s="208" t="n"/>
      <c r="D19" s="208" t="n"/>
      <c r="E19" s="208" t="n"/>
      <c r="F19" s="208" t="n"/>
      <c r="G19" s="208" t="n"/>
      <c r="H19" s="75" t="n"/>
      <c r="I19" s="31" t="n"/>
      <c r="J19" s="208" t="n"/>
      <c r="K19" s="208" t="n"/>
      <c r="L19" s="208" t="n"/>
      <c r="M19" s="208" t="n"/>
      <c r="N19" s="208" t="n"/>
      <c r="O19" s="75" t="n"/>
      <c r="P19" s="208" t="n"/>
      <c r="Q19" s="208" t="n"/>
      <c r="R19" s="208" t="n"/>
      <c r="S19" s="208" t="n"/>
      <c r="T19" s="208" t="n"/>
      <c r="U19" s="208" t="n"/>
      <c r="V19" s="75" t="n">
        <v>301952.18</v>
      </c>
      <c r="X19" s="12" t="n"/>
      <c r="Y19" s="207" t="n"/>
      <c r="Z19" s="207" t="n"/>
      <c r="AA19" s="12" t="n"/>
      <c r="AB19" s="207" t="n"/>
      <c r="AC19" s="12" t="n"/>
      <c r="AD19" s="74" t="n"/>
      <c r="AE19" s="207" t="n"/>
      <c r="AF19" s="207" t="n"/>
      <c r="AG19">
        <f>SUM(B19:AF19)</f>
        <v/>
      </c>
      <c r="AI19" s="99" t="n"/>
    </row>
    <row r="20">
      <c r="A20" s="1" t="inlineStr">
        <is>
          <t xml:space="preserve">WOLVERHAMPTON </t>
        </is>
      </c>
      <c r="B20" s="208" t="n"/>
      <c r="C20" s="75">
        <f>136261.33-C8</f>
        <v/>
      </c>
      <c r="D20" s="208" t="n"/>
      <c r="E20" s="75" t="n"/>
      <c r="F20" s="208" t="n"/>
      <c r="G20" s="208" t="n"/>
      <c r="H20" s="208" t="n"/>
      <c r="I20" s="208" t="n"/>
      <c r="J20" s="75">
        <f>135270.61-J8</f>
        <v/>
      </c>
      <c r="K20" s="208" t="n"/>
      <c r="L20" s="75" t="n"/>
      <c r="M20" s="208" t="n"/>
      <c r="N20" s="31" t="n"/>
      <c r="O20" s="208" t="n"/>
      <c r="P20" s="208" t="n"/>
      <c r="Q20" s="75">
        <f>135270.61-Q8</f>
        <v/>
      </c>
      <c r="R20" s="208" t="n"/>
      <c r="S20" s="75" t="n"/>
      <c r="T20" s="208" t="n"/>
      <c r="U20" s="208" t="n"/>
      <c r="V20" s="211" t="n"/>
      <c r="W20" s="207" t="n"/>
      <c r="X20">
        <f>135270.61-X8</f>
        <v/>
      </c>
      <c r="Y20" s="207" t="n"/>
      <c r="Z20" s="74" t="n"/>
      <c r="AA20" s="207" t="n"/>
      <c r="AB20" s="207" t="n"/>
      <c r="AC20" s="207" t="n"/>
      <c r="AD20" s="207" t="n"/>
      <c r="AE20" s="74" t="n"/>
      <c r="AF20" s="207" t="n"/>
      <c r="AG20">
        <f>SUM(B20:AF20)</f>
        <v/>
      </c>
    </row>
    <row r="21">
      <c r="A21" s="1" t="inlineStr">
        <is>
          <t>People Plus</t>
        </is>
      </c>
      <c r="B21" s="208" t="n"/>
      <c r="C21" s="208" t="n"/>
      <c r="D21" s="208" t="n"/>
      <c r="E21" s="208" t="n"/>
      <c r="F21" s="208" t="n"/>
      <c r="G21" s="31" t="n"/>
      <c r="H21" s="208" t="n"/>
      <c r="I21" s="31" t="n">
        <v>4042.6</v>
      </c>
      <c r="J21" s="31" t="n">
        <v>10889.2</v>
      </c>
      <c r="K21" s="31" t="n"/>
      <c r="L21" s="208" t="n"/>
      <c r="M21" s="208" t="n"/>
      <c r="N21" s="208" t="n">
        <v>4978</v>
      </c>
      <c r="O21" s="208" t="n"/>
      <c r="P21" s="31" t="n"/>
      <c r="Q21" s="208" t="n"/>
      <c r="R21" s="31" t="n"/>
      <c r="S21" s="208" t="n"/>
      <c r="T21" s="208" t="n"/>
      <c r="U21" s="31" t="n"/>
      <c r="V21" s="208" t="n"/>
      <c r="W21" s="207" t="n"/>
      <c r="X21" s="207" t="n"/>
      <c r="Y21" s="207" t="n"/>
      <c r="Z21" s="207" t="n"/>
      <c r="AA21" s="12" t="n"/>
      <c r="AB21" s="207" t="n"/>
      <c r="AC21" s="207" t="n"/>
      <c r="AD21" s="207" t="n"/>
      <c r="AE21" s="207" t="n"/>
      <c r="AF21" s="207" t="n"/>
      <c r="AG21">
        <f>SUM(B21:AF21)</f>
        <v/>
      </c>
      <c r="AI21" s="99" t="n"/>
    </row>
    <row r="22">
      <c r="A22" s="1" t="inlineStr">
        <is>
          <t>Middlesbrough council</t>
        </is>
      </c>
      <c r="B22" s="208" t="n"/>
      <c r="C22" s="31" t="n"/>
      <c r="D22" s="208" t="n"/>
      <c r="E22" s="208" t="n"/>
      <c r="F22" s="208" t="n"/>
      <c r="G22" s="31" t="n"/>
      <c r="H22" s="31" t="n"/>
      <c r="I22" s="31" t="n"/>
      <c r="J22" s="31" t="n"/>
      <c r="K22" s="31" t="n"/>
      <c r="L22" s="208" t="n"/>
      <c r="M22" s="31" t="n"/>
      <c r="N22" s="31" t="n"/>
      <c r="O22" s="208" t="n"/>
      <c r="P22" s="31" t="n"/>
      <c r="Q22" s="208" t="n"/>
      <c r="R22" s="208" t="n"/>
      <c r="S22" s="208" t="n"/>
      <c r="T22" s="208" t="n"/>
      <c r="U22" s="31" t="n"/>
      <c r="V22" s="31" t="n"/>
      <c r="W22" s="207" t="n"/>
      <c r="X22" s="207" t="n"/>
      <c r="Y22" s="207" t="n"/>
      <c r="Z22" s="207" t="n"/>
      <c r="AA22" s="207" t="n"/>
      <c r="AB22" s="207" t="n"/>
      <c r="AC22" s="207" t="n"/>
      <c r="AD22" s="207" t="n"/>
      <c r="AE22" s="207" t="n"/>
      <c r="AF22" s="207" t="n"/>
      <c r="AG22">
        <f>SUM(B22:AF22)</f>
        <v/>
      </c>
    </row>
    <row r="23">
      <c r="A23" s="1" t="inlineStr">
        <is>
          <t>West  Northamptonshire Council</t>
        </is>
      </c>
      <c r="B23" s="208" t="n"/>
      <c r="C23" s="208" t="n"/>
      <c r="D23" s="208" t="n"/>
      <c r="E23" s="208" t="n"/>
      <c r="F23" s="208" t="n"/>
      <c r="G23" s="208" t="n"/>
      <c r="H23" s="31" t="n"/>
      <c r="I23" s="208" t="n"/>
      <c r="J23" s="208" t="n"/>
      <c r="K23" s="31" t="n">
        <v>7280</v>
      </c>
      <c r="L23" s="208" t="n"/>
      <c r="M23" s="208" t="n"/>
      <c r="N23" s="208" t="n"/>
      <c r="O23" s="208" t="n"/>
      <c r="P23" s="208" t="n"/>
      <c r="Q23" s="208" t="n"/>
      <c r="R23" s="208" t="n"/>
      <c r="S23" s="208" t="n"/>
      <c r="T23" s="208" t="n"/>
      <c r="U23" s="208" t="n"/>
      <c r="V23" s="208" t="n"/>
      <c r="W23" s="207" t="n"/>
      <c r="X23" s="207" t="n"/>
      <c r="Y23" s="207" t="n"/>
      <c r="Z23" s="207" t="n"/>
      <c r="AA23" s="207" t="n"/>
      <c r="AB23" s="207" t="n"/>
      <c r="AC23" s="207" t="n"/>
      <c r="AD23" s="207" t="n"/>
      <c r="AE23" s="207" t="n"/>
      <c r="AF23" s="207" t="n"/>
      <c r="AG23">
        <f>SUM(B23:AF23)</f>
        <v/>
      </c>
      <c r="AI23" s="99" t="n"/>
    </row>
    <row r="24">
      <c r="A24" s="1" t="inlineStr">
        <is>
          <t>CHASING</t>
        </is>
      </c>
      <c r="B24" s="208" t="n"/>
      <c r="C24" s="208" t="n"/>
      <c r="D24" s="208" t="n"/>
      <c r="E24" s="208" t="n"/>
      <c r="F24" s="208" t="n"/>
      <c r="G24" s="208" t="n"/>
      <c r="H24" s="208" t="n"/>
      <c r="I24" s="208" t="n"/>
      <c r="J24" s="208" t="n"/>
      <c r="K24" s="31" t="n">
        <v>1523.2</v>
      </c>
      <c r="L24" s="208" t="n"/>
      <c r="M24" s="208" t="n"/>
      <c r="N24" s="208" t="n">
        <v>4398.71</v>
      </c>
      <c r="O24" s="208" t="n">
        <v>4448.37</v>
      </c>
      <c r="P24" s="208" t="n"/>
      <c r="Q24" s="208" t="n"/>
      <c r="R24" s="208" t="n">
        <v>8434.84</v>
      </c>
      <c r="S24" s="208" t="n"/>
      <c r="T24" s="208" t="n"/>
      <c r="U24" s="208" t="n"/>
      <c r="V24" s="208" t="n"/>
      <c r="W24" s="207" t="n"/>
      <c r="X24" s="12" t="n"/>
      <c r="Y24" s="12" t="n"/>
      <c r="Z24" s="12" t="n"/>
      <c r="AA24" s="12" t="n"/>
      <c r="AB24" s="207" t="n"/>
      <c r="AC24" s="207" t="n"/>
      <c r="AD24" s="207" t="n"/>
      <c r="AE24" s="207" t="n"/>
      <c r="AF24" s="207" t="n"/>
      <c r="AG24">
        <f>SUM(B24:AF24)</f>
        <v/>
      </c>
    </row>
    <row r="25" customFormat="1" s="255">
      <c r="A25" s="1" t="inlineStr">
        <is>
          <t>HB SC</t>
        </is>
      </c>
      <c r="B25" s="208" t="n">
        <v>3930.9</v>
      </c>
      <c r="C25" s="208" t="n">
        <v>4744.880000000005</v>
      </c>
      <c r="D25" s="208" t="n">
        <v>7101.490000000001</v>
      </c>
      <c r="E25" s="208" t="n">
        <v>829.8099999999999</v>
      </c>
      <c r="F25" s="208" t="n">
        <v>200</v>
      </c>
      <c r="G25" s="208" t="n">
        <v>16994.77</v>
      </c>
      <c r="H25" s="208" t="n">
        <v>13441.68</v>
      </c>
      <c r="I25" s="208" t="n">
        <v>6137.369999999995</v>
      </c>
      <c r="J25" s="208" t="n">
        <v>4363.229999999992</v>
      </c>
      <c r="K25" s="208" t="n">
        <v>7622.750000000087</v>
      </c>
      <c r="L25" s="208" t="n">
        <v>207.69</v>
      </c>
      <c r="M25" s="208" t="n">
        <v>200</v>
      </c>
      <c r="N25" s="208" t="n">
        <v>9706.39999999998</v>
      </c>
      <c r="O25" s="208" t="n">
        <v>4539.070000000001</v>
      </c>
      <c r="P25" s="208" t="n">
        <v>3159.67</v>
      </c>
      <c r="Q25" s="208" t="n">
        <v>5025.160000000003</v>
      </c>
      <c r="R25" s="208" t="n">
        <v>4776.979999999999</v>
      </c>
      <c r="S25" s="208" t="n">
        <v>0</v>
      </c>
      <c r="T25" s="208" t="n">
        <v>600</v>
      </c>
      <c r="U25" s="208" t="n">
        <v>6242.09</v>
      </c>
      <c r="V25" s="208" t="n">
        <v>4718.550000000007</v>
      </c>
      <c r="W25" s="207" t="n">
        <v>2163.76</v>
      </c>
      <c r="X25" s="207" t="n">
        <v>2464.860000000015</v>
      </c>
      <c r="Y25" s="207" t="n">
        <v>477515.7</v>
      </c>
      <c r="Z25" s="207" t="n"/>
      <c r="AA25" s="207" t="n"/>
      <c r="AB25" s="207" t="n"/>
      <c r="AC25" s="207" t="n"/>
      <c r="AD25" s="207" t="n"/>
      <c r="AE25" s="207" t="n"/>
      <c r="AF25" s="207" t="n"/>
      <c r="AG25">
        <f>SUM(B25:AF25)</f>
        <v/>
      </c>
      <c r="AI25" s="99" t="n"/>
    </row>
    <row r="26" ht="15.75" customHeight="1" thickBot="1">
      <c r="A26" s="1" t="n"/>
      <c r="AG26" s="29">
        <f>SUM(AG3:AG25)</f>
        <v/>
      </c>
    </row>
    <row r="27" ht="15.75" customHeight="1" thickTop="1"/>
    <row r="30">
      <c r="A30" t="inlineStr">
        <is>
          <t>Bham</t>
        </is>
      </c>
      <c r="B30" t="n">
        <v>22056.71</v>
      </c>
    </row>
    <row r="31">
      <c r="A31" t="inlineStr">
        <is>
          <t>Sandwell</t>
        </is>
      </c>
      <c r="B31" t="n">
        <v>39140.2</v>
      </c>
    </row>
    <row r="32">
      <c r="A32" t="inlineStr">
        <is>
          <t>Walsall</t>
        </is>
      </c>
      <c r="B32" t="n">
        <v>14147.03</v>
      </c>
    </row>
    <row r="33">
      <c r="A33" t="inlineStr">
        <is>
          <t>NHS Bir</t>
        </is>
      </c>
      <c r="B33" t="n">
        <v>7202.01</v>
      </c>
    </row>
    <row r="34">
      <c r="A34" t="inlineStr">
        <is>
          <t>NHS BC TRUST</t>
        </is>
      </c>
      <c r="B34" t="n">
        <v>15027.12</v>
      </c>
    </row>
    <row r="35">
      <c r="A35" t="inlineStr">
        <is>
          <t>NHS BC TRUST</t>
        </is>
      </c>
      <c r="B35" t="n">
        <v>13185.17</v>
      </c>
    </row>
    <row r="36">
      <c r="A36" t="inlineStr">
        <is>
          <t>People plus</t>
        </is>
      </c>
      <c r="B36" t="n">
        <v>3498.6</v>
      </c>
    </row>
    <row r="37">
      <c r="A37" t="inlineStr">
        <is>
          <t>Middlesbrough</t>
        </is>
      </c>
      <c r="B37" t="n">
        <v>6115.4</v>
      </c>
    </row>
    <row r="38" ht="15.75" customHeight="1" thickBot="1">
      <c r="A38" s="29" t="inlineStr">
        <is>
          <t>Total</t>
        </is>
      </c>
      <c r="B38" s="29">
        <f>SUM(B30:B37)</f>
        <v/>
      </c>
    </row>
    <row r="39" ht="15.75" customHeight="1" thickTop="1"/>
  </sheetData>
  <pageMargins left="0.7" right="0.7" top="0.75" bottom="0.75" header="0.3" footer="0.3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29">
    <outlinePr summaryBelow="1" summaryRight="1"/>
    <pageSetUpPr/>
  </sheetPr>
  <dimension ref="A1:AK36"/>
  <sheetViews>
    <sheetView workbookViewId="0">
      <pane xSplit="1" ySplit="4" topLeftCell="V12" activePane="bottomRight" state="frozen"/>
      <selection activeCell="AC32" sqref="AC32"/>
      <selection pane="topRight" activeCell="AC32" sqref="AC32"/>
      <selection pane="bottomLeft" activeCell="AC32" sqref="AC32"/>
      <selection pane="bottomRight" activeCell="AF28" sqref="AF28"/>
    </sheetView>
  </sheetViews>
  <sheetFormatPr baseColWidth="8" defaultRowHeight="15"/>
  <cols>
    <col width="27.28515625" bestFit="1" customWidth="1" min="1" max="1"/>
    <col width="10.7109375" bestFit="1" customWidth="1" min="2" max="22"/>
    <col width="14.28515625" bestFit="1" customWidth="1" min="23" max="24"/>
    <col width="10.7109375" bestFit="1" customWidth="1" min="25" max="31"/>
    <col width="11" bestFit="1" customWidth="1" min="32" max="32"/>
  </cols>
  <sheetData>
    <row r="1">
      <c r="A1" s="1" t="n"/>
      <c r="AF1">
        <f>SUM(#REF!)</f>
        <v/>
      </c>
    </row>
    <row r="3">
      <c r="A3" s="1" t="n"/>
      <c r="B3" s="171" t="inlineStr">
        <is>
          <t>Saturday</t>
        </is>
      </c>
      <c r="C3" s="171" t="inlineStr">
        <is>
          <t>Sunday</t>
        </is>
      </c>
      <c r="D3" s="171" t="inlineStr">
        <is>
          <t>Monday</t>
        </is>
      </c>
      <c r="E3" s="171" t="inlineStr">
        <is>
          <t>Tuesday</t>
        </is>
      </c>
      <c r="F3" s="171" t="inlineStr">
        <is>
          <t>Wednesday</t>
        </is>
      </c>
      <c r="G3" s="171" t="inlineStr">
        <is>
          <t>Thursday</t>
        </is>
      </c>
      <c r="H3" s="171" t="inlineStr">
        <is>
          <t>Friday</t>
        </is>
      </c>
      <c r="I3" s="171" t="inlineStr">
        <is>
          <t>Saturday</t>
        </is>
      </c>
      <c r="J3" s="171" t="inlineStr">
        <is>
          <t>Sunday</t>
        </is>
      </c>
      <c r="K3" s="171" t="inlineStr">
        <is>
          <t>Monday</t>
        </is>
      </c>
      <c r="L3" s="171" t="inlineStr">
        <is>
          <t>Tuesday</t>
        </is>
      </c>
      <c r="M3" s="171" t="inlineStr">
        <is>
          <t>Wednesday</t>
        </is>
      </c>
      <c r="N3" s="171" t="inlineStr">
        <is>
          <t>Thursday</t>
        </is>
      </c>
      <c r="O3" s="171" t="inlineStr">
        <is>
          <t>Friday</t>
        </is>
      </c>
      <c r="P3" s="171" t="inlineStr">
        <is>
          <t>Saturday</t>
        </is>
      </c>
      <c r="Q3" s="171" t="inlineStr">
        <is>
          <t>Sunday</t>
        </is>
      </c>
      <c r="R3" s="171" t="inlineStr">
        <is>
          <t>Monday</t>
        </is>
      </c>
      <c r="S3" s="171" t="inlineStr">
        <is>
          <t>Tuesday</t>
        </is>
      </c>
      <c r="T3" s="171" t="inlineStr">
        <is>
          <t>Wednesday</t>
        </is>
      </c>
      <c r="U3" s="171" t="inlineStr">
        <is>
          <t>Thursday</t>
        </is>
      </c>
      <c r="V3" s="171" t="inlineStr">
        <is>
          <t>Friday</t>
        </is>
      </c>
      <c r="W3" s="171" t="inlineStr">
        <is>
          <t>Saturday</t>
        </is>
      </c>
      <c r="X3" s="171" t="inlineStr">
        <is>
          <t>Sunday</t>
        </is>
      </c>
      <c r="Y3" s="171" t="inlineStr">
        <is>
          <t>Monday</t>
        </is>
      </c>
      <c r="Z3" s="171" t="inlineStr">
        <is>
          <t>Tuesday</t>
        </is>
      </c>
      <c r="AA3" s="171" t="inlineStr">
        <is>
          <t>Wednesday</t>
        </is>
      </c>
      <c r="AB3" s="171" t="inlineStr">
        <is>
          <t>Thursday</t>
        </is>
      </c>
      <c r="AC3" s="171" t="inlineStr">
        <is>
          <t>Friday</t>
        </is>
      </c>
      <c r="AD3" s="171" t="inlineStr">
        <is>
          <t>Saturday</t>
        </is>
      </c>
      <c r="AE3" s="171" t="inlineStr">
        <is>
          <t>Sunday</t>
        </is>
      </c>
      <c r="AF3" s="171" t="inlineStr">
        <is>
          <t>Total</t>
        </is>
      </c>
      <c r="AH3" s="99" t="n"/>
      <c r="AK3" s="99" t="n"/>
    </row>
    <row r="4" ht="15.75" customHeight="1" thickBot="1">
      <c r="A4" s="1" t="n"/>
      <c r="B4" s="176" t="n">
        <v>45962</v>
      </c>
      <c r="C4" s="176" t="n">
        <v>45963</v>
      </c>
      <c r="D4" s="175" t="n">
        <v>45964</v>
      </c>
      <c r="E4" s="175" t="n">
        <v>45965</v>
      </c>
      <c r="F4" s="175" t="n">
        <v>45966</v>
      </c>
      <c r="G4" s="175" t="n">
        <v>45967</v>
      </c>
      <c r="H4" s="175" t="n">
        <v>45968</v>
      </c>
      <c r="I4" s="175" t="n">
        <v>45969</v>
      </c>
      <c r="J4" s="175" t="n">
        <v>45970</v>
      </c>
      <c r="K4" s="173" t="n">
        <v>45971</v>
      </c>
      <c r="L4" s="173" t="n">
        <v>45972</v>
      </c>
      <c r="M4" s="205" t="n">
        <v>45973</v>
      </c>
      <c r="N4" s="205" t="n">
        <v>45974</v>
      </c>
      <c r="O4" s="205" t="n">
        <v>45975</v>
      </c>
      <c r="P4" s="205" t="n">
        <v>45976</v>
      </c>
      <c r="Q4" s="205" t="n">
        <v>45977</v>
      </c>
      <c r="R4" s="174" t="n">
        <v>45978</v>
      </c>
      <c r="S4" s="174" t="n">
        <v>45979</v>
      </c>
      <c r="T4" s="174" t="n">
        <v>45980</v>
      </c>
      <c r="U4" s="174" t="n">
        <v>45981</v>
      </c>
      <c r="V4" s="174" t="n">
        <v>45982</v>
      </c>
      <c r="W4" s="174" t="n">
        <v>45983</v>
      </c>
      <c r="X4" s="174" t="n">
        <v>45984</v>
      </c>
      <c r="Y4" s="175" t="n">
        <v>45985</v>
      </c>
      <c r="Z4" s="175" t="n">
        <v>45986</v>
      </c>
      <c r="AA4" s="175" t="n">
        <v>45987</v>
      </c>
      <c r="AB4" s="175" t="n">
        <v>45988</v>
      </c>
      <c r="AC4" s="175" t="n">
        <v>45989</v>
      </c>
      <c r="AD4" s="175" t="n">
        <v>45990</v>
      </c>
      <c r="AE4" s="175" t="n">
        <v>45991</v>
      </c>
      <c r="AF4" s="172" t="n"/>
      <c r="AK4" s="99" t="n"/>
    </row>
    <row r="5">
      <c r="A5" s="1" t="inlineStr">
        <is>
          <t>B-HAM CITY COUNCIL</t>
        </is>
      </c>
      <c r="B5" s="1" t="n"/>
      <c r="C5" s="1" t="n"/>
      <c r="D5" s="1" t="n"/>
      <c r="E5" s="1" t="n"/>
      <c r="F5" s="1" t="n"/>
      <c r="G5" t="n">
        <v>59419.08</v>
      </c>
      <c r="H5" s="31" t="n"/>
      <c r="I5" s="1" t="n"/>
      <c r="J5" s="1" t="n"/>
      <c r="L5" s="1" t="n"/>
      <c r="M5" s="1" t="n"/>
      <c r="N5" s="1" t="n"/>
      <c r="O5" s="1" t="n"/>
      <c r="P5" s="1" t="n"/>
      <c r="Q5" s="1" t="n"/>
      <c r="R5" s="1" t="n"/>
      <c r="T5" s="1" t="n"/>
      <c r="U5" s="1" t="n"/>
      <c r="V5" s="1" t="n"/>
      <c r="Y5" s="1" t="n"/>
      <c r="Z5" s="1" t="n"/>
      <c r="AA5" t="n">
        <v>1619.35</v>
      </c>
      <c r="AB5" s="1" t="n"/>
      <c r="AD5" s="1" t="n"/>
      <c r="AE5" s="1" t="n"/>
      <c r="AF5">
        <f>SUM(B5:AE5)</f>
        <v/>
      </c>
      <c r="AG5">
        <f>G5/4</f>
        <v/>
      </c>
      <c r="AK5" s="99" t="n"/>
    </row>
    <row r="6">
      <c r="A6" s="1" t="inlineStr">
        <is>
          <t>Buckingham</t>
        </is>
      </c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Y6" s="1" t="n"/>
      <c r="Z6" s="1" t="n"/>
      <c r="AA6" s="1" t="n"/>
      <c r="AB6" s="1" t="n"/>
      <c r="AC6" s="1" t="n"/>
      <c r="AD6" s="1" t="n"/>
      <c r="AE6" s="1" t="n"/>
      <c r="AF6">
        <f>SUM(B6:AE6)</f>
        <v/>
      </c>
      <c r="AK6" s="99" t="n"/>
    </row>
    <row r="7">
      <c r="A7" s="1" t="inlineStr">
        <is>
          <t>Sandwell Respite</t>
        </is>
      </c>
      <c r="B7" s="1" t="n"/>
      <c r="C7" s="1" t="n"/>
      <c r="D7" s="1" t="n"/>
      <c r="E7" s="1" t="n"/>
      <c r="F7" s="1" t="n"/>
      <c r="G7" s="1" t="n"/>
      <c r="H7" t="n">
        <v>2488.8</v>
      </c>
      <c r="I7" s="1" t="n"/>
      <c r="J7" s="1" t="n"/>
      <c r="K7" s="1" t="n"/>
      <c r="L7" s="1" t="n"/>
      <c r="M7" s="1" t="n"/>
      <c r="N7" s="1" t="n"/>
      <c r="O7" s="1" t="n"/>
      <c r="Q7" s="1" t="n"/>
      <c r="R7" s="1" t="n"/>
      <c r="S7" s="1" t="n"/>
      <c r="T7" s="1" t="n"/>
      <c r="U7" s="1" t="n"/>
      <c r="V7" s="1" t="n"/>
      <c r="Y7" s="1" t="n"/>
      <c r="Z7" s="1" t="n"/>
      <c r="AA7" s="1" t="n"/>
      <c r="AB7" s="1" t="n"/>
      <c r="AD7" s="1" t="n"/>
      <c r="AE7" s="1" t="n"/>
      <c r="AF7">
        <f>SUM(B7:AE7)</f>
        <v/>
      </c>
      <c r="AH7" s="99" t="n"/>
      <c r="AK7" s="99" t="n"/>
    </row>
    <row r="8">
      <c r="A8" s="1" t="inlineStr">
        <is>
          <t>Sandwell Daycare</t>
        </is>
      </c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t="n">
        <v>12699.76</v>
      </c>
      <c r="V8" s="1" t="n"/>
      <c r="Y8" s="1" t="n"/>
      <c r="Z8" s="1" t="n"/>
      <c r="AA8" s="1" t="n"/>
      <c r="AB8" s="1" t="n"/>
      <c r="AC8" s="1" t="n"/>
      <c r="AD8" s="1" t="n"/>
      <c r="AE8" s="1" t="n"/>
      <c r="AF8">
        <f>SUM(B8:AE8)</f>
        <v/>
      </c>
      <c r="AK8" s="99" t="n"/>
    </row>
    <row r="9">
      <c r="A9" s="1" t="inlineStr">
        <is>
          <t>Wolverhampton Respite</t>
        </is>
      </c>
      <c r="AE9" s="1" t="n"/>
      <c r="AF9">
        <f>SUM(B9:AE9)</f>
        <v/>
      </c>
      <c r="AH9" s="99" t="n"/>
    </row>
    <row r="10">
      <c r="A10" s="1" t="inlineStr">
        <is>
          <t>Wolverhampton Daycare</t>
        </is>
      </c>
      <c r="B10" s="1" t="n"/>
      <c r="C10" s="1" t="n"/>
      <c r="D10" s="1" t="n"/>
      <c r="E10" s="1" t="n"/>
      <c r="F10" s="1" t="n"/>
      <c r="G10" s="212" t="n">
        <v>5606.3</v>
      </c>
      <c r="H10" s="1" t="n"/>
      <c r="I10" s="1" t="n"/>
      <c r="J10" s="1" t="n"/>
      <c r="K10" s="1" t="n"/>
      <c r="L10" s="1" t="n"/>
      <c r="M10" s="1" t="n"/>
      <c r="N10" s="1" t="n">
        <v>5606.3</v>
      </c>
      <c r="O10" s="1" t="n"/>
      <c r="P10" s="1" t="n"/>
      <c r="Q10" s="1" t="n"/>
      <c r="R10" s="1" t="n"/>
      <c r="S10" s="1" t="n"/>
      <c r="T10" s="1" t="n"/>
      <c r="U10" s="1" t="n">
        <v>5606.3</v>
      </c>
      <c r="V10" s="1" t="n"/>
      <c r="Y10" s="1" t="n"/>
      <c r="Z10" s="1" t="n"/>
      <c r="AA10" s="1" t="n"/>
      <c r="AB10" s="1" t="n">
        <v>5606.3</v>
      </c>
      <c r="AC10" s="1" t="n"/>
      <c r="AF10">
        <f>SUM(B10:AE10)</f>
        <v/>
      </c>
    </row>
    <row r="11">
      <c r="A11" s="1" t="inlineStr">
        <is>
          <t>Walsall Respite</t>
        </is>
      </c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>
        <v>18686.24</v>
      </c>
      <c r="T11" s="1" t="n"/>
      <c r="U11" s="1" t="n"/>
      <c r="V11" s="1" t="n"/>
      <c r="Y11" s="1" t="n"/>
      <c r="Z11" s="1" t="n"/>
      <c r="AA11" s="1" t="n"/>
      <c r="AB11" s="1" t="n"/>
      <c r="AC11" s="1" t="n"/>
      <c r="AF11">
        <f>SUM(B11:AE11)</f>
        <v/>
      </c>
      <c r="AH11" s="99" t="n"/>
    </row>
    <row r="12">
      <c r="A12" s="1" t="inlineStr">
        <is>
          <t>Walsall Daycare</t>
        </is>
      </c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Y12" s="1" t="n"/>
      <c r="Z12" s="1" t="n"/>
      <c r="AA12" s="1" t="n"/>
      <c r="AB12" s="1" t="n"/>
      <c r="AC12" s="1" t="n"/>
      <c r="AF12">
        <f>SUM(B12:AE12)</f>
        <v/>
      </c>
    </row>
    <row r="13">
      <c r="A13" s="1" t="inlineStr">
        <is>
          <t>Ideal for All Ltd</t>
        </is>
      </c>
      <c r="B13" s="1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t="n">
        <v>8038.939999999999</v>
      </c>
      <c r="P13" s="1" t="n"/>
      <c r="R13" s="1" t="n"/>
      <c r="S13" s="1" t="n"/>
      <c r="T13" s="1" t="n"/>
      <c r="V13" s="1" t="n"/>
      <c r="Y13" s="1" t="n"/>
      <c r="Z13" s="1" t="n"/>
      <c r="AA13" s="1" t="n"/>
      <c r="AB13" s="1" t="n"/>
      <c r="AC13" s="1" t="n"/>
      <c r="AF13">
        <f>SUM(B13:AE13)</f>
        <v/>
      </c>
      <c r="AH13" s="99" t="n"/>
    </row>
    <row r="14">
      <c r="A14" s="1" t="inlineStr">
        <is>
          <t>KIRKLEES COUNCIL</t>
        </is>
      </c>
      <c r="B14" s="1" t="n"/>
      <c r="C14" s="1" t="n"/>
      <c r="D14" s="1" t="n"/>
      <c r="E14" s="1" t="n"/>
      <c r="F14" s="1" t="n"/>
      <c r="G14" s="1" t="n"/>
      <c r="H14" s="1" t="n"/>
      <c r="J14" s="1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Y14" s="1" t="n"/>
      <c r="Z14" s="1" t="n"/>
      <c r="AA14" s="1" t="n"/>
      <c r="AB14" s="1" t="n"/>
      <c r="AC14" s="1" t="n"/>
      <c r="AF14">
        <f>SUM(B14:AE14)</f>
        <v/>
      </c>
    </row>
    <row r="15">
      <c r="A15" s="1" t="inlineStr">
        <is>
          <t xml:space="preserve">LBH PAYMENTS </t>
        </is>
      </c>
      <c r="B15" s="1" t="n"/>
      <c r="E15" s="1" t="n"/>
      <c r="F15" t="n">
        <v>5203.8</v>
      </c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Y15" s="1" t="n"/>
      <c r="Z15" s="1" t="n"/>
      <c r="AA15" t="n">
        <v>5203.8</v>
      </c>
      <c r="AB15" s="1" t="n"/>
      <c r="AF15">
        <f>SUM(B15:AE15)</f>
        <v/>
      </c>
      <c r="AH15" s="99" t="n"/>
    </row>
    <row r="16">
      <c r="A16" s="1" t="inlineStr">
        <is>
          <t>NHS BIRMINGHAM &amp; Solihull</t>
        </is>
      </c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M16" s="1" t="n"/>
      <c r="N16" s="1" t="n"/>
      <c r="O16" t="n">
        <v>2568.63</v>
      </c>
      <c r="P16" s="1" t="n"/>
      <c r="Q16" s="1" t="n"/>
      <c r="R16" s="1" t="n"/>
      <c r="S16" s="1" t="n"/>
      <c r="T16" s="1" t="n"/>
      <c r="U16" s="1" t="n"/>
      <c r="V16" s="1" t="n"/>
      <c r="Y16" s="1" t="n"/>
      <c r="Z16" s="1" t="n"/>
      <c r="AA16" s="1" t="n"/>
      <c r="AB16" s="1" t="n"/>
      <c r="AC16" s="1" t="n"/>
      <c r="AF16">
        <f>SUM(B16:AE16)</f>
        <v/>
      </c>
    </row>
    <row r="17">
      <c r="A17" s="1" t="inlineStr">
        <is>
          <t>NHS BLACK COUNTRY</t>
        </is>
      </c>
      <c r="B17" s="1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M17" s="1" t="n"/>
      <c r="N17" s="1" t="n"/>
      <c r="O17" t="n">
        <v>15444.9</v>
      </c>
      <c r="P17" s="1" t="n"/>
      <c r="Q17" s="1" t="n"/>
      <c r="R17" s="1" t="n"/>
      <c r="U17" s="1" t="n"/>
      <c r="V17" s="1" t="n"/>
      <c r="Z17" s="1" t="n"/>
      <c r="AA17" s="1" t="n"/>
      <c r="AB17" s="1" t="n"/>
      <c r="AC17" s="1" t="n"/>
      <c r="AF17">
        <f>SUM(B17:AE17)</f>
        <v/>
      </c>
      <c r="AH17" s="99" t="n"/>
    </row>
    <row r="18">
      <c r="A18" s="1" t="inlineStr">
        <is>
          <t>SANDWELL MBC  BEN</t>
        </is>
      </c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O18" s="1" t="n"/>
      <c r="P18" s="1" t="n"/>
      <c r="R18" s="1" t="n"/>
      <c r="T18" s="1" t="n"/>
      <c r="U18" s="1" t="n"/>
      <c r="V18" s="1" t="n"/>
      <c r="Y18" s="1" t="n"/>
      <c r="Z18" s="1" t="n"/>
      <c r="AA18" s="1" t="n"/>
      <c r="AB18" s="1" t="n"/>
      <c r="AC18" s="1" t="n"/>
      <c r="AF18">
        <f>SUM(B18:AE18)</f>
        <v/>
      </c>
    </row>
    <row r="19">
      <c r="A19" s="1" t="inlineStr">
        <is>
          <t>SANDWELL MBC</t>
        </is>
      </c>
      <c r="C19" s="1" t="n"/>
      <c r="D19" s="1" t="n"/>
      <c r="E19" s="1" t="n"/>
      <c r="F19" s="1" t="n"/>
      <c r="G19" s="1" t="n"/>
      <c r="H19" s="1" t="n"/>
      <c r="I19" s="1" t="n"/>
      <c r="J19" s="1" t="n"/>
      <c r="K19" t="n">
        <v>130398</v>
      </c>
      <c r="L19" s="1" t="n"/>
      <c r="M19" s="1" t="n"/>
      <c r="O19" s="1" t="n"/>
      <c r="Q19" s="1" t="n"/>
      <c r="R19" s="1" t="n"/>
      <c r="T19" s="1" t="n"/>
      <c r="U19" s="1" t="n"/>
      <c r="V19" s="1" t="n"/>
      <c r="Y19" s="1" t="n">
        <v>131304.4</v>
      </c>
      <c r="Z19" s="1" t="n"/>
      <c r="AC19" s="1" t="n"/>
      <c r="AF19">
        <f>SUM(B19:AE19)</f>
        <v/>
      </c>
      <c r="AH19" s="99" t="n"/>
    </row>
    <row r="20">
      <c r="A20" s="1" t="inlineStr">
        <is>
          <t>SOLIHULL MBC</t>
        </is>
      </c>
      <c r="B20" s="1" t="n"/>
      <c r="C20" s="1" t="n"/>
      <c r="D20" t="n">
        <v>33031.6</v>
      </c>
      <c r="E20" s="1" t="n"/>
      <c r="F20" s="1" t="n"/>
      <c r="H20" s="1" t="n"/>
      <c r="J20" s="1" t="n"/>
      <c r="K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Y20" s="1" t="n"/>
      <c r="Z20" s="1" t="n"/>
      <c r="AA20" s="1" t="n"/>
      <c r="AB20" s="1" t="n"/>
      <c r="AC20" s="1" t="n"/>
      <c r="AF20">
        <f>SUM(B20:AE20)</f>
        <v/>
      </c>
    </row>
    <row r="21">
      <c r="A21" s="1" t="inlineStr">
        <is>
          <t xml:space="preserve">WALSALL MBC </t>
        </is>
      </c>
      <c r="B21" s="1" t="n"/>
      <c r="C21" s="1" t="n"/>
      <c r="D21" s="1" t="n"/>
      <c r="E21" s="1" t="n"/>
      <c r="F21" s="1" t="n"/>
      <c r="G21" s="1" t="n"/>
      <c r="H21" s="75" t="n"/>
      <c r="J21" s="1" t="n"/>
      <c r="K21" s="1" t="n"/>
      <c r="L21" s="1" t="n"/>
      <c r="M21" s="1" t="n"/>
      <c r="N21" s="1" t="n"/>
      <c r="O21" s="75" t="n"/>
      <c r="P21" s="1" t="n"/>
      <c r="Q21" s="1" t="n"/>
      <c r="R21" s="1" t="n"/>
      <c r="S21">
        <f>319982.88-S11</f>
        <v/>
      </c>
      <c r="T21" s="1" t="n"/>
      <c r="U21" s="1" t="n"/>
      <c r="Y21" s="1" t="n"/>
      <c r="AA21" s="1" t="n"/>
      <c r="AB21" s="1" t="n"/>
      <c r="AF21">
        <f>SUM(B21:AE21)</f>
        <v/>
      </c>
      <c r="AH21" s="99" t="n"/>
    </row>
    <row r="22">
      <c r="A22" s="1" t="inlineStr">
        <is>
          <t xml:space="preserve">WOLVERHAMPTON </t>
        </is>
      </c>
      <c r="B22" s="1" t="n"/>
      <c r="C22" s="75" t="n"/>
      <c r="D22" s="1" t="n"/>
      <c r="E22" s="75" t="n"/>
      <c r="F22" s="1" t="n"/>
      <c r="G22" s="25">
        <f>135270.61-G10</f>
        <v/>
      </c>
      <c r="H22" s="1" t="n"/>
      <c r="I22" s="1" t="n"/>
      <c r="J22" s="75" t="n"/>
      <c r="K22" s="1" t="n"/>
      <c r="L22" s="75" t="n"/>
      <c r="M22" s="1" t="n"/>
      <c r="N22">
        <f>135270.61-N10</f>
        <v/>
      </c>
      <c r="O22" s="1" t="n"/>
      <c r="P22" s="1" t="n"/>
      <c r="Q22" s="75" t="n"/>
      <c r="R22" s="1" t="n"/>
      <c r="S22" s="75" t="n"/>
      <c r="T22" s="1" t="n"/>
      <c r="U22">
        <f>137582.29-U10</f>
        <v/>
      </c>
      <c r="V22" s="1" t="n"/>
      <c r="Y22" s="1" t="n"/>
      <c r="Z22" s="75" t="n"/>
      <c r="AA22" s="1" t="n"/>
      <c r="AB22">
        <f>135142.93-AB10</f>
        <v/>
      </c>
      <c r="AC22" s="1" t="n"/>
      <c r="AE22" s="1" t="n"/>
      <c r="AF22">
        <f>SUM(B22:AE22)</f>
        <v/>
      </c>
    </row>
    <row r="23">
      <c r="A23" s="1" t="inlineStr">
        <is>
          <t>People Plus</t>
        </is>
      </c>
      <c r="B23" s="1" t="n"/>
      <c r="C23" s="1" t="n"/>
      <c r="E23" t="n">
        <v>723.2</v>
      </c>
      <c r="F23" t="n">
        <v>4773</v>
      </c>
      <c r="G23" t="n">
        <v>5631.8</v>
      </c>
      <c r="H23" s="1" t="n"/>
      <c r="J23" s="1" t="n"/>
      <c r="M23" s="1" t="n"/>
      <c r="N23" s="1" t="n"/>
      <c r="O23" s="1" t="n"/>
      <c r="Q23" s="1" t="n"/>
      <c r="S23" s="1" t="n"/>
      <c r="T23" s="1" t="n"/>
      <c r="V23" s="1" t="n"/>
      <c r="Y23" s="1" t="n"/>
      <c r="Z23" s="1" t="n"/>
      <c r="AA23" s="1" t="n"/>
      <c r="AB23" s="1" t="n"/>
      <c r="AD23" s="1" t="n"/>
      <c r="AE23" s="1" t="n"/>
      <c r="AF23">
        <f>SUM(B23:AE23)</f>
        <v/>
      </c>
      <c r="AH23" s="99" t="n"/>
    </row>
    <row r="24">
      <c r="A24" s="1" t="inlineStr">
        <is>
          <t>Middlesbrough council</t>
        </is>
      </c>
      <c r="B24" s="1" t="n"/>
      <c r="C24" s="1" t="n"/>
      <c r="D24" s="1" t="n"/>
      <c r="E24" t="n">
        <v>6115.4</v>
      </c>
      <c r="F24" s="1" t="n"/>
      <c r="G24" s="1" t="n"/>
      <c r="I24" s="1" t="n"/>
      <c r="K24" s="1" t="n"/>
      <c r="L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Y24" s="1" t="n"/>
      <c r="Z24" s="1" t="n"/>
      <c r="AA24" s="1" t="n"/>
      <c r="AB24" s="1" t="n"/>
      <c r="AC24" s="1" t="n"/>
      <c r="AD24" s="1" t="n"/>
      <c r="AE24" s="1" t="n"/>
      <c r="AF24">
        <f>SUM(B24:AE24)</f>
        <v/>
      </c>
    </row>
    <row r="25">
      <c r="A25" s="1" t="inlineStr">
        <is>
          <t>West  Northamptonshire Council</t>
        </is>
      </c>
      <c r="B25" s="1" t="n"/>
      <c r="C25" s="1" t="n"/>
      <c r="D25" s="1" t="n"/>
      <c r="E25" s="1" t="n"/>
      <c r="F25" s="1" t="n"/>
      <c r="G25" s="1" t="n"/>
      <c r="H25" t="n">
        <v>7280</v>
      </c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Y25" s="1" t="n"/>
      <c r="Z25" s="1" t="n"/>
      <c r="AA25" s="1" t="n"/>
      <c r="AB25" s="1" t="n"/>
      <c r="AC25" s="1" t="n"/>
      <c r="AD25" s="1" t="n"/>
      <c r="AE25" s="1" t="n"/>
      <c r="AF25">
        <f>SUM(B25:AE25)</f>
        <v/>
      </c>
      <c r="AH25" s="99" t="n"/>
    </row>
    <row r="26">
      <c r="A26" s="1" t="inlineStr">
        <is>
          <t>CHASING</t>
        </is>
      </c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t="n">
        <v>10588.99</v>
      </c>
      <c r="L26" s="1" t="n"/>
      <c r="M26" s="1" t="n"/>
      <c r="N26" s="1" t="n"/>
      <c r="O26" t="n">
        <v>5140.8</v>
      </c>
      <c r="P26" s="1" t="n"/>
      <c r="Q26" s="1" t="n"/>
      <c r="R26" s="1" t="n"/>
      <c r="S26" s="1" t="n"/>
      <c r="T26" s="1" t="n">
        <v>3893.4</v>
      </c>
      <c r="U26" t="n">
        <v>11148.17</v>
      </c>
      <c r="V26" s="1" t="n"/>
      <c r="Y26" s="1" t="n"/>
      <c r="AA26" t="n">
        <v>3363.36</v>
      </c>
      <c r="AC26" t="n">
        <v>34033.44</v>
      </c>
      <c r="AD26" s="1" t="n"/>
      <c r="AE26" s="1" t="n"/>
      <c r="AF26">
        <f>SUM(B26:AE26)</f>
        <v/>
      </c>
    </row>
    <row r="27" customFormat="1" s="255">
      <c r="A27" s="1" t="inlineStr">
        <is>
          <t>HB SC</t>
        </is>
      </c>
      <c r="B27" s="1" t="n">
        <v>0</v>
      </c>
      <c r="C27" s="1" t="n">
        <v>0</v>
      </c>
      <c r="D27" s="1" t="n">
        <v>22362.05</v>
      </c>
      <c r="E27" s="1" t="n">
        <v>3454.100000000001</v>
      </c>
      <c r="F27" s="1" t="n">
        <v>2869.72</v>
      </c>
      <c r="G27" s="1" t="n">
        <v>3692.919999999984</v>
      </c>
      <c r="H27" s="1" t="n">
        <v>7659.390000000002</v>
      </c>
      <c r="I27" s="1" t="n"/>
      <c r="J27" t="n">
        <v>250</v>
      </c>
      <c r="K27" t="n">
        <v>9866.77000000001</v>
      </c>
      <c r="L27" t="n">
        <v>3482.76</v>
      </c>
      <c r="M27" t="n">
        <v>1709.86</v>
      </c>
      <c r="N27" s="1" t="n">
        <v>5672.649999999994</v>
      </c>
      <c r="O27" s="1" t="n">
        <v>14127.98</v>
      </c>
      <c r="P27" s="1" t="n"/>
      <c r="Q27" s="1" t="n">
        <v>200</v>
      </c>
      <c r="R27" s="1" t="n">
        <v>8093.23</v>
      </c>
      <c r="S27" s="1" t="n">
        <v>4283.260000000009</v>
      </c>
      <c r="T27" s="1" t="n">
        <v>1268.2</v>
      </c>
      <c r="U27" s="1" t="n">
        <v>2326.360000000008</v>
      </c>
      <c r="V27" s="1" t="n">
        <v>6119.95</v>
      </c>
      <c r="W27" t="n">
        <v>0</v>
      </c>
      <c r="X27" t="n">
        <v>0</v>
      </c>
      <c r="Y27" s="1" t="n">
        <v>7556.110000000015</v>
      </c>
      <c r="Z27" s="1" t="n">
        <v>5262.889999999999</v>
      </c>
      <c r="AA27" s="1" t="n">
        <v>1980.209999999969</v>
      </c>
      <c r="AB27" s="1" t="n">
        <v>2771.829999999987</v>
      </c>
      <c r="AC27" s="1" t="n">
        <v>6799.26999999999</v>
      </c>
      <c r="AD27" s="1" t="n">
        <v>0</v>
      </c>
      <c r="AE27" s="1" t="n">
        <v>577.84</v>
      </c>
      <c r="AF27">
        <f>SUM(B27:AE27)</f>
        <v/>
      </c>
      <c r="AH27" s="99" t="n"/>
    </row>
    <row r="28" ht="15.75" customHeight="1" thickBot="1">
      <c r="A28" s="206" t="inlineStr">
        <is>
          <t>Running Total</t>
        </is>
      </c>
      <c r="B28" s="29">
        <f>SUM(B5:B27)</f>
        <v/>
      </c>
      <c r="C28" s="29">
        <f>SUM(C5:C27)</f>
        <v/>
      </c>
      <c r="D28" s="29">
        <f>SUM(D5:D27)</f>
        <v/>
      </c>
      <c r="E28" s="29">
        <f>SUM(E5:E27)</f>
        <v/>
      </c>
      <c r="F28" s="29">
        <f>SUM(F5:F27)</f>
        <v/>
      </c>
      <c r="G28" s="29">
        <f>SUM(G5:G27)</f>
        <v/>
      </c>
      <c r="H28" s="29">
        <f>SUM(H5:H27)</f>
        <v/>
      </c>
      <c r="I28" s="29">
        <f>SUM(I5:I27)</f>
        <v/>
      </c>
      <c r="J28" s="29">
        <f>SUM(J5:J27)</f>
        <v/>
      </c>
      <c r="K28" s="29">
        <f>SUM(K5:K27)</f>
        <v/>
      </c>
      <c r="L28" s="29">
        <f>SUM(L5:L27)</f>
        <v/>
      </c>
      <c r="M28" s="29">
        <f>SUM(M5:M27)</f>
        <v/>
      </c>
      <c r="N28" s="29">
        <f>SUM(N5:N27)</f>
        <v/>
      </c>
      <c r="O28" s="29">
        <f>SUM(O5:O27)</f>
        <v/>
      </c>
      <c r="P28" s="29">
        <f>SUM(P5:P27)</f>
        <v/>
      </c>
      <c r="Q28" s="29">
        <f>SUM(Q5:Q27)</f>
        <v/>
      </c>
      <c r="R28" s="29">
        <f>SUM(R5:R27)</f>
        <v/>
      </c>
      <c r="S28" s="29">
        <f>SUM(S5:S27)</f>
        <v/>
      </c>
      <c r="T28" s="29">
        <f>SUM(T5:T27)</f>
        <v/>
      </c>
      <c r="U28" s="29">
        <f>SUM(U5:U27)</f>
        <v/>
      </c>
      <c r="V28" s="29">
        <f>SUM(V5:V27)</f>
        <v/>
      </c>
      <c r="W28" s="29">
        <f>SUM(W5:W27)</f>
        <v/>
      </c>
      <c r="X28" s="29">
        <f>SUM(X5:X27)</f>
        <v/>
      </c>
      <c r="Y28" s="29">
        <f>SUM(Y5:Y27)</f>
        <v/>
      </c>
      <c r="Z28" s="29">
        <f>SUM(Z5:Z27)</f>
        <v/>
      </c>
      <c r="AA28" s="29">
        <f>SUM(AA5:AA27)</f>
        <v/>
      </c>
      <c r="AB28" s="29">
        <f>SUM(AB5:AB27)</f>
        <v/>
      </c>
      <c r="AC28" s="29">
        <f>SUM(AC5:AC27)</f>
        <v/>
      </c>
      <c r="AD28" s="29">
        <f>SUM(AD5:AD27)</f>
        <v/>
      </c>
      <c r="AE28" s="29">
        <f>SUM(AE5:AE27)</f>
        <v/>
      </c>
      <c r="AF28" s="29">
        <f>SUM(AF5:AF27)</f>
        <v/>
      </c>
    </row>
    <row r="29" ht="15.75" customHeight="1" thickTop="1"/>
    <row r="36" customFormat="1" s="193">
      <c r="I36" s="193" t="inlineStr">
        <is>
          <t> 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H49"/>
  <sheetViews>
    <sheetView zoomScale="70" zoomScaleNormal="70" workbookViewId="0">
      <pane xSplit="1" ySplit="2" topLeftCell="B15" activePane="bottomRight" state="frozen"/>
      <selection activeCell="AC32" sqref="AC32"/>
      <selection pane="topRight" activeCell="AC32" sqref="AC32"/>
      <selection pane="bottomLeft" activeCell="AC32" sqref="AC32"/>
      <selection pane="bottomRight" activeCell="A39" sqref="A39:XFD39"/>
    </sheetView>
  </sheetViews>
  <sheetFormatPr baseColWidth="8" defaultRowHeight="15"/>
  <cols>
    <col width="41.7109375" bestFit="1" customWidth="1" min="1" max="1"/>
    <col width="12.85546875" bestFit="1" customWidth="1" min="2" max="2"/>
    <col width="12.42578125" bestFit="1" customWidth="1" min="3" max="3"/>
    <col width="13.140625" bestFit="1" customWidth="1" min="4" max="4"/>
    <col width="13.5703125" bestFit="1" customWidth="1" min="5" max="5"/>
    <col width="13.140625" bestFit="1" customWidth="1" min="6" max="6"/>
    <col width="12.42578125" bestFit="1" customWidth="1" min="7" max="8"/>
    <col width="14" bestFit="1" customWidth="1" min="9" max="9"/>
    <col width="12.42578125" bestFit="1" customWidth="1" min="10" max="10"/>
    <col width="13.140625" bestFit="1" customWidth="1" min="11" max="11"/>
    <col width="13.5703125" bestFit="1" customWidth="1" min="12" max="12"/>
    <col width="12" bestFit="1" customWidth="1" min="13" max="16"/>
    <col width="14.42578125" bestFit="1" customWidth="1" min="17" max="17"/>
    <col width="13.140625" bestFit="1" customWidth="1" min="18" max="18"/>
    <col width="13.5703125" bestFit="1" customWidth="1" min="19" max="19"/>
    <col width="12" bestFit="1" customWidth="1" min="20" max="20"/>
    <col width="12.42578125" bestFit="1" customWidth="1" min="21" max="21"/>
    <col width="12" bestFit="1" customWidth="1" min="22" max="22"/>
    <col width="14" bestFit="1" customWidth="1" min="23" max="23"/>
    <col width="12.42578125" bestFit="1" customWidth="1" min="24" max="24"/>
    <col width="13.140625" bestFit="1" customWidth="1" min="25" max="25"/>
    <col width="13.5703125" bestFit="1" customWidth="1" min="26" max="26"/>
    <col width="12.42578125" bestFit="1" customWidth="1" min="27" max="29"/>
    <col width="12.85546875" bestFit="1" customWidth="1" min="30" max="30"/>
    <col width="12.42578125" bestFit="1" customWidth="1" min="31" max="31"/>
    <col width="13.140625" bestFit="1" customWidth="1" min="32" max="32"/>
    <col width="14.85546875" bestFit="1" customWidth="1" min="33" max="33"/>
    <col width="16.140625" bestFit="1" customWidth="1" min="34" max="34"/>
    <col width="11.85546875" bestFit="1" customWidth="1" min="35" max="35"/>
    <col width="6.85546875" bestFit="1" customWidth="1" min="36" max="36"/>
  </cols>
  <sheetData>
    <row r="1">
      <c r="A1" s="1" t="n"/>
      <c r="B1" s="214" t="inlineStr">
        <is>
          <t>Monday</t>
        </is>
      </c>
      <c r="C1" s="214" t="inlineStr">
        <is>
          <t>Tuesday</t>
        </is>
      </c>
      <c r="D1" s="214" t="inlineStr">
        <is>
          <t>Wednesday</t>
        </is>
      </c>
      <c r="E1" s="214" t="inlineStr">
        <is>
          <t>Thursday</t>
        </is>
      </c>
      <c r="F1" s="214" t="inlineStr">
        <is>
          <t>Friday</t>
        </is>
      </c>
      <c r="G1" s="214" t="inlineStr">
        <is>
          <t>Saturday</t>
        </is>
      </c>
      <c r="H1" s="214" t="inlineStr">
        <is>
          <t>Sunday</t>
        </is>
      </c>
      <c r="I1" s="214" t="inlineStr">
        <is>
          <t>Monday</t>
        </is>
      </c>
      <c r="J1" s="214" t="inlineStr">
        <is>
          <t>Tuesday</t>
        </is>
      </c>
      <c r="K1" s="214" t="inlineStr">
        <is>
          <t>Wednesday</t>
        </is>
      </c>
      <c r="L1" s="214" t="inlineStr">
        <is>
          <t>Thursday</t>
        </is>
      </c>
      <c r="M1" s="214" t="inlineStr">
        <is>
          <t>Friday</t>
        </is>
      </c>
      <c r="N1" s="214" t="inlineStr">
        <is>
          <t>Saturday</t>
        </is>
      </c>
      <c r="O1" s="214" t="inlineStr">
        <is>
          <t>Sunday</t>
        </is>
      </c>
      <c r="P1" s="214" t="inlineStr">
        <is>
          <t>Monday</t>
        </is>
      </c>
      <c r="Q1" s="214" t="inlineStr">
        <is>
          <t>Tuesday</t>
        </is>
      </c>
      <c r="R1" s="214" t="inlineStr">
        <is>
          <t>Wednesday</t>
        </is>
      </c>
      <c r="S1" s="214" t="inlineStr">
        <is>
          <t>Thursday</t>
        </is>
      </c>
      <c r="T1" s="214" t="inlineStr">
        <is>
          <t>Friday</t>
        </is>
      </c>
      <c r="U1" s="214" t="inlineStr">
        <is>
          <t>Saturday</t>
        </is>
      </c>
      <c r="V1" s="214" t="inlineStr">
        <is>
          <t>Sunday</t>
        </is>
      </c>
      <c r="W1" s="214" t="inlineStr">
        <is>
          <t>Monday</t>
        </is>
      </c>
      <c r="X1" s="214" t="inlineStr">
        <is>
          <t>Tuesday</t>
        </is>
      </c>
      <c r="Y1" s="214" t="inlineStr">
        <is>
          <t>Wednesday</t>
        </is>
      </c>
      <c r="Z1" s="214" t="inlineStr">
        <is>
          <t>Thursday</t>
        </is>
      </c>
      <c r="AA1" s="214" t="inlineStr">
        <is>
          <t>Friday</t>
        </is>
      </c>
      <c r="AB1" s="214" t="inlineStr">
        <is>
          <t>Saturday</t>
        </is>
      </c>
      <c r="AC1" s="214" t="inlineStr">
        <is>
          <t>Sunday</t>
        </is>
      </c>
      <c r="AD1" s="214" t="inlineStr">
        <is>
          <t>Monday</t>
        </is>
      </c>
      <c r="AE1" s="214" t="inlineStr">
        <is>
          <t>Tuesday</t>
        </is>
      </c>
      <c r="AF1" s="214" t="inlineStr">
        <is>
          <t>Wednesday</t>
        </is>
      </c>
      <c r="AG1" s="214" t="inlineStr">
        <is>
          <t>Adjustments</t>
        </is>
      </c>
      <c r="AH1" s="171" t="inlineStr">
        <is>
          <t>Total</t>
        </is>
      </c>
    </row>
    <row r="2">
      <c r="A2" s="1" t="n"/>
      <c r="B2" s="217" t="n">
        <v>45992</v>
      </c>
      <c r="C2" s="217" t="n">
        <v>45993</v>
      </c>
      <c r="D2" s="217" t="n">
        <v>45994</v>
      </c>
      <c r="E2" s="217" t="n">
        <v>45995</v>
      </c>
      <c r="F2" s="217" t="n">
        <v>45996</v>
      </c>
      <c r="G2" s="217" t="n">
        <v>45997</v>
      </c>
      <c r="H2" s="217" t="n">
        <v>45998</v>
      </c>
      <c r="I2" s="218" t="n">
        <v>45999</v>
      </c>
      <c r="J2" s="218" t="n">
        <v>46000</v>
      </c>
      <c r="K2" s="218" t="n">
        <v>46001</v>
      </c>
      <c r="L2" s="218" t="n">
        <v>46002</v>
      </c>
      <c r="M2" s="218" t="n">
        <v>46003</v>
      </c>
      <c r="N2" s="218" t="n">
        <v>46004</v>
      </c>
      <c r="O2" s="218" t="n">
        <v>46005</v>
      </c>
      <c r="P2" s="219" t="n">
        <v>46006</v>
      </c>
      <c r="Q2" s="219" t="n">
        <v>46007</v>
      </c>
      <c r="R2" s="219" t="n">
        <v>46008</v>
      </c>
      <c r="S2" s="219" t="n">
        <v>46009</v>
      </c>
      <c r="T2" s="219" t="n">
        <v>46010</v>
      </c>
      <c r="U2" s="219" t="n">
        <v>46011</v>
      </c>
      <c r="V2" s="219" t="n">
        <v>46012</v>
      </c>
      <c r="W2" s="220" t="n">
        <v>46013</v>
      </c>
      <c r="X2" s="220" t="n">
        <v>46014</v>
      </c>
      <c r="Y2" s="220" t="n">
        <v>46015</v>
      </c>
      <c r="Z2" s="220" t="n">
        <v>46016</v>
      </c>
      <c r="AA2" s="220" t="n">
        <v>46017</v>
      </c>
      <c r="AB2" s="220" t="n">
        <v>46018</v>
      </c>
      <c r="AC2" s="220" t="n">
        <v>46019</v>
      </c>
      <c r="AD2" s="221" t="n">
        <v>46020</v>
      </c>
      <c r="AE2" s="221" t="n">
        <v>46021</v>
      </c>
      <c r="AF2" s="221" t="n">
        <v>46022</v>
      </c>
      <c r="AG2" s="223" t="n"/>
      <c r="AH2" s="215" t="n"/>
    </row>
    <row r="3">
      <c r="A3" t="inlineStr">
        <is>
          <t>Birmingham City Council  Supported Living</t>
        </is>
      </c>
      <c r="B3" s="256" t="n"/>
      <c r="C3" s="256" t="n"/>
      <c r="D3" s="256" t="n"/>
      <c r="E3" s="256" t="n">
        <v>65502.36</v>
      </c>
      <c r="F3" s="256" t="n"/>
      <c r="G3" s="256" t="n"/>
      <c r="H3" s="256" t="n"/>
      <c r="I3" s="256" t="n"/>
      <c r="J3" s="256" t="n"/>
      <c r="K3" s="256" t="n"/>
      <c r="L3" s="256" t="n"/>
      <c r="M3" s="256" t="n"/>
      <c r="N3" s="256" t="n"/>
      <c r="O3" s="256" t="n"/>
      <c r="P3" s="256" t="n"/>
      <c r="Q3" s="256" t="n"/>
      <c r="R3" s="256" t="n"/>
      <c r="S3" s="256" t="n"/>
      <c r="T3" s="256" t="n"/>
      <c r="U3" s="256" t="n"/>
      <c r="V3" s="256" t="n"/>
      <c r="W3" s="256" t="n"/>
      <c r="X3" s="256" t="n"/>
      <c r="Y3" s="256" t="n"/>
      <c r="Z3" s="257" t="n"/>
      <c r="AA3" s="256" t="n"/>
      <c r="AB3" s="256" t="n"/>
      <c r="AC3" s="256" t="n"/>
      <c r="AD3" s="256" t="n"/>
      <c r="AE3" s="256" t="n"/>
      <c r="AF3" s="256" t="n"/>
      <c r="AG3" s="258" t="n">
        <v>626.54</v>
      </c>
      <c r="AH3" s="259">
        <f>SUM(B3:AG3)</f>
        <v/>
      </c>
    </row>
    <row r="4">
      <c r="A4" t="inlineStr">
        <is>
          <t>Haringey</t>
        </is>
      </c>
      <c r="B4" s="256" t="n"/>
      <c r="C4" s="256" t="n"/>
      <c r="D4" s="256" t="n"/>
      <c r="E4" s="256" t="n"/>
      <c r="F4" s="256" t="n"/>
      <c r="G4" s="256" t="n"/>
      <c r="H4" s="256" t="n"/>
      <c r="I4" s="256" t="n"/>
      <c r="J4" s="256" t="n"/>
      <c r="K4" s="256" t="n"/>
      <c r="L4" s="256" t="n"/>
      <c r="M4" s="256" t="n"/>
      <c r="N4" s="256" t="n"/>
      <c r="O4" s="256" t="n"/>
      <c r="P4" s="256" t="n"/>
      <c r="Q4" s="256" t="n"/>
      <c r="R4" s="256" t="n"/>
      <c r="S4" s="256" t="n"/>
      <c r="T4" s="256" t="n"/>
      <c r="U4" s="256" t="n"/>
      <c r="V4" s="256" t="n"/>
      <c r="W4" s="256" t="n"/>
      <c r="X4" s="256" t="n"/>
      <c r="Y4" s="256" t="n"/>
      <c r="Z4" s="257" t="n"/>
      <c r="AA4" s="256" t="n"/>
      <c r="AB4" s="256" t="n"/>
      <c r="AC4" s="256" t="n"/>
      <c r="AD4" s="256" t="n"/>
      <c r="AE4" s="256" t="n"/>
      <c r="AF4" s="256" t="n"/>
      <c r="AG4" s="12" t="n">
        <v>3692</v>
      </c>
      <c r="AH4" s="259">
        <f>SUM(B4:AG4)</f>
        <v/>
      </c>
    </row>
    <row r="5">
      <c r="A5" t="inlineStr">
        <is>
          <t>Sandwell MBC  Respite</t>
        </is>
      </c>
      <c r="B5" s="256" t="n"/>
      <c r="C5" s="256" t="n"/>
      <c r="D5" s="256" t="n"/>
      <c r="E5" s="256" t="n"/>
      <c r="F5" s="256" t="n"/>
      <c r="G5" s="256" t="n"/>
      <c r="H5" s="256" t="n"/>
      <c r="I5" s="256" t="n"/>
      <c r="J5" s="256" t="n"/>
      <c r="K5" s="256" t="n"/>
      <c r="L5" s="256" t="n"/>
      <c r="M5" s="256" t="n"/>
      <c r="N5" s="256" t="n"/>
      <c r="O5" s="256" t="n"/>
      <c r="P5" s="256" t="n"/>
      <c r="Q5" s="256" t="n"/>
      <c r="R5" s="256" t="n"/>
      <c r="S5" s="256" t="n"/>
      <c r="T5" s="256" t="n"/>
      <c r="U5" s="256" t="n"/>
      <c r="V5" s="256" t="n"/>
      <c r="W5" s="256" t="n">
        <v>7829.6</v>
      </c>
      <c r="X5" s="256" t="n"/>
      <c r="Y5" s="256" t="n"/>
      <c r="Z5" s="257" t="n"/>
      <c r="AA5" s="256" t="n"/>
      <c r="AB5" s="256" t="n"/>
      <c r="AC5" s="256" t="n"/>
      <c r="AD5" s="256" t="n"/>
      <c r="AE5" s="256" t="n"/>
      <c r="AF5" s="256" t="n"/>
      <c r="AG5" s="12" t="n"/>
      <c r="AH5" s="259">
        <f>SUM(B5:AG5)</f>
        <v/>
      </c>
    </row>
    <row r="6">
      <c r="A6" t="inlineStr">
        <is>
          <t>Sandwell MBC  Daycare</t>
        </is>
      </c>
      <c r="B6" s="256" t="n"/>
      <c r="C6" s="256" t="n"/>
      <c r="D6" s="256" t="n"/>
      <c r="E6" s="256" t="n"/>
      <c r="F6" s="256" t="n"/>
      <c r="G6" s="256" t="n"/>
      <c r="H6" s="256" t="n"/>
      <c r="I6" s="256" t="n"/>
      <c r="J6" s="256" t="n"/>
      <c r="K6" s="256" t="n"/>
      <c r="L6" s="256" t="n"/>
      <c r="M6" s="256" t="n">
        <v>6330.68666666667</v>
      </c>
      <c r="N6" s="256" t="n"/>
      <c r="O6" s="256" t="n"/>
      <c r="P6" s="256" t="n"/>
      <c r="Q6" s="256" t="n"/>
      <c r="R6" s="256" t="n"/>
      <c r="S6" s="256" t="n"/>
      <c r="T6" s="256" t="n"/>
      <c r="U6" s="256" t="n"/>
      <c r="V6" s="256" t="n"/>
      <c r="W6" s="256" t="n"/>
      <c r="X6" s="256" t="n"/>
      <c r="Y6" s="256" t="n"/>
      <c r="Z6" s="257" t="n"/>
      <c r="AA6" s="256" t="n">
        <v>6330.68666666667</v>
      </c>
      <c r="AB6" s="256" t="n"/>
      <c r="AC6" s="256" t="n"/>
      <c r="AD6" s="256" t="n"/>
      <c r="AE6" s="256" t="n"/>
      <c r="AF6" s="256" t="n"/>
      <c r="AG6" s="12" t="n"/>
      <c r="AH6" s="259">
        <f>SUM(B6:AG6)</f>
        <v/>
      </c>
    </row>
    <row r="7">
      <c r="A7" t="inlineStr">
        <is>
          <t xml:space="preserve">Wolverhampton  Respite </t>
        </is>
      </c>
      <c r="B7" s="256" t="n"/>
      <c r="C7" s="256" t="n"/>
      <c r="D7" s="256" t="n"/>
      <c r="E7" s="256" t="n"/>
      <c r="F7" s="256" t="n"/>
      <c r="G7" s="256" t="n"/>
      <c r="H7" s="256" t="n"/>
      <c r="I7" s="256" t="n"/>
      <c r="J7" s="256" t="n"/>
      <c r="K7" s="256" t="n"/>
      <c r="L7" s="256" t="n"/>
      <c r="M7" s="256" t="n"/>
      <c r="N7" s="256" t="n"/>
      <c r="O7" s="256" t="n"/>
      <c r="P7" s="256" t="n"/>
      <c r="Q7" s="256" t="n"/>
      <c r="R7" s="256" t="n"/>
      <c r="S7" s="256" t="n"/>
      <c r="T7" s="256" t="n"/>
      <c r="U7" s="256" t="n"/>
      <c r="V7" s="256" t="n"/>
      <c r="W7" s="256" t="n"/>
      <c r="X7" s="256" t="n"/>
      <c r="Y7" s="256" t="n"/>
      <c r="Z7" s="257" t="n"/>
      <c r="AA7" s="256" t="n"/>
      <c r="AB7" s="256" t="n"/>
      <c r="AC7" s="256" t="n"/>
      <c r="AD7" s="256" t="n"/>
      <c r="AE7" s="256" t="n"/>
      <c r="AF7" s="256" t="n"/>
      <c r="AG7" s="12" t="n"/>
      <c r="AH7" s="259">
        <f>SUM(B7:AG7)</f>
        <v/>
      </c>
    </row>
    <row r="8">
      <c r="A8" t="inlineStr">
        <is>
          <t>Wolverhampton - Daycare</t>
        </is>
      </c>
      <c r="B8" s="256" t="n"/>
      <c r="C8" s="256" t="n"/>
      <c r="D8" s="256" t="n"/>
      <c r="E8" s="256" t="n">
        <v>5606.3</v>
      </c>
      <c r="F8" s="256" t="n"/>
      <c r="G8" s="256" t="n"/>
      <c r="H8" s="256" t="n"/>
      <c r="I8" s="256" t="n"/>
      <c r="J8" s="256" t="n"/>
      <c r="K8" s="256" t="n"/>
      <c r="L8" s="256" t="n">
        <v>5606.3</v>
      </c>
      <c r="M8" s="256" t="n"/>
      <c r="N8" s="256" t="n"/>
      <c r="O8" s="256" t="n"/>
      <c r="P8" s="256" t="n"/>
      <c r="Q8" s="256" t="n"/>
      <c r="R8" s="256" t="n"/>
      <c r="S8" s="256" t="n">
        <v>5606.3</v>
      </c>
      <c r="T8" s="256" t="n"/>
      <c r="U8" s="256" t="n"/>
      <c r="V8" s="256" t="n"/>
      <c r="W8" s="256" t="n"/>
      <c r="X8" s="256" t="n"/>
      <c r="Y8" s="256" t="n"/>
      <c r="Z8" s="260">
        <f>5606.3</f>
        <v/>
      </c>
      <c r="AA8" s="256" t="n"/>
      <c r="AB8" s="256" t="n"/>
      <c r="AC8" s="256" t="n"/>
      <c r="AD8" s="256" t="n"/>
      <c r="AE8" s="256" t="n"/>
      <c r="AF8" s="256" t="n"/>
      <c r="AG8" s="12" t="n"/>
      <c r="AH8" s="259">
        <f>SUM(B8:AG8)-Z8</f>
        <v/>
      </c>
    </row>
    <row r="9">
      <c r="A9" t="inlineStr">
        <is>
          <t>Walsall - Respite</t>
        </is>
      </c>
      <c r="B9" s="256" t="n"/>
      <c r="C9" s="256" t="n"/>
      <c r="D9" s="256" t="n"/>
      <c r="E9" s="256" t="n"/>
      <c r="F9" s="256" t="n"/>
      <c r="G9" s="256" t="n"/>
      <c r="H9" s="256" t="n"/>
      <c r="I9" s="256" t="n"/>
      <c r="J9" s="256" t="n"/>
      <c r="K9" s="256" t="n"/>
      <c r="L9" s="256" t="n"/>
      <c r="M9" s="256" t="n"/>
      <c r="N9" s="256" t="n"/>
      <c r="O9" s="256" t="n"/>
      <c r="P9" s="256" t="n"/>
      <c r="Q9" s="256" t="n">
        <v>20000</v>
      </c>
      <c r="R9" s="256" t="n"/>
      <c r="S9" s="256" t="n"/>
      <c r="T9" s="256" t="n"/>
      <c r="U9" s="256" t="n"/>
      <c r="V9" s="256" t="n"/>
      <c r="W9" s="256" t="n"/>
      <c r="X9" s="256" t="n"/>
      <c r="Y9" s="256" t="n"/>
      <c r="Z9" s="257" t="n"/>
      <c r="AA9" s="256" t="n"/>
      <c r="AB9" s="256" t="n"/>
      <c r="AC9" s="256" t="n"/>
      <c r="AD9" s="256" t="n"/>
      <c r="AE9" s="256" t="n"/>
      <c r="AF9" s="256" t="n"/>
      <c r="AG9" s="12" t="n"/>
      <c r="AH9" s="259">
        <f>SUM(B9:AG9)</f>
        <v/>
      </c>
    </row>
    <row r="10">
      <c r="A10" t="inlineStr">
        <is>
          <t>Walsall - Daycare</t>
        </is>
      </c>
      <c r="B10" s="256" t="n"/>
      <c r="C10" s="256" t="n"/>
      <c r="D10" s="256" t="n"/>
      <c r="E10" s="256" t="n"/>
      <c r="F10" s="256" t="n"/>
      <c r="G10" s="256" t="n"/>
      <c r="H10" s="256" t="n"/>
      <c r="I10" s="256" t="n"/>
      <c r="J10" s="256" t="n"/>
      <c r="K10" s="256" t="n"/>
      <c r="L10" s="256" t="n"/>
      <c r="M10" s="256" t="n"/>
      <c r="N10" s="256" t="n"/>
      <c r="O10" s="256" t="n"/>
      <c r="P10" s="256" t="n"/>
      <c r="Q10" s="256" t="n"/>
      <c r="R10" s="256" t="n"/>
      <c r="S10" s="256" t="n"/>
      <c r="T10" s="256" t="n"/>
      <c r="U10" s="256" t="n"/>
      <c r="V10" s="256" t="n"/>
      <c r="W10" s="256" t="n"/>
      <c r="X10" s="256" t="n"/>
      <c r="Y10" s="256" t="n"/>
      <c r="Z10" s="257" t="n"/>
      <c r="AA10" s="256" t="n"/>
      <c r="AB10" s="256" t="n"/>
      <c r="AC10" s="256" t="n"/>
      <c r="AD10" s="256" t="n"/>
      <c r="AE10" s="256" t="n"/>
      <c r="AF10" s="256" t="n"/>
      <c r="AG10" s="12" t="n"/>
      <c r="AH10" s="259">
        <f>SUM(B10:AG10)</f>
        <v/>
      </c>
    </row>
    <row r="11">
      <c r="A11" t="inlineStr">
        <is>
          <t>Ideal for All Ltd - Direct Payments</t>
        </is>
      </c>
      <c r="B11" s="256" t="n"/>
      <c r="C11" s="256" t="n"/>
      <c r="D11" s="256" t="n"/>
      <c r="E11" s="256" t="n"/>
      <c r="F11" s="256" t="n"/>
      <c r="G11" s="256" t="n"/>
      <c r="H11" s="256" t="n"/>
      <c r="I11" s="256" t="n"/>
      <c r="J11" s="256" t="n"/>
      <c r="K11" s="256" t="n"/>
      <c r="L11" s="256" t="n"/>
      <c r="M11" s="256" t="n">
        <v>4120.96</v>
      </c>
      <c r="N11" s="256" t="n"/>
      <c r="O11" s="256" t="n"/>
      <c r="P11" s="256" t="n"/>
      <c r="Q11" s="256" t="n"/>
      <c r="R11" s="256" t="n"/>
      <c r="S11" s="256" t="n"/>
      <c r="T11" s="256" t="n"/>
      <c r="U11" s="256" t="n"/>
      <c r="V11" s="256" t="n"/>
      <c r="W11" s="256" t="n"/>
      <c r="X11" s="256" t="n"/>
      <c r="Y11" s="256" t="n"/>
      <c r="Z11" s="257" t="n"/>
      <c r="AA11" s="256" t="n"/>
      <c r="AB11" s="256" t="n"/>
      <c r="AC11" s="256" t="n"/>
      <c r="AD11" s="256" t="n"/>
      <c r="AE11" s="256" t="n"/>
      <c r="AF11" s="256" t="n"/>
      <c r="AG11" s="12" t="n"/>
      <c r="AH11" s="259">
        <f>SUM(B11:AG11)</f>
        <v/>
      </c>
    </row>
    <row r="12">
      <c r="A12" t="inlineStr">
        <is>
          <t>Kirklees - Supported Living</t>
        </is>
      </c>
      <c r="B12" s="256" t="n"/>
      <c r="C12" s="256" t="n"/>
      <c r="D12" s="256" t="n"/>
      <c r="E12" s="256" t="n"/>
      <c r="F12" s="256" t="n"/>
      <c r="G12" s="256" t="n"/>
      <c r="H12" s="256" t="n"/>
      <c r="I12" s="256" t="n"/>
      <c r="J12" s="256" t="n"/>
      <c r="K12" s="256" t="n"/>
      <c r="L12" s="256" t="n"/>
      <c r="M12" s="256" t="n">
        <v>5458.48</v>
      </c>
      <c r="N12" s="256" t="n"/>
      <c r="O12" s="256" t="n"/>
      <c r="P12" s="256" t="n"/>
      <c r="Q12" s="256" t="n"/>
      <c r="R12" s="256" t="n"/>
      <c r="S12" s="256" t="n"/>
      <c r="T12" s="256" t="n"/>
      <c r="U12" s="256" t="n"/>
      <c r="V12" s="256" t="n"/>
      <c r="W12" s="256" t="n"/>
      <c r="X12" s="256" t="n"/>
      <c r="Y12" s="256" t="n"/>
      <c r="Z12" s="257" t="n"/>
      <c r="AA12" s="256" t="n"/>
      <c r="AB12" s="256" t="n"/>
      <c r="AC12" s="256" t="n"/>
      <c r="AD12" s="256" t="n"/>
      <c r="AE12" s="256" t="n"/>
      <c r="AF12" s="256" t="n"/>
      <c r="AG12" s="12" t="n"/>
      <c r="AH12" s="259">
        <f>SUM(B12:AG12)</f>
        <v/>
      </c>
    </row>
    <row r="13">
      <c r="A13" t="inlineStr">
        <is>
          <t>LB Hillingdon - Supported Living</t>
        </is>
      </c>
      <c r="B13" s="256" t="n"/>
      <c r="C13" s="256" t="n"/>
      <c r="D13" s="256" t="n"/>
      <c r="E13" s="256" t="n"/>
      <c r="F13" s="256" t="n"/>
      <c r="G13" s="256" t="n"/>
      <c r="H13" s="256" t="n"/>
      <c r="I13" s="256" t="n"/>
      <c r="J13" s="256" t="n"/>
      <c r="K13" s="256" t="n"/>
      <c r="L13" s="256" t="n"/>
      <c r="M13" s="256" t="n"/>
      <c r="N13" s="256" t="n"/>
      <c r="O13" s="256" t="n"/>
      <c r="P13" s="256" t="n"/>
      <c r="Q13" s="256" t="n"/>
      <c r="R13" s="256" t="n"/>
      <c r="S13" s="256" t="n"/>
      <c r="T13" s="256" t="n"/>
      <c r="U13" s="256" t="n"/>
      <c r="V13" s="256" t="n"/>
      <c r="W13" s="256" t="n">
        <v>5204.64</v>
      </c>
      <c r="X13" s="256" t="n"/>
      <c r="Y13" s="256" t="n"/>
      <c r="Z13" s="257" t="n"/>
      <c r="AA13" s="256" t="n"/>
      <c r="AB13" s="256" t="n"/>
      <c r="AC13" s="256" t="n"/>
      <c r="AD13" s="256" t="n"/>
      <c r="AE13" s="256" t="n"/>
      <c r="AF13" s="256" t="n"/>
      <c r="AG13" s="12" t="n"/>
      <c r="AH13" s="259">
        <f>SUM(B13:AG13)</f>
        <v/>
      </c>
    </row>
    <row r="14">
      <c r="A14" t="inlineStr">
        <is>
          <t>NHS Birmingham &amp; Solihull ICB</t>
        </is>
      </c>
      <c r="B14" s="256" t="n"/>
      <c r="C14" s="256" t="n"/>
      <c r="D14" s="256" t="n"/>
      <c r="E14" s="256" t="n"/>
      <c r="F14" s="256" t="n"/>
      <c r="G14" s="256" t="n"/>
      <c r="H14" s="256" t="n"/>
      <c r="I14" s="256" t="n"/>
      <c r="J14" s="256" t="n"/>
      <c r="K14" s="256" t="n"/>
      <c r="L14" s="256" t="n"/>
      <c r="M14" s="256" t="n">
        <v>7562.1</v>
      </c>
      <c r="N14" s="256" t="n"/>
      <c r="O14" s="256" t="n"/>
      <c r="P14" s="256" t="n"/>
      <c r="Q14" s="256" t="n"/>
      <c r="R14" s="256" t="n"/>
      <c r="S14" s="256" t="n"/>
      <c r="T14" s="256" t="n"/>
      <c r="U14" s="256" t="n"/>
      <c r="V14" s="256" t="n"/>
      <c r="W14" s="256" t="n"/>
      <c r="X14" s="256" t="n"/>
      <c r="Y14" s="256" t="n"/>
      <c r="Z14" s="257" t="n"/>
      <c r="AA14" s="256" t="n"/>
      <c r="AB14" s="256" t="n"/>
      <c r="AC14" s="256" t="n"/>
      <c r="AD14" s="256" t="n"/>
      <c r="AE14" s="256" t="n"/>
      <c r="AF14" s="256" t="n"/>
      <c r="AG14" s="258" t="n">
        <v>3778.48</v>
      </c>
      <c r="AH14" s="259">
        <f>SUM(B14:AG14)</f>
        <v/>
      </c>
    </row>
    <row r="15" customFormat="1" s="255">
      <c r="A15" t="inlineStr">
        <is>
          <t>NHS Black Country ICB</t>
        </is>
      </c>
      <c r="B15" s="256" t="n">
        <v>15444.9</v>
      </c>
      <c r="C15" s="256" t="n"/>
      <c r="D15" s="256" t="n"/>
      <c r="E15" s="256" t="n"/>
      <c r="F15" s="256" t="n"/>
      <c r="G15" s="256" t="n"/>
      <c r="H15" s="256" t="n"/>
      <c r="I15" s="256" t="n"/>
      <c r="J15" s="256" t="n"/>
      <c r="K15" s="256" t="n"/>
      <c r="L15" s="256" t="n"/>
      <c r="M15" s="256" t="n"/>
      <c r="N15" s="256" t="n"/>
      <c r="O15" s="256" t="n"/>
      <c r="P15" s="256" t="n"/>
      <c r="Q15" s="256" t="n"/>
      <c r="R15" s="256" t="n"/>
      <c r="S15" s="256" t="n"/>
      <c r="T15" s="256" t="n"/>
      <c r="U15" s="256" t="n"/>
      <c r="V15" s="256" t="n"/>
      <c r="W15" s="256" t="n"/>
      <c r="X15" s="256" t="n"/>
      <c r="Y15" s="256" t="n"/>
      <c r="Z15" s="257" t="n"/>
      <c r="AA15" s="256" t="n"/>
      <c r="AB15" s="256" t="n"/>
      <c r="AC15" s="256" t="n"/>
      <c r="AD15" s="256" t="n"/>
      <c r="AE15" s="256" t="n"/>
      <c r="AF15" s="256" t="n"/>
      <c r="AG15" s="261" t="n"/>
      <c r="AH15" s="259">
        <f>SUM(B15:AG15)</f>
        <v/>
      </c>
    </row>
    <row r="16">
      <c r="A16" t="inlineStr">
        <is>
          <t>Sandwell MBC - Supported Living</t>
        </is>
      </c>
      <c r="B16" s="256" t="n"/>
      <c r="C16" s="256" t="n"/>
      <c r="D16" s="256" t="n"/>
      <c r="E16" s="256" t="n"/>
      <c r="F16" s="256" t="n"/>
      <c r="G16" s="256" t="n"/>
      <c r="H16" s="256" t="n"/>
      <c r="I16" s="256" t="n">
        <v>130398</v>
      </c>
      <c r="J16" s="256" t="n"/>
      <c r="K16" s="256" t="n"/>
      <c r="L16" s="256" t="n"/>
      <c r="M16" s="256" t="n"/>
      <c r="N16" s="256" t="n"/>
      <c r="O16" s="256" t="n"/>
      <c r="P16" s="256" t="n"/>
      <c r="Q16" s="256" t="n"/>
      <c r="R16" s="256" t="n"/>
      <c r="S16" s="256" t="n"/>
      <c r="T16" s="256" t="n"/>
      <c r="U16" s="256" t="n"/>
      <c r="V16" s="256" t="n"/>
      <c r="W16" s="256" t="n">
        <v>130398</v>
      </c>
      <c r="X16" s="256" t="n"/>
      <c r="Y16" s="256" t="n"/>
      <c r="Z16" s="257" t="n"/>
      <c r="AA16" s="256" t="n"/>
      <c r="AB16" s="256" t="n"/>
      <c r="AC16" s="256" t="n"/>
      <c r="AD16" s="256" t="n"/>
      <c r="AE16" s="256" t="n"/>
      <c r="AF16" s="256" t="n"/>
      <c r="AG16" s="256" t="n"/>
      <c r="AH16" s="259">
        <f>SUM(B16:AG16)</f>
        <v/>
      </c>
    </row>
    <row r="17" customFormat="1" s="255">
      <c r="A17" t="inlineStr">
        <is>
          <t>Solihull MBC - Supported Living</t>
        </is>
      </c>
      <c r="B17" s="256" t="n">
        <v>33031.6</v>
      </c>
      <c r="C17" s="256" t="n"/>
      <c r="D17" s="256" t="n"/>
      <c r="E17" s="256" t="n"/>
      <c r="F17" s="256" t="n"/>
      <c r="G17" s="256" t="n"/>
      <c r="H17" s="256" t="n"/>
      <c r="I17" s="256" t="n"/>
      <c r="J17" s="256" t="n"/>
      <c r="K17" s="256" t="n"/>
      <c r="L17" s="256" t="n"/>
      <c r="M17" s="256" t="n"/>
      <c r="N17" s="256" t="n"/>
      <c r="O17" s="256" t="n"/>
      <c r="P17" s="256" t="n"/>
      <c r="Q17" s="256" t="n"/>
      <c r="R17" s="256" t="n"/>
      <c r="S17" s="256" t="n"/>
      <c r="T17" s="256" t="n"/>
      <c r="U17" s="256" t="n"/>
      <c r="V17" s="256" t="n"/>
      <c r="W17" s="256" t="n"/>
      <c r="X17" s="256" t="n"/>
      <c r="Y17" s="256" t="n"/>
      <c r="Z17" s="257" t="n"/>
      <c r="AA17" s="256" t="n"/>
      <c r="AB17" s="256" t="n"/>
      <c r="AC17" s="256" t="n"/>
      <c r="AD17" s="256" t="n">
        <v>33031.6</v>
      </c>
      <c r="AE17" s="256" t="n"/>
      <c r="AF17" s="256" t="n"/>
      <c r="AG17" s="256" t="n"/>
      <c r="AH17" s="259">
        <f>SUM(B17:AG17)</f>
        <v/>
      </c>
    </row>
    <row r="18">
      <c r="A18" t="inlineStr">
        <is>
          <t>Walsall - Supported Living</t>
        </is>
      </c>
      <c r="B18" s="256" t="n"/>
      <c r="C18" s="256" t="n"/>
      <c r="D18" s="256" t="n"/>
      <c r="E18" s="256" t="n"/>
      <c r="F18" s="256" t="n"/>
      <c r="G18" s="256" t="n"/>
      <c r="H18" s="256" t="n"/>
      <c r="I18" s="256" t="n"/>
      <c r="J18" s="256" t="n"/>
      <c r="K18" s="256" t="n"/>
      <c r="L18" s="256" t="n"/>
      <c r="M18" s="256" t="n"/>
      <c r="N18" s="256" t="n"/>
      <c r="O18" s="256" t="n"/>
      <c r="P18" s="256" t="n"/>
      <c r="Q18" s="256" t="n">
        <v>321652.13</v>
      </c>
      <c r="R18" s="256" t="n"/>
      <c r="S18" s="256" t="n"/>
      <c r="T18" s="256" t="n"/>
      <c r="U18" s="256" t="n"/>
      <c r="V18" s="256" t="n"/>
      <c r="W18" s="256" t="n"/>
      <c r="X18" s="256" t="n"/>
      <c r="Y18" s="256" t="n"/>
      <c r="Z18" s="257" t="n"/>
      <c r="AA18" s="256" t="n"/>
      <c r="AB18" s="256" t="n"/>
      <c r="AC18" s="256" t="n"/>
      <c r="AD18" s="256" t="n"/>
      <c r="AE18" s="256" t="n"/>
      <c r="AF18" s="256" t="n"/>
      <c r="AG18" s="256" t="n"/>
      <c r="AH18" s="259">
        <f>SUM(B18:AG18)</f>
        <v/>
      </c>
    </row>
    <row r="19">
      <c r="A19" t="inlineStr">
        <is>
          <t>Wolverhampton - Supported Living</t>
        </is>
      </c>
      <c r="B19" s="256" t="n"/>
      <c r="C19" s="256" t="n"/>
      <c r="D19" s="256" t="n"/>
      <c r="E19" s="256" t="n">
        <v>129664.31</v>
      </c>
      <c r="F19" s="256" t="n"/>
      <c r="G19" s="256" t="n"/>
      <c r="H19" s="256" t="n"/>
      <c r="I19" s="256" t="n"/>
      <c r="J19" s="256" t="n"/>
      <c r="K19" s="256" t="n"/>
      <c r="L19" s="256" t="n">
        <v>129664.31</v>
      </c>
      <c r="M19" s="256" t="n"/>
      <c r="N19" s="256" t="n"/>
      <c r="O19" s="256" t="n"/>
      <c r="P19" s="256" t="n"/>
      <c r="Q19" s="256" t="n"/>
      <c r="R19" s="256" t="n"/>
      <c r="S19" s="256" t="n">
        <v>129664.31</v>
      </c>
      <c r="T19" s="256" t="n"/>
      <c r="U19" s="256" t="n"/>
      <c r="V19" s="256" t="n"/>
      <c r="W19" s="256" t="n"/>
      <c r="X19" s="256" t="n"/>
      <c r="Y19" s="256" t="n"/>
      <c r="Z19" s="260" t="n">
        <v>129664.31</v>
      </c>
      <c r="AA19" s="256" t="n"/>
      <c r="AB19" s="256" t="n"/>
      <c r="AC19" s="256" t="n"/>
      <c r="AD19" s="256" t="n"/>
      <c r="AE19" s="256" t="n"/>
      <c r="AF19" s="256" t="n"/>
      <c r="AG19" s="256" t="n"/>
      <c r="AH19" s="259">
        <f>SUM(B19:AG19)-Z19</f>
        <v/>
      </c>
    </row>
    <row r="20">
      <c r="A20" t="inlineStr">
        <is>
          <t>People Plus - Direct Payments</t>
        </is>
      </c>
      <c r="B20" s="256" t="n"/>
      <c r="C20" s="256" t="n"/>
      <c r="D20" s="256" t="n"/>
      <c r="E20" s="256" t="n"/>
      <c r="F20" s="256" t="n"/>
      <c r="G20" s="256" t="n"/>
      <c r="H20" s="256" t="n"/>
      <c r="I20" s="256" t="n"/>
      <c r="J20" s="256" t="n"/>
      <c r="K20" s="256" t="n"/>
      <c r="L20" s="256" t="n"/>
      <c r="M20" s="256" t="n"/>
      <c r="N20" s="256" t="n"/>
      <c r="O20" s="256" t="n"/>
      <c r="P20" s="256" t="n">
        <v>11128</v>
      </c>
      <c r="Q20" s="256" t="n"/>
      <c r="R20" s="256" t="n"/>
      <c r="S20" s="256" t="n"/>
      <c r="T20" s="256" t="n"/>
      <c r="U20" s="256" t="n"/>
      <c r="V20" s="256" t="n"/>
      <c r="W20" s="256" t="n"/>
      <c r="X20" s="256" t="n"/>
      <c r="Y20" s="256" t="n"/>
      <c r="Z20" s="257" t="n"/>
      <c r="AA20" s="256" t="n"/>
      <c r="AB20" s="256" t="n"/>
      <c r="AC20" s="256" t="n"/>
      <c r="AD20" s="256" t="n"/>
      <c r="AE20" s="256" t="n"/>
      <c r="AF20" s="256" t="n"/>
      <c r="AG20" s="256" t="n">
        <v>11592</v>
      </c>
      <c r="AH20" s="259">
        <f>SUM(B20:AG20)</f>
        <v/>
      </c>
    </row>
    <row r="21">
      <c r="A21" t="inlineStr">
        <is>
          <t>Middlesbrough - Supported Living</t>
        </is>
      </c>
      <c r="B21" s="256" t="n"/>
      <c r="C21" s="256" t="n"/>
      <c r="D21" s="256" t="n"/>
      <c r="E21" s="256" t="n"/>
      <c r="F21" s="256" t="n">
        <v>6115.4</v>
      </c>
      <c r="G21" s="256" t="n"/>
      <c r="H21" s="256" t="n"/>
      <c r="I21" s="256" t="n"/>
      <c r="J21" s="256" t="n"/>
      <c r="K21" s="256" t="n"/>
      <c r="L21" s="256" t="n"/>
      <c r="M21" s="256" t="n"/>
      <c r="N21" s="256" t="n"/>
      <c r="O21" s="256" t="n"/>
      <c r="P21" s="256" t="n"/>
      <c r="Q21" s="256" t="n"/>
      <c r="R21" s="256" t="n"/>
      <c r="S21" s="256" t="n"/>
      <c r="T21" s="256" t="n"/>
      <c r="U21" s="256" t="n"/>
      <c r="V21" s="256" t="n"/>
      <c r="W21" s="256" t="n"/>
      <c r="X21" s="256" t="n"/>
      <c r="Y21" s="256" t="n"/>
      <c r="Z21" s="257" t="n"/>
      <c r="AA21" s="256" t="n"/>
      <c r="AB21" s="256" t="n"/>
      <c r="AC21" s="256" t="n"/>
      <c r="AD21" s="256" t="n"/>
      <c r="AE21" s="256" t="n"/>
      <c r="AF21" s="256" t="n"/>
      <c r="AG21" s="12" t="n"/>
      <c r="AH21" s="259">
        <f>SUM(B21:AG21)</f>
        <v/>
      </c>
    </row>
    <row r="22">
      <c r="A22" s="1" t="inlineStr">
        <is>
          <t>CHASING</t>
        </is>
      </c>
      <c r="B22" s="258" t="n"/>
      <c r="C22" s="258" t="n"/>
      <c r="D22" s="258" t="n"/>
      <c r="E22" s="258" t="n"/>
      <c r="F22" s="258" t="n"/>
      <c r="G22" s="258" t="n"/>
      <c r="H22" s="258" t="n"/>
      <c r="I22" s="258" t="n"/>
      <c r="J22" s="258" t="n"/>
      <c r="K22" s="258" t="n"/>
      <c r="L22" s="258" t="n"/>
      <c r="M22" s="258" t="n"/>
      <c r="N22" s="258" t="n"/>
      <c r="O22" s="258" t="n"/>
      <c r="P22" s="258" t="n"/>
      <c r="Q22" s="258" t="n"/>
      <c r="R22" s="258" t="n"/>
      <c r="S22" s="258" t="n"/>
      <c r="T22" s="258" t="n"/>
      <c r="U22" s="258" t="n"/>
      <c r="V22" s="258" t="n"/>
      <c r="W22" s="258" t="n"/>
      <c r="X22" s="258" t="n"/>
      <c r="Y22" s="258" t="n"/>
      <c r="Z22" s="262" t="n"/>
      <c r="AA22" s="258" t="n"/>
      <c r="AB22" s="258" t="n"/>
      <c r="AC22" s="258" t="n"/>
      <c r="AD22" s="258" t="n"/>
      <c r="AE22" s="258" t="n"/>
      <c r="AF22" s="258" t="n"/>
      <c r="AG22" s="12" t="n">
        <v>30000</v>
      </c>
      <c r="AH22" s="259">
        <f>SUM(B22:AG22)</f>
        <v/>
      </c>
    </row>
    <row r="23">
      <c r="A23" t="inlineStr">
        <is>
          <t>HB and SC</t>
        </is>
      </c>
      <c r="B23" s="12" t="n">
        <v>4000</v>
      </c>
      <c r="C23" s="12" t="n">
        <v>4000</v>
      </c>
      <c r="D23" s="12" t="n">
        <v>4000</v>
      </c>
      <c r="E23" s="12" t="n">
        <v>4000</v>
      </c>
      <c r="F23" s="12" t="n">
        <v>4000</v>
      </c>
      <c r="G23" s="12" t="n">
        <v>4000</v>
      </c>
      <c r="H23" s="12" t="n">
        <v>4000</v>
      </c>
      <c r="I23" s="12" t="n">
        <v>4000</v>
      </c>
      <c r="J23" s="12" t="n">
        <v>4000</v>
      </c>
      <c r="K23" s="12" t="n">
        <v>4000</v>
      </c>
      <c r="L23" s="12" t="n">
        <v>4000</v>
      </c>
      <c r="M23" s="12" t="n">
        <v>4000</v>
      </c>
      <c r="N23" s="12" t="n">
        <v>4000</v>
      </c>
      <c r="O23" s="12" t="n">
        <v>4000</v>
      </c>
      <c r="P23" s="12" t="n">
        <v>4000</v>
      </c>
      <c r="Q23" s="12" t="n">
        <v>4000</v>
      </c>
      <c r="R23" s="12" t="n">
        <v>4000</v>
      </c>
      <c r="S23" s="12" t="n">
        <v>4000</v>
      </c>
      <c r="T23" s="12" t="n">
        <v>4000</v>
      </c>
      <c r="U23" s="12" t="n">
        <v>4000</v>
      </c>
      <c r="V23" s="12" t="n">
        <v>4000</v>
      </c>
      <c r="W23" s="12" t="n">
        <v>4000</v>
      </c>
      <c r="X23" s="12" t="n">
        <v>4000</v>
      </c>
      <c r="Y23" s="12" t="n">
        <v>4000</v>
      </c>
      <c r="Z23" s="33" t="n">
        <v>4000</v>
      </c>
      <c r="AA23" s="12" t="n">
        <v>4000</v>
      </c>
      <c r="AB23" s="12" t="n">
        <v>4000</v>
      </c>
      <c r="AC23" s="12" t="n">
        <v>4000</v>
      </c>
      <c r="AD23" s="12" t="n">
        <v>4000</v>
      </c>
      <c r="AE23" s="12" t="n">
        <v>4000</v>
      </c>
      <c r="AF23" s="12" t="n">
        <v>4000</v>
      </c>
      <c r="AG23" s="12" t="n"/>
      <c r="AH23" s="259">
        <f>SUM(B23:AG23)-Z23</f>
        <v/>
      </c>
    </row>
    <row r="24">
      <c r="AH24" s="259">
        <f>SUM(AH3:AH23)</f>
        <v/>
      </c>
    </row>
    <row r="26">
      <c r="A26" s="1" t="n"/>
      <c r="B26" s="214" t="inlineStr">
        <is>
          <t>Monday</t>
        </is>
      </c>
      <c r="C26" s="214" t="inlineStr">
        <is>
          <t>Tuesday</t>
        </is>
      </c>
      <c r="D26" s="214" t="inlineStr">
        <is>
          <t>Wednesday</t>
        </is>
      </c>
      <c r="E26" s="214" t="inlineStr">
        <is>
          <t>Thursday</t>
        </is>
      </c>
      <c r="F26" s="214" t="inlineStr">
        <is>
          <t>Friday</t>
        </is>
      </c>
      <c r="G26" s="214" t="inlineStr">
        <is>
          <t>Saturday</t>
        </is>
      </c>
      <c r="H26" s="214" t="inlineStr">
        <is>
          <t>Sunday</t>
        </is>
      </c>
      <c r="I26" s="214" t="inlineStr">
        <is>
          <t>Monday</t>
        </is>
      </c>
      <c r="J26" s="214" t="inlineStr">
        <is>
          <t>Tuesday</t>
        </is>
      </c>
      <c r="K26" s="214" t="inlineStr">
        <is>
          <t>Wednesday</t>
        </is>
      </c>
      <c r="L26" s="214" t="inlineStr">
        <is>
          <t>Thursday</t>
        </is>
      </c>
      <c r="M26" s="214" t="inlineStr">
        <is>
          <t>Friday</t>
        </is>
      </c>
      <c r="N26" s="214" t="inlineStr">
        <is>
          <t>Saturday</t>
        </is>
      </c>
      <c r="O26" s="214" t="inlineStr">
        <is>
          <t>Sunday</t>
        </is>
      </c>
      <c r="P26" s="214" t="inlineStr">
        <is>
          <t>Monday</t>
        </is>
      </c>
      <c r="Q26" s="214" t="inlineStr">
        <is>
          <t>Tuesday</t>
        </is>
      </c>
      <c r="R26" s="214" t="inlineStr">
        <is>
          <t>Wednesday</t>
        </is>
      </c>
      <c r="S26" s="214" t="inlineStr">
        <is>
          <t>Thursday</t>
        </is>
      </c>
      <c r="T26" s="214" t="inlineStr">
        <is>
          <t>Friday</t>
        </is>
      </c>
      <c r="U26" s="214" t="inlineStr">
        <is>
          <t>Saturday</t>
        </is>
      </c>
      <c r="V26" s="214" t="inlineStr">
        <is>
          <t>Sunday</t>
        </is>
      </c>
      <c r="W26" s="214" t="inlineStr">
        <is>
          <t>Monday</t>
        </is>
      </c>
      <c r="X26" s="214" t="inlineStr">
        <is>
          <t>Tuesday</t>
        </is>
      </c>
      <c r="Y26" s="214" t="inlineStr">
        <is>
          <t>Wednesday</t>
        </is>
      </c>
      <c r="Z26" s="214" t="inlineStr">
        <is>
          <t>Thursday</t>
        </is>
      </c>
      <c r="AA26" s="214" t="inlineStr">
        <is>
          <t>Friday</t>
        </is>
      </c>
      <c r="AB26" s="214" t="inlineStr">
        <is>
          <t>Saturday</t>
        </is>
      </c>
      <c r="AC26" s="214" t="inlineStr">
        <is>
          <t>Sunday</t>
        </is>
      </c>
      <c r="AD26" s="214" t="inlineStr">
        <is>
          <t>Monday</t>
        </is>
      </c>
      <c r="AE26" s="214" t="inlineStr">
        <is>
          <t>Tuesday</t>
        </is>
      </c>
      <c r="AF26" s="214" t="inlineStr">
        <is>
          <t>Wednesday</t>
        </is>
      </c>
      <c r="AG26" s="214" t="inlineStr">
        <is>
          <t>Adjustments</t>
        </is>
      </c>
      <c r="AH26" s="171" t="inlineStr">
        <is>
          <t>Total</t>
        </is>
      </c>
    </row>
    <row r="27">
      <c r="A27" s="1" t="n"/>
      <c r="B27" s="217" t="n">
        <v>45992</v>
      </c>
      <c r="C27" s="217" t="n">
        <v>45993</v>
      </c>
      <c r="D27" s="217" t="n">
        <v>45994</v>
      </c>
      <c r="E27" s="217" t="n">
        <v>45995</v>
      </c>
      <c r="F27" s="217" t="n">
        <v>45996</v>
      </c>
      <c r="G27" s="217" t="n">
        <v>45997</v>
      </c>
      <c r="H27" s="217" t="n">
        <v>45998</v>
      </c>
      <c r="I27" s="218" t="n">
        <v>45999</v>
      </c>
      <c r="J27" s="218" t="n">
        <v>46000</v>
      </c>
      <c r="K27" s="218" t="n">
        <v>46001</v>
      </c>
      <c r="L27" s="218" t="n">
        <v>46002</v>
      </c>
      <c r="M27" s="218" t="n">
        <v>46003</v>
      </c>
      <c r="N27" s="218" t="n">
        <v>46004</v>
      </c>
      <c r="O27" s="218" t="n">
        <v>46005</v>
      </c>
      <c r="P27" s="219" t="n">
        <v>46006</v>
      </c>
      <c r="Q27" s="219" t="n">
        <v>46007</v>
      </c>
      <c r="R27" s="219" t="n">
        <v>46008</v>
      </c>
      <c r="S27" s="219" t="n">
        <v>46009</v>
      </c>
      <c r="T27" s="219" t="n">
        <v>46010</v>
      </c>
      <c r="U27" s="219" t="n">
        <v>46011</v>
      </c>
      <c r="V27" s="219" t="n">
        <v>46012</v>
      </c>
      <c r="W27" s="220" t="n">
        <v>46013</v>
      </c>
      <c r="X27" s="220" t="n">
        <v>46014</v>
      </c>
      <c r="Y27" s="220" t="n">
        <v>46015</v>
      </c>
      <c r="Z27" s="220" t="n">
        <v>46016</v>
      </c>
      <c r="AA27" s="220" t="n">
        <v>46017</v>
      </c>
      <c r="AB27" s="220" t="n">
        <v>46018</v>
      </c>
      <c r="AC27" s="220" t="n">
        <v>46019</v>
      </c>
      <c r="AD27" s="221" t="n">
        <v>46020</v>
      </c>
      <c r="AE27" s="221" t="n">
        <v>46021</v>
      </c>
      <c r="AF27" s="221" t="n">
        <v>46022</v>
      </c>
      <c r="AG27" s="223" t="n"/>
      <c r="AH27" s="215" t="n"/>
    </row>
    <row r="28">
      <c r="A28" t="inlineStr">
        <is>
          <t>Birmingham City Council  Supported Living</t>
        </is>
      </c>
      <c r="B28" s="263" t="n"/>
      <c r="C28" s="263" t="n"/>
      <c r="D28" s="263" t="n"/>
      <c r="E28" s="31" t="n"/>
      <c r="F28" s="31" t="n"/>
      <c r="G28" s="31" t="n"/>
      <c r="H28" s="263" t="n"/>
      <c r="I28" s="31" t="n">
        <v>59419.08</v>
      </c>
      <c r="J28" s="263" t="n"/>
      <c r="K28" s="263" t="n"/>
      <c r="L28" t="n">
        <v>6083.28</v>
      </c>
      <c r="N28" s="256" t="n"/>
      <c r="O28" s="256" t="n"/>
      <c r="P28" s="256" t="n"/>
      <c r="Q28" s="256" t="n"/>
      <c r="R28" s="256" t="n"/>
      <c r="S28" s="256" t="n"/>
      <c r="T28" s="256" t="n"/>
      <c r="U28" s="256" t="n"/>
      <c r="V28" s="256" t="n"/>
      <c r="W28" s="256" t="n"/>
      <c r="X28" s="256" t="n"/>
      <c r="Y28" s="256" t="n"/>
      <c r="Z28" s="257" t="n"/>
      <c r="AA28" s="256" t="n"/>
      <c r="AB28" s="256" t="n"/>
      <c r="AC28" s="256" t="n"/>
      <c r="AD28" s="256" t="n"/>
      <c r="AE28" s="256" t="n"/>
      <c r="AF28" s="256" t="n"/>
      <c r="AG28" s="258" t="n">
        <v>626.54</v>
      </c>
      <c r="AH28" s="259">
        <f>SUM(B28:AG28)</f>
        <v/>
      </c>
    </row>
    <row r="29">
      <c r="A29" t="inlineStr">
        <is>
          <t>Haringey</t>
        </is>
      </c>
      <c r="B29" s="263" t="n"/>
      <c r="C29" s="263" t="n"/>
      <c r="D29" s="263" t="n"/>
      <c r="E29" s="263" t="n"/>
      <c r="F29" s="263" t="n"/>
      <c r="G29" s="263" t="n"/>
      <c r="H29" s="263" t="n"/>
      <c r="I29" s="263" t="n"/>
      <c r="J29" s="263" t="n"/>
      <c r="K29" s="263" t="n"/>
      <c r="L29" s="263" t="n"/>
      <c r="M29" s="256" t="n"/>
      <c r="N29" s="256" t="n"/>
      <c r="O29" s="256" t="n"/>
      <c r="P29" s="256" t="n"/>
      <c r="Q29" s="256" t="n"/>
      <c r="R29" s="256" t="n"/>
      <c r="S29" s="256" t="n"/>
      <c r="T29" s="256" t="n"/>
      <c r="U29" s="256" t="n"/>
      <c r="V29" s="256" t="n"/>
      <c r="W29" s="256" t="n"/>
      <c r="X29" s="256" t="n"/>
      <c r="Y29" s="256" t="n"/>
      <c r="Z29" s="257" t="n"/>
      <c r="AA29" s="256" t="n"/>
      <c r="AB29" s="256" t="n"/>
      <c r="AC29" s="256" t="n"/>
      <c r="AD29" s="256" t="n"/>
      <c r="AE29" s="256" t="n"/>
      <c r="AF29" s="256" t="n"/>
      <c r="AG29" s="12" t="n">
        <v>3692</v>
      </c>
      <c r="AH29" s="259">
        <f>SUM(B29:AG29)</f>
        <v/>
      </c>
    </row>
    <row r="30">
      <c r="A30" t="inlineStr">
        <is>
          <t>Sandwell MBC  Respite</t>
        </is>
      </c>
      <c r="B30" s="263" t="n"/>
      <c r="C30" s="263" t="n"/>
      <c r="D30" s="263" t="n"/>
      <c r="E30" s="263" t="n"/>
      <c r="F30" s="263" t="n"/>
      <c r="G30" s="263" t="n"/>
      <c r="H30" s="263" t="n"/>
      <c r="I30" s="263" t="n"/>
      <c r="J30" s="263" t="n"/>
      <c r="K30" s="263" t="n"/>
      <c r="L30" s="263" t="n"/>
      <c r="M30" s="256" t="n"/>
      <c r="N30" s="256" t="n"/>
      <c r="O30" s="256" t="n"/>
      <c r="P30" s="256" t="n"/>
      <c r="Q30" s="256" t="n"/>
      <c r="R30" s="256" t="n"/>
      <c r="S30" s="256" t="n"/>
      <c r="T30" s="256" t="n"/>
      <c r="U30" s="256" t="n"/>
      <c r="V30" s="256" t="n"/>
      <c r="X30" s="256" t="n"/>
      <c r="Y30" s="256" t="n"/>
      <c r="Z30" s="257" t="n"/>
      <c r="AA30" s="256" t="n"/>
      <c r="AB30" s="256" t="n"/>
      <c r="AC30" s="256" t="n"/>
      <c r="AD30" s="256" t="n"/>
      <c r="AE30" s="256" t="n"/>
      <c r="AF30" s="256" t="n"/>
      <c r="AG30" s="12" t="n"/>
      <c r="AH30" s="259">
        <f>SUM(B30:AG30)</f>
        <v/>
      </c>
    </row>
    <row r="31">
      <c r="A31" t="inlineStr">
        <is>
          <t>Sandwell MBC  Daycare</t>
        </is>
      </c>
      <c r="B31" s="263" t="n"/>
      <c r="C31" s="263" t="n"/>
      <c r="D31" s="263" t="n"/>
      <c r="E31" s="31" t="n">
        <v>12699.76</v>
      </c>
      <c r="F31" s="31" t="n">
        <v>1523.2</v>
      </c>
      <c r="G31" s="263" t="n"/>
      <c r="H31" s="263" t="n"/>
      <c r="I31" s="263" t="n"/>
      <c r="J31" s="263" t="n"/>
      <c r="K31" s="263" t="n"/>
      <c r="L31" s="263" t="n"/>
      <c r="N31" s="256" t="n"/>
      <c r="O31" s="256" t="n"/>
      <c r="P31" s="256" t="n"/>
      <c r="Q31" s="256" t="n"/>
      <c r="R31" s="256" t="n"/>
      <c r="S31" t="n">
        <v>8350.4</v>
      </c>
      <c r="T31" s="256" t="n"/>
      <c r="U31" s="256" t="n"/>
      <c r="V31" s="256" t="n"/>
      <c r="W31" s="256" t="n"/>
      <c r="X31" s="256" t="n"/>
      <c r="Y31" s="256" t="n"/>
      <c r="Z31" s="257" t="n"/>
      <c r="AA31" s="256" t="n"/>
      <c r="AB31" s="256" t="n"/>
      <c r="AC31" s="256" t="n"/>
      <c r="AD31" s="256" t="n"/>
      <c r="AE31" s="256" t="n"/>
      <c r="AF31" s="256" t="n"/>
      <c r="AG31" s="12" t="n"/>
      <c r="AH31" s="259">
        <f>SUM(B31:AG31)</f>
        <v/>
      </c>
    </row>
    <row r="32">
      <c r="A32" t="inlineStr">
        <is>
          <t xml:space="preserve">Wolverhampton  Respite </t>
        </is>
      </c>
      <c r="B32" s="263" t="n"/>
      <c r="C32" s="263" t="n"/>
      <c r="D32" s="263" t="n"/>
      <c r="E32" s="263" t="n"/>
      <c r="F32" s="263" t="n"/>
      <c r="G32" s="263" t="n"/>
      <c r="H32" s="263" t="n"/>
      <c r="I32" s="263" t="n"/>
      <c r="J32" s="263" t="n"/>
      <c r="K32" s="263" t="n"/>
      <c r="L32" s="263" t="n"/>
      <c r="M32" s="263" t="n"/>
      <c r="N32" s="263" t="n"/>
      <c r="O32" s="263" t="n"/>
      <c r="P32" s="263" t="n"/>
      <c r="Q32" s="263" t="n"/>
      <c r="R32" s="263" t="n"/>
      <c r="S32" s="263" t="n"/>
      <c r="T32" s="263" t="n"/>
      <c r="U32" s="263" t="n"/>
      <c r="V32" s="263" t="n"/>
      <c r="W32" s="263" t="n"/>
      <c r="X32" s="256" t="n"/>
      <c r="Y32" s="256" t="n"/>
      <c r="Z32" s="257" t="n"/>
      <c r="AA32" s="256" t="n"/>
      <c r="AB32" s="256" t="n"/>
      <c r="AC32" s="256" t="n"/>
      <c r="AD32" s="256" t="n"/>
      <c r="AE32" s="256" t="n"/>
      <c r="AF32" s="256" t="n"/>
      <c r="AG32" s="12" t="n"/>
      <c r="AH32" s="259">
        <f>SUM(B32:AG32)</f>
        <v/>
      </c>
    </row>
    <row r="33">
      <c r="A33" t="inlineStr">
        <is>
          <t>Wolverhampton - Daycare</t>
        </is>
      </c>
      <c r="B33" s="263" t="n"/>
      <c r="C33" s="263" t="n"/>
      <c r="D33" s="263" t="n"/>
      <c r="E33" s="263" t="n">
        <v>5606.3</v>
      </c>
      <c r="F33" s="263" t="n"/>
      <c r="G33" s="263" t="n"/>
      <c r="H33" s="263" t="n"/>
      <c r="I33" s="263" t="n"/>
      <c r="J33" s="263" t="n"/>
      <c r="K33" s="263" t="n"/>
      <c r="L33" s="263" t="n">
        <v>5606.3</v>
      </c>
      <c r="M33" s="263" t="n"/>
      <c r="N33" s="263" t="n"/>
      <c r="O33" s="263" t="n"/>
      <c r="P33" s="263" t="n"/>
      <c r="Q33" s="263" t="n"/>
      <c r="R33" s="263" t="n"/>
      <c r="S33" s="263" t="n">
        <v>5606.3</v>
      </c>
      <c r="T33" s="263" t="n"/>
      <c r="U33" s="263" t="n"/>
      <c r="V33" s="263" t="n"/>
      <c r="W33" s="263" t="n"/>
      <c r="X33" s="256" t="n"/>
      <c r="Y33" s="256" t="n"/>
      <c r="Z33" s="260" t="n">
        <v>5606.3</v>
      </c>
      <c r="AA33" s="256" t="n"/>
      <c r="AB33" s="256" t="n"/>
      <c r="AC33" s="256" t="n"/>
      <c r="AD33" s="256" t="n"/>
      <c r="AE33" s="256" t="n"/>
      <c r="AF33" s="256" t="n"/>
      <c r="AG33" s="12" t="n"/>
      <c r="AH33" s="259">
        <f>SUM(B33:AG33)-Z33</f>
        <v/>
      </c>
    </row>
    <row r="34">
      <c r="A34" t="inlineStr">
        <is>
          <t>Walsall - Respite</t>
        </is>
      </c>
      <c r="B34" s="263" t="n"/>
      <c r="C34" s="263" t="n"/>
      <c r="D34" s="263" t="n"/>
      <c r="E34" s="263" t="n"/>
      <c r="F34" s="263" t="n"/>
      <c r="G34" s="263" t="n"/>
      <c r="H34" s="263" t="n"/>
      <c r="I34" s="263" t="n"/>
      <c r="J34" s="263" t="n"/>
      <c r="K34" s="263" t="n"/>
      <c r="L34" s="263" t="n"/>
      <c r="M34" s="263" t="n"/>
      <c r="N34" s="263" t="n"/>
      <c r="O34" s="263" t="n"/>
      <c r="P34" s="263" t="n"/>
      <c r="Q34" s="263" t="n">
        <v>14247.2</v>
      </c>
      <c r="R34" s="263" t="n"/>
      <c r="S34" s="263" t="n"/>
      <c r="T34" s="263" t="n"/>
      <c r="U34" s="263" t="n"/>
      <c r="V34" s="263" t="n"/>
      <c r="W34" s="263" t="n"/>
      <c r="X34" s="256" t="n"/>
      <c r="Y34" s="256" t="n"/>
      <c r="Z34" s="257" t="n"/>
      <c r="AA34" s="256" t="n"/>
      <c r="AB34" s="256" t="n"/>
      <c r="AC34" s="256" t="n"/>
      <c r="AD34" s="256" t="n"/>
      <c r="AE34" s="256" t="n"/>
      <c r="AF34" s="256" t="n"/>
      <c r="AG34" s="12" t="n"/>
      <c r="AH34" s="259">
        <f>SUM(B34:AG34)</f>
        <v/>
      </c>
    </row>
    <row r="35">
      <c r="A35" t="inlineStr">
        <is>
          <t>Walsall - Daycare</t>
        </is>
      </c>
      <c r="B35" s="263" t="n"/>
      <c r="C35" s="263" t="n"/>
      <c r="D35" s="263" t="n"/>
      <c r="E35" s="263" t="n"/>
      <c r="F35" s="263" t="n"/>
      <c r="G35" s="263" t="n"/>
      <c r="H35" s="263" t="n"/>
      <c r="I35" s="263" t="n"/>
      <c r="J35" s="263" t="n"/>
      <c r="K35" s="263" t="n"/>
      <c r="L35" s="263" t="n"/>
      <c r="M35" s="263" t="n"/>
      <c r="N35" s="263" t="n"/>
      <c r="O35" s="263" t="n"/>
      <c r="P35" s="263" t="n"/>
      <c r="Q35" s="263" t="n"/>
      <c r="R35" s="263" t="n"/>
      <c r="S35" s="263" t="n"/>
      <c r="T35" s="263" t="n"/>
      <c r="U35" s="263" t="n"/>
      <c r="V35" s="263" t="n"/>
      <c r="W35" s="263" t="n"/>
      <c r="X35" s="256" t="n"/>
      <c r="Y35" s="256" t="n"/>
      <c r="Z35" s="257" t="n"/>
      <c r="AA35" s="256" t="n"/>
      <c r="AB35" s="256" t="n"/>
      <c r="AC35" s="256" t="n"/>
      <c r="AD35" s="256" t="n"/>
      <c r="AE35" s="256" t="n"/>
      <c r="AF35" s="256" t="n"/>
      <c r="AG35" s="12" t="n"/>
      <c r="AH35" s="259">
        <f>SUM(B35:AG35)</f>
        <v/>
      </c>
    </row>
    <row r="36">
      <c r="A36" t="inlineStr">
        <is>
          <t>Ideal for All Ltd - Direct Payments</t>
        </is>
      </c>
      <c r="B36" s="263" t="n"/>
      <c r="C36" s="263" t="n"/>
      <c r="D36" s="263" t="n"/>
      <c r="E36" s="263" t="n"/>
      <c r="F36" s="263" t="n"/>
      <c r="G36" s="263" t="n"/>
      <c r="H36" s="263" t="n"/>
      <c r="I36" s="263" t="n"/>
      <c r="J36" s="263" t="n"/>
      <c r="K36" s="263" t="n"/>
      <c r="L36" s="263" t="n"/>
      <c r="M36" s="31" t="n">
        <v>3661.88</v>
      </c>
      <c r="N36" s="263" t="n"/>
      <c r="O36" s="263" t="n"/>
      <c r="P36" s="263" t="n"/>
      <c r="Q36" s="263" t="n"/>
      <c r="R36" s="263" t="n"/>
      <c r="S36" s="263" t="n"/>
      <c r="T36" s="263" t="n"/>
      <c r="U36" s="263" t="n"/>
      <c r="V36" s="263" t="n"/>
      <c r="W36" s="263" t="n"/>
      <c r="X36" s="256" t="n"/>
      <c r="Y36" s="256" t="n"/>
      <c r="Z36" s="257" t="n"/>
      <c r="AA36" s="256" t="n"/>
      <c r="AB36" s="256" t="n"/>
      <c r="AC36" s="256" t="n"/>
      <c r="AD36" s="256" t="n"/>
      <c r="AE36" s="256" t="n"/>
      <c r="AF36" s="256" t="n"/>
      <c r="AG36" s="12" t="n"/>
      <c r="AH36" s="259">
        <f>SUM(B36:AG36)</f>
        <v/>
      </c>
    </row>
    <row r="37">
      <c r="A37" t="inlineStr">
        <is>
          <t>Kirklees - Supported Living</t>
        </is>
      </c>
      <c r="B37" s="31" t="n">
        <v>18523.28</v>
      </c>
      <c r="C37" s="263" t="n"/>
      <c r="D37" s="263" t="n"/>
      <c r="E37" s="263" t="n"/>
      <c r="F37" s="263" t="n"/>
      <c r="G37" s="263" t="n"/>
      <c r="H37" s="263" t="n"/>
      <c r="I37" s="263" t="n"/>
      <c r="J37" s="263" t="n"/>
      <c r="K37" s="263" t="n"/>
      <c r="L37" s="263" t="n"/>
      <c r="M37" s="263" t="n"/>
      <c r="N37" s="263" t="n"/>
      <c r="O37" s="263" t="n"/>
      <c r="P37" s="263" t="n"/>
      <c r="Q37" s="263" t="n"/>
      <c r="R37" s="263" t="n"/>
      <c r="S37" s="263" t="n"/>
      <c r="T37" s="263" t="n"/>
      <c r="U37" s="263" t="n"/>
      <c r="V37" s="263" t="n"/>
      <c r="W37" s="263" t="n"/>
      <c r="X37" s="256" t="n"/>
      <c r="Y37" s="256" t="n"/>
      <c r="Z37" s="257" t="n"/>
      <c r="AA37" s="256" t="n"/>
      <c r="AB37" s="256" t="n"/>
      <c r="AC37" s="256" t="n"/>
      <c r="AD37" s="256" t="n"/>
      <c r="AE37" s="256" t="n"/>
      <c r="AF37" s="256" t="n"/>
      <c r="AG37" s="12" t="n"/>
      <c r="AH37" s="259">
        <f>SUM(B37:AG37)</f>
        <v/>
      </c>
    </row>
    <row r="38">
      <c r="A38" t="inlineStr">
        <is>
          <t>LB Hillingdon - Supported Living</t>
        </is>
      </c>
      <c r="B38" s="263" t="n"/>
      <c r="C38" s="263" t="n"/>
      <c r="D38" s="263" t="n"/>
      <c r="E38" s="263" t="n"/>
      <c r="F38" s="263" t="n"/>
      <c r="G38" s="263" t="n"/>
      <c r="H38" s="263" t="n"/>
      <c r="I38" s="263" t="n"/>
      <c r="J38" s="263" t="n"/>
      <c r="K38" s="263" t="n"/>
      <c r="L38" s="263" t="n"/>
      <c r="M38" s="263" t="n"/>
      <c r="N38" s="263" t="n"/>
      <c r="O38" s="263" t="n"/>
      <c r="P38" s="263" t="n"/>
      <c r="Q38" s="263" t="n"/>
      <c r="R38" s="263" t="n"/>
      <c r="S38" s="263" t="n"/>
      <c r="T38" s="263" t="n"/>
      <c r="U38" s="263" t="n"/>
      <c r="V38" s="263" t="n"/>
      <c r="W38" s="31" t="n"/>
      <c r="X38" s="256" t="n"/>
      <c r="Y38" t="n">
        <v>5203.8</v>
      </c>
      <c r="Z38" s="257" t="n"/>
      <c r="AA38" s="256" t="n"/>
      <c r="AB38" s="256" t="n"/>
      <c r="AC38" s="256" t="n"/>
      <c r="AD38" s="256" t="n"/>
      <c r="AE38" s="256" t="n"/>
      <c r="AF38" s="256" t="n"/>
      <c r="AG38" s="12" t="n"/>
      <c r="AH38" s="259">
        <f>SUM(B38:AG38)</f>
        <v/>
      </c>
    </row>
    <row r="39">
      <c r="A39" t="inlineStr">
        <is>
          <t>NHS Birmingham &amp; Solihull ICB</t>
        </is>
      </c>
      <c r="B39" s="263" t="n"/>
      <c r="C39" s="263" t="n"/>
      <c r="D39" s="263" t="n"/>
      <c r="E39" s="263" t="n"/>
      <c r="F39" s="263" t="n"/>
      <c r="G39" s="263" t="n"/>
      <c r="H39" s="263" t="n"/>
      <c r="I39" s="263" t="n"/>
      <c r="J39" s="263" t="n"/>
      <c r="K39" s="263" t="n"/>
      <c r="L39" s="263" t="n"/>
      <c r="M39" s="31" t="n"/>
      <c r="N39" s="263" t="n"/>
      <c r="O39" s="263" t="n"/>
      <c r="P39" s="263" t="n"/>
      <c r="Q39" s="31" t="n"/>
      <c r="R39" s="263" t="n"/>
      <c r="S39" s="263" t="n">
        <v>7562.1</v>
      </c>
      <c r="T39" s="263" t="n"/>
      <c r="U39" s="263" t="n"/>
      <c r="V39" s="263" t="n"/>
      <c r="W39" s="263" t="n"/>
      <c r="X39" s="256" t="n"/>
      <c r="Y39" s="256" t="n"/>
      <c r="Z39" s="257" t="n"/>
      <c r="AA39" s="256" t="n"/>
      <c r="AB39" s="256" t="n"/>
      <c r="AC39" s="256" t="n"/>
      <c r="AD39" s="256" t="n"/>
      <c r="AE39" s="256" t="n"/>
      <c r="AF39" s="256" t="n"/>
      <c r="AG39" s="258" t="n">
        <v>3778.48</v>
      </c>
      <c r="AH39" s="259">
        <f>SUM(B39:AG39)</f>
        <v/>
      </c>
    </row>
    <row r="40" customFormat="1" s="255">
      <c r="A40" t="inlineStr">
        <is>
          <t>NHS Black Country ICB</t>
        </is>
      </c>
      <c r="B40" s="264" t="n"/>
      <c r="C40" s="263" t="n"/>
      <c r="D40" s="263" t="n"/>
      <c r="E40" s="263" t="n"/>
      <c r="F40" s="263" t="n"/>
      <c r="G40" s="263" t="n"/>
      <c r="H40" s="263" t="n"/>
      <c r="I40" s="31" t="n">
        <v>11545.76</v>
      </c>
      <c r="J40" s="263" t="n"/>
      <c r="K40" s="263" t="n"/>
      <c r="L40" s="263" t="n"/>
      <c r="M40" s="263" t="n"/>
      <c r="N40" s="263" t="n"/>
      <c r="O40" s="263" t="n"/>
      <c r="P40" s="31" t="n">
        <v>15702.67</v>
      </c>
      <c r="Q40" s="263" t="n"/>
      <c r="R40" s="263" t="n"/>
      <c r="S40" s="263" t="n"/>
      <c r="T40" s="263" t="n"/>
      <c r="U40" s="263" t="n"/>
      <c r="V40" s="263" t="n"/>
      <c r="W40" s="263" t="n"/>
      <c r="X40" s="256" t="n"/>
      <c r="Y40" s="256" t="n"/>
      <c r="Z40" s="257" t="n"/>
      <c r="AA40" s="256" t="n"/>
      <c r="AB40" s="256" t="n"/>
      <c r="AC40" s="256" t="n"/>
      <c r="AD40" s="256" t="n"/>
      <c r="AE40" t="n">
        <v>1468.8</v>
      </c>
      <c r="AF40" s="256" t="n"/>
      <c r="AG40" s="261" t="n"/>
      <c r="AH40" s="259">
        <f>SUM(B40:AG40)</f>
        <v/>
      </c>
    </row>
    <row r="41">
      <c r="A41" t="inlineStr">
        <is>
          <t>Sandwell MBC - Supported Living</t>
        </is>
      </c>
      <c r="B41" s="263" t="n"/>
      <c r="C41" s="263" t="n"/>
      <c r="D41" s="263" t="n"/>
      <c r="E41" s="263" t="n"/>
      <c r="F41" s="263" t="n"/>
      <c r="G41" s="263" t="n"/>
      <c r="H41" s="263" t="n"/>
      <c r="I41" s="31" t="n">
        <v>100633.48</v>
      </c>
      <c r="J41" s="263" t="n"/>
      <c r="K41" s="263" t="n"/>
      <c r="L41" s="263" t="n"/>
      <c r="M41" s="31" t="n">
        <v>2888</v>
      </c>
      <c r="N41" s="263" t="n"/>
      <c r="O41" s="263" t="n"/>
      <c r="P41" s="263" t="n"/>
      <c r="Q41" s="263" t="n"/>
      <c r="R41" s="263" t="n"/>
      <c r="S41" s="263" t="n"/>
      <c r="T41" s="31" t="n">
        <v>131304.4</v>
      </c>
      <c r="U41" s="263" t="n"/>
      <c r="V41" s="263" t="n"/>
      <c r="W41" s="263" t="n"/>
      <c r="X41" s="256" t="n"/>
      <c r="Y41" s="256" t="n"/>
      <c r="Z41" s="257" t="n"/>
      <c r="AA41" s="256" t="n"/>
      <c r="AB41" s="256" t="n"/>
      <c r="AC41" s="256" t="n"/>
      <c r="AD41" s="256" t="n"/>
      <c r="AE41" s="256" t="n"/>
      <c r="AF41" s="256" t="n"/>
      <c r="AG41" s="256" t="n"/>
      <c r="AH41" s="259">
        <f>SUM(B41:AG41)</f>
        <v/>
      </c>
    </row>
    <row r="42" customFormat="1" s="255">
      <c r="A42" t="inlineStr">
        <is>
          <t>Solihull MBC - Supported Living</t>
        </is>
      </c>
      <c r="B42" s="31" t="n">
        <v>33031.6</v>
      </c>
      <c r="C42" s="263" t="n"/>
      <c r="D42" s="263" t="n"/>
      <c r="E42" s="263" t="n"/>
      <c r="F42" s="263" t="n"/>
      <c r="G42" s="263" t="n"/>
      <c r="H42" s="263" t="n"/>
      <c r="I42" s="263" t="n"/>
      <c r="J42" s="263" t="n"/>
      <c r="K42" s="263" t="n"/>
      <c r="L42" s="263" t="n"/>
      <c r="M42" s="263" t="n"/>
      <c r="N42" s="263" t="n"/>
      <c r="O42" s="263" t="n"/>
      <c r="P42" s="263" t="n"/>
      <c r="Q42" s="263" t="n"/>
      <c r="R42" s="263" t="n"/>
      <c r="S42" s="263" t="n"/>
      <c r="T42" s="263" t="n"/>
      <c r="U42" s="263" t="n"/>
      <c r="V42" s="263" t="n"/>
      <c r="W42" s="263" t="n"/>
      <c r="X42" s="256" t="n"/>
      <c r="Y42" s="256" t="n"/>
      <c r="Z42" s="257" t="n"/>
      <c r="AA42" s="256" t="n"/>
      <c r="AB42" s="256" t="n"/>
      <c r="AC42" s="256" t="n"/>
      <c r="AD42" s="256" t="n">
        <v>33031.6</v>
      </c>
      <c r="AE42" s="256" t="n"/>
      <c r="AF42" s="256" t="n"/>
      <c r="AG42" s="256" t="n"/>
      <c r="AH42" s="259">
        <f>SUM(B42:AG42)</f>
        <v/>
      </c>
    </row>
    <row r="43">
      <c r="A43" t="inlineStr">
        <is>
          <t>Walsall - Supported Living</t>
        </is>
      </c>
      <c r="B43" s="31" t="n">
        <v>1520</v>
      </c>
      <c r="C43" s="263" t="n"/>
      <c r="D43" s="263" t="n"/>
      <c r="E43" s="263" t="n"/>
      <c r="F43" s="263" t="n"/>
      <c r="G43" s="263" t="n"/>
      <c r="H43" s="263" t="n"/>
      <c r="I43" s="263" t="n"/>
      <c r="J43" s="263" t="n"/>
      <c r="K43" s="263" t="n"/>
      <c r="L43" s="263" t="n"/>
      <c r="M43" s="263" t="n"/>
      <c r="N43" s="263" t="n"/>
      <c r="O43" s="263" t="n"/>
      <c r="P43" s="263" t="n"/>
      <c r="Q43" s="263" t="n">
        <v>322405.46</v>
      </c>
      <c r="R43" s="263" t="n"/>
      <c r="S43" s="263" t="n"/>
      <c r="T43" s="263" t="n"/>
      <c r="U43" s="263" t="n"/>
      <c r="V43" s="263" t="n"/>
      <c r="W43" s="31" t="n">
        <v>1320</v>
      </c>
      <c r="X43" s="256" t="n"/>
      <c r="Y43" s="256" t="n"/>
      <c r="Z43" s="257" t="n"/>
      <c r="AA43" s="256" t="n"/>
      <c r="AB43" s="256" t="n"/>
      <c r="AC43" s="256" t="n"/>
      <c r="AD43" s="256" t="n"/>
      <c r="AE43" s="256" t="n"/>
      <c r="AF43" s="256" t="n"/>
      <c r="AG43" s="256" t="n"/>
      <c r="AH43" s="259">
        <f>SUM(B43:AG43)</f>
        <v/>
      </c>
    </row>
    <row r="44">
      <c r="A44" t="inlineStr">
        <is>
          <t>Wolverhampton - Supported Living</t>
        </is>
      </c>
      <c r="B44" s="263" t="n"/>
      <c r="C44" s="263" t="n"/>
      <c r="D44" s="263" t="n"/>
      <c r="E44" s="263" t="n">
        <v>131975.99</v>
      </c>
      <c r="F44" s="263" t="n"/>
      <c r="G44" s="263" t="n"/>
      <c r="H44" s="263" t="n"/>
      <c r="I44" s="263" t="n"/>
      <c r="J44" s="263" t="n"/>
      <c r="K44" s="263" t="n"/>
      <c r="L44" s="265" t="n">
        <v>131975.99</v>
      </c>
      <c r="M44" s="263" t="n"/>
      <c r="N44" s="263" t="n"/>
      <c r="O44" s="263" t="n"/>
      <c r="P44" s="263" t="n"/>
      <c r="Q44" s="263" t="n"/>
      <c r="R44" s="263" t="n"/>
      <c r="S44" s="263" t="n">
        <v>129664.31</v>
      </c>
      <c r="T44" s="263" t="n"/>
      <c r="U44" s="263" t="n"/>
      <c r="V44" s="263" t="n"/>
      <c r="W44" s="263" t="n"/>
      <c r="X44" s="256" t="n"/>
      <c r="Y44" s="256" t="n"/>
      <c r="Z44" s="260" t="n">
        <v>129664.31</v>
      </c>
      <c r="AA44" s="256" t="n"/>
      <c r="AB44" s="256" t="n"/>
      <c r="AC44" s="256" t="n"/>
      <c r="AD44" s="256" t="n"/>
      <c r="AE44" s="256" t="n"/>
      <c r="AF44" s="256" t="n"/>
      <c r="AG44" s="256" t="n"/>
      <c r="AH44" s="259">
        <f>SUM(B44:AG44)-Z44</f>
        <v/>
      </c>
    </row>
    <row r="45">
      <c r="A45" t="inlineStr">
        <is>
          <t>People Plus - Direct Payments</t>
        </is>
      </c>
      <c r="B45" s="263" t="n"/>
      <c r="C45" s="263" t="n"/>
      <c r="D45" s="263" t="n"/>
      <c r="E45" s="263" t="n"/>
      <c r="F45" s="31" t="n">
        <v>1640</v>
      </c>
      <c r="G45" s="263" t="n"/>
      <c r="H45" s="263" t="n"/>
      <c r="I45" s="263" t="n"/>
      <c r="J45" s="263" t="n"/>
      <c r="K45" s="263" t="n">
        <v>7824</v>
      </c>
      <c r="L45" s="263" t="n">
        <v>723.2</v>
      </c>
      <c r="M45" s="263" t="n"/>
      <c r="N45" s="263" t="n"/>
      <c r="O45" s="263" t="n"/>
      <c r="P45" s="263" t="n">
        <v>2888</v>
      </c>
      <c r="Q45" s="263" t="n"/>
      <c r="R45" s="263" t="n"/>
      <c r="S45" s="263" t="n"/>
      <c r="T45" s="263" t="n"/>
      <c r="U45" s="263" t="n"/>
      <c r="V45" s="263" t="n"/>
      <c r="W45" s="263" t="n"/>
      <c r="X45" s="256" t="n"/>
      <c r="Y45" s="256" t="n"/>
      <c r="Z45" s="257" t="n"/>
      <c r="AA45" s="256" t="n"/>
      <c r="AB45" s="256" t="n"/>
      <c r="AC45" s="256" t="n"/>
      <c r="AD45" s="256" t="n"/>
      <c r="AE45" s="256" t="n"/>
      <c r="AF45" s="256" t="n"/>
      <c r="AG45" s="256" t="n">
        <v>11592</v>
      </c>
      <c r="AH45" s="259">
        <f>SUM(B45:AG45)</f>
        <v/>
      </c>
    </row>
    <row r="46">
      <c r="A46" t="inlineStr">
        <is>
          <t>Middlesbrough - Supported Living</t>
        </is>
      </c>
      <c r="B46" s="263" t="n"/>
      <c r="C46" s="31" t="n">
        <v>6115.4</v>
      </c>
      <c r="D46" s="263" t="n"/>
      <c r="E46" s="263" t="n"/>
      <c r="F46" s="263" t="n"/>
      <c r="G46" s="263" t="n"/>
      <c r="H46" s="263" t="n"/>
      <c r="I46" s="263" t="n"/>
      <c r="J46" s="263" t="n"/>
      <c r="K46" s="263" t="n"/>
      <c r="L46" s="263" t="n"/>
      <c r="M46" s="31" t="n"/>
      <c r="N46" s="263" t="n"/>
      <c r="O46" s="263" t="n"/>
      <c r="P46" s="263" t="n"/>
      <c r="Q46" s="263" t="n"/>
      <c r="R46" s="263" t="n"/>
      <c r="S46" s="263" t="n"/>
      <c r="T46" s="263" t="n"/>
      <c r="U46" s="263" t="n"/>
      <c r="V46" s="263" t="n"/>
      <c r="W46" s="263" t="n"/>
      <c r="X46" s="256" t="n"/>
      <c r="Y46" s="256" t="n"/>
      <c r="Z46" s="257" t="n"/>
      <c r="AA46" s="256" t="n"/>
      <c r="AB46" s="256" t="n"/>
      <c r="AC46" s="256" t="n"/>
      <c r="AD46" s="256" t="n"/>
      <c r="AE46" t="n">
        <v>6115.4</v>
      </c>
      <c r="AF46" s="256" t="n"/>
      <c r="AG46" s="12" t="n"/>
      <c r="AH46" s="259">
        <f>SUM(B46:AG46)</f>
        <v/>
      </c>
    </row>
    <row r="47">
      <c r="A47" s="1" t="inlineStr">
        <is>
          <t>CHASING</t>
        </is>
      </c>
      <c r="B47" s="266" t="n"/>
      <c r="C47" s="266" t="n"/>
      <c r="D47" s="266" t="n"/>
      <c r="E47" s="266" t="n"/>
      <c r="F47" s="266" t="n"/>
      <c r="G47" s="266" t="n"/>
      <c r="H47" s="266" t="n"/>
      <c r="I47" s="266" t="n"/>
      <c r="J47" s="266" t="n">
        <v>1495.61</v>
      </c>
      <c r="K47" s="266" t="n"/>
      <c r="L47" s="266" t="n"/>
      <c r="M47" s="263" t="n">
        <v>5747.799999999999</v>
      </c>
      <c r="N47" s="266" t="n"/>
      <c r="O47" s="266" t="n"/>
      <c r="P47" s="266" t="n"/>
      <c r="Q47" s="266" t="n"/>
      <c r="R47" s="266" t="n"/>
      <c r="S47" s="266" t="n"/>
      <c r="T47" s="266" t="n"/>
      <c r="U47" s="266" t="n"/>
      <c r="V47" s="266" t="n"/>
      <c r="W47" s="266" t="n"/>
      <c r="X47" s="258" t="n"/>
      <c r="Y47" s="258" t="n"/>
      <c r="Z47" s="262" t="n"/>
      <c r="AA47" s="258" t="n"/>
      <c r="AB47" s="258" t="n"/>
      <c r="AC47" s="258" t="n"/>
      <c r="AD47" s="258" t="n"/>
      <c r="AE47" s="258" t="n"/>
      <c r="AF47" s="258" t="n"/>
      <c r="AG47" s="12" t="n">
        <v>30000</v>
      </c>
      <c r="AH47" s="259">
        <f>SUM(B47:AG47)</f>
        <v/>
      </c>
    </row>
    <row r="48">
      <c r="A48" t="inlineStr">
        <is>
          <t>HB and SC</t>
        </is>
      </c>
      <c r="B48" s="31" t="n">
        <v>20363.86999999999</v>
      </c>
      <c r="C48" s="31" t="n">
        <v>3069.440000000001</v>
      </c>
      <c r="D48" s="31" t="n">
        <v>5287.29</v>
      </c>
      <c r="E48" s="31" t="n">
        <v>2991.079999999994</v>
      </c>
      <c r="F48" s="31" t="n">
        <v>5733.199999999994</v>
      </c>
      <c r="G48" s="31" t="n">
        <v>250</v>
      </c>
      <c r="H48" s="31" t="n">
        <v>0</v>
      </c>
      <c r="I48" s="31" t="n">
        <v>8814.200000000026</v>
      </c>
      <c r="J48" s="31" t="n">
        <v>4764.57</v>
      </c>
      <c r="K48" s="31" t="n">
        <v>3971.630000000001</v>
      </c>
      <c r="L48" s="31" t="n">
        <v>3127.75000000001</v>
      </c>
      <c r="M48" s="31" t="n">
        <v>7270.790000000003</v>
      </c>
      <c r="N48" s="31" t="n">
        <v>50</v>
      </c>
      <c r="O48" s="31" t="n">
        <v>416.67</v>
      </c>
      <c r="P48" s="31" t="n">
        <v>8516.169999999998</v>
      </c>
      <c r="Q48" s="31" t="n">
        <v>4254.53</v>
      </c>
      <c r="R48" s="31" t="n">
        <v>9178.529999999999</v>
      </c>
      <c r="S48" s="31" t="n">
        <v>2690.059999999992</v>
      </c>
      <c r="T48" s="31" t="n">
        <v>4245.779999999999</v>
      </c>
      <c r="U48" s="31" t="n">
        <v>0</v>
      </c>
      <c r="V48" s="31" t="n">
        <v>695</v>
      </c>
      <c r="W48" s="31" t="n">
        <v>6719.580000000001</v>
      </c>
      <c r="X48" s="12" t="n">
        <v>6609.170000000001</v>
      </c>
      <c r="Y48" s="12" t="n">
        <v>3205.589999999999</v>
      </c>
      <c r="Z48" s="33" t="n">
        <v>478.17</v>
      </c>
      <c r="AA48" s="12" t="n">
        <v>0</v>
      </c>
      <c r="AB48" s="12" t="n">
        <v>880</v>
      </c>
      <c r="AC48" s="12" t="n">
        <v>0</v>
      </c>
      <c r="AD48" s="12" t="n">
        <v>17693.11</v>
      </c>
      <c r="AE48" s="12" t="n">
        <v>3822.759999999999</v>
      </c>
      <c r="AF48" s="12" t="n">
        <v>3304.87</v>
      </c>
      <c r="AG48" s="12" t="n"/>
      <c r="AH48" s="259">
        <f>SUM(B48:AG48)-Z48</f>
        <v/>
      </c>
    </row>
    <row r="49" ht="15.75" customHeight="1" thickBot="1">
      <c r="AH49" s="267">
        <f>SUM(AH28:AH48)</f>
        <v/>
      </c>
    </row>
    <row r="50" ht="15.75" customHeight="1" thickTop="1"/>
  </sheetData>
  <pageMargins left="0.7" right="0.7" top="0.75" bottom="0.75" header="0.3" footer="0.3"/>
  <pageSetup orientation="landscape" paperSize="8" scale="49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4">
    <outlinePr summaryBelow="1" summaryRight="1"/>
    <pageSetUpPr/>
  </sheetPr>
  <dimension ref="A1:AJ72"/>
  <sheetViews>
    <sheetView topLeftCell="A24" zoomScaleNormal="100" workbookViewId="0">
      <pane xSplit="1" topLeftCell="B1" activePane="topRight" state="frozen"/>
      <selection activeCell="A24" sqref="A24"/>
      <selection pane="topRight" activeCell="A38" sqref="A38:XFD38"/>
    </sheetView>
  </sheetViews>
  <sheetFormatPr baseColWidth="8" defaultRowHeight="15"/>
  <cols>
    <col width="42.85546875" bestFit="1" customWidth="1" min="1" max="1"/>
    <col width="11.5703125" bestFit="1" customWidth="1" min="2" max="2"/>
    <col width="12" bestFit="1" customWidth="1" min="3" max="7"/>
    <col width="13.140625" bestFit="1" customWidth="1" min="8" max="8"/>
    <col width="12" bestFit="1" customWidth="1" min="9" max="10"/>
    <col width="11.5703125" bestFit="1" customWidth="1" min="11" max="11"/>
    <col width="11.140625" bestFit="1" customWidth="1" min="12" max="12"/>
    <col width="11.5703125" bestFit="1" customWidth="1" min="13" max="14"/>
    <col width="13.140625" bestFit="1" customWidth="1" min="15" max="15"/>
    <col width="11.5703125" bestFit="1" customWidth="1" min="16" max="20"/>
    <col width="12" bestFit="1" customWidth="1" min="21" max="21"/>
    <col width="13.140625" bestFit="1" customWidth="1" min="22" max="22"/>
    <col width="12" bestFit="1" customWidth="1" min="23" max="28"/>
    <col width="13.140625" bestFit="1" customWidth="1" min="29" max="29"/>
    <col width="12" bestFit="1" customWidth="1" min="30" max="31"/>
    <col width="11.5703125" bestFit="1" customWidth="1" min="32" max="32"/>
    <col width="16.7109375" bestFit="1" customWidth="1" min="33" max="33"/>
    <col width="15.42578125" bestFit="1" customWidth="1" min="34" max="34"/>
    <col width="12.42578125" bestFit="1" customWidth="1" min="35" max="35"/>
    <col width="14.85546875" bestFit="1" customWidth="1" min="36" max="36"/>
  </cols>
  <sheetData>
    <row r="1" hidden="1">
      <c r="B1" s="214" t="inlineStr">
        <is>
          <t>Thursday</t>
        </is>
      </c>
      <c r="C1" s="214" t="inlineStr">
        <is>
          <t>Friday</t>
        </is>
      </c>
      <c r="D1" s="214" t="inlineStr">
        <is>
          <t>Saturday</t>
        </is>
      </c>
      <c r="E1" s="214" t="inlineStr">
        <is>
          <t>Sunday</t>
        </is>
      </c>
      <c r="F1" s="214" t="inlineStr">
        <is>
          <t>Monday</t>
        </is>
      </c>
      <c r="G1" s="214" t="inlineStr">
        <is>
          <t>Tuesday</t>
        </is>
      </c>
      <c r="H1" s="214" t="inlineStr">
        <is>
          <t>Wednesday</t>
        </is>
      </c>
      <c r="I1" s="214" t="inlineStr">
        <is>
          <t>Thursday</t>
        </is>
      </c>
      <c r="J1" s="214" t="inlineStr">
        <is>
          <t>Friday</t>
        </is>
      </c>
      <c r="K1" s="214" t="inlineStr">
        <is>
          <t>Saturday</t>
        </is>
      </c>
      <c r="L1" s="214" t="inlineStr">
        <is>
          <t>Sunday</t>
        </is>
      </c>
      <c r="M1" s="214" t="inlineStr">
        <is>
          <t>Monday</t>
        </is>
      </c>
      <c r="N1" s="214" t="inlineStr">
        <is>
          <t>Tuesday</t>
        </is>
      </c>
      <c r="O1" s="214" t="inlineStr">
        <is>
          <t>Wednesday</t>
        </is>
      </c>
      <c r="P1" s="214" t="inlineStr">
        <is>
          <t>Thursday</t>
        </is>
      </c>
      <c r="Q1" s="214" t="inlineStr">
        <is>
          <t>Friday</t>
        </is>
      </c>
      <c r="R1" s="214" t="inlineStr">
        <is>
          <t>Saturday</t>
        </is>
      </c>
      <c r="S1" s="214" t="inlineStr">
        <is>
          <t>Sunday</t>
        </is>
      </c>
      <c r="T1" s="214" t="inlineStr">
        <is>
          <t>Monday</t>
        </is>
      </c>
      <c r="U1" s="214" t="inlineStr">
        <is>
          <t>Tuesday</t>
        </is>
      </c>
      <c r="V1" s="214" t="inlineStr">
        <is>
          <t>Wednesday</t>
        </is>
      </c>
      <c r="W1" s="214" t="inlineStr">
        <is>
          <t>Thursday</t>
        </is>
      </c>
      <c r="X1" s="214" t="inlineStr">
        <is>
          <t>Friday</t>
        </is>
      </c>
      <c r="Y1" s="214" t="inlineStr">
        <is>
          <t>Saturday</t>
        </is>
      </c>
      <c r="Z1" s="214" t="inlineStr">
        <is>
          <t>Sunday</t>
        </is>
      </c>
      <c r="AA1" s="214" t="inlineStr">
        <is>
          <t>Monday</t>
        </is>
      </c>
      <c r="AB1" s="214" t="inlineStr">
        <is>
          <t>Tuesday</t>
        </is>
      </c>
      <c r="AC1" s="214" t="inlineStr">
        <is>
          <t>Wednesday</t>
        </is>
      </c>
      <c r="AD1" s="214" t="inlineStr">
        <is>
          <t>Thursday</t>
        </is>
      </c>
      <c r="AE1" s="214" t="inlineStr">
        <is>
          <t>Friday</t>
        </is>
      </c>
      <c r="AF1" s="214" t="inlineStr">
        <is>
          <t>Saturday</t>
        </is>
      </c>
      <c r="AG1" s="214" t="inlineStr">
        <is>
          <t>Adjustments</t>
        </is>
      </c>
      <c r="AH1" s="214" t="n"/>
      <c r="AI1" s="214" t="n"/>
      <c r="AJ1" s="171" t="inlineStr">
        <is>
          <t>Total</t>
        </is>
      </c>
    </row>
    <row r="2" hidden="1">
      <c r="B2" s="219" t="n">
        <v>46023</v>
      </c>
      <c r="C2" s="219" t="n">
        <v>46024</v>
      </c>
      <c r="D2" s="219" t="n">
        <v>46025</v>
      </c>
      <c r="E2" s="219" t="n">
        <v>46026</v>
      </c>
      <c r="F2" s="218" t="n">
        <v>46027</v>
      </c>
      <c r="G2" s="218" t="n">
        <v>46028</v>
      </c>
      <c r="H2" s="218" t="n">
        <v>46029</v>
      </c>
      <c r="I2" s="218" t="n">
        <v>46030</v>
      </c>
      <c r="J2" s="218" t="n">
        <v>46031</v>
      </c>
      <c r="K2" s="218" t="n">
        <v>46032</v>
      </c>
      <c r="L2" s="218" t="n">
        <v>46033</v>
      </c>
      <c r="M2" s="221" t="n">
        <v>46034</v>
      </c>
      <c r="N2" s="221" t="n">
        <v>46035</v>
      </c>
      <c r="O2" s="221" t="n">
        <v>46036</v>
      </c>
      <c r="P2" s="221" t="n">
        <v>46037</v>
      </c>
      <c r="Q2" s="221" t="n">
        <v>46038</v>
      </c>
      <c r="R2" s="221" t="n">
        <v>46039</v>
      </c>
      <c r="S2" s="221" t="n">
        <v>46040</v>
      </c>
      <c r="T2" s="220" t="n">
        <v>46041</v>
      </c>
      <c r="U2" s="220" t="n">
        <v>46042</v>
      </c>
      <c r="V2" s="220" t="n">
        <v>46043</v>
      </c>
      <c r="W2" s="220" t="n">
        <v>46044</v>
      </c>
      <c r="X2" s="220" t="n">
        <v>46045</v>
      </c>
      <c r="Y2" s="220" t="n">
        <v>46046</v>
      </c>
      <c r="Z2" s="220" t="n">
        <v>46047</v>
      </c>
      <c r="AA2" s="234" t="n">
        <v>46048</v>
      </c>
      <c r="AB2" s="219" t="n">
        <v>46049</v>
      </c>
      <c r="AC2" s="219" t="n">
        <v>46050</v>
      </c>
      <c r="AD2" s="219" t="n">
        <v>46051</v>
      </c>
      <c r="AE2" s="219" t="n">
        <v>46052</v>
      </c>
      <c r="AF2" s="219" t="n">
        <v>46053</v>
      </c>
      <c r="AG2" s="215" t="n"/>
      <c r="AH2" s="215" t="n"/>
      <c r="AI2" s="215" t="n"/>
      <c r="AJ2" s="215" t="n"/>
    </row>
    <row r="3" hidden="1">
      <c r="A3" t="inlineStr">
        <is>
          <t>Birmingham City Council - Supported Living</t>
        </is>
      </c>
      <c r="C3" s="268" t="n">
        <v>0</v>
      </c>
      <c r="D3" s="268" t="n">
        <v>0</v>
      </c>
      <c r="E3" s="268" t="n">
        <v>0</v>
      </c>
      <c r="F3" s="268" t="n">
        <v>0</v>
      </c>
      <c r="G3" s="268" t="n">
        <v>0</v>
      </c>
      <c r="H3" s="268" t="n">
        <v>0</v>
      </c>
      <c r="I3" s="268" t="n">
        <v>0</v>
      </c>
      <c r="J3" s="268" t="n">
        <v>0</v>
      </c>
      <c r="K3" s="268" t="n">
        <v>0</v>
      </c>
      <c r="L3" s="268" t="n">
        <v>0</v>
      </c>
      <c r="M3" s="268" t="n">
        <v>65502.36</v>
      </c>
      <c r="N3" s="268" t="n">
        <v>0</v>
      </c>
      <c r="O3" s="268" t="n">
        <v>0</v>
      </c>
      <c r="P3" s="268" t="n">
        <v>0</v>
      </c>
      <c r="Q3" s="268" t="n">
        <v>0</v>
      </c>
      <c r="R3" s="268" t="n">
        <v>0</v>
      </c>
      <c r="S3" s="268" t="n">
        <v>0</v>
      </c>
      <c r="T3" s="268" t="n">
        <v>0</v>
      </c>
      <c r="U3" s="268" t="n">
        <v>0</v>
      </c>
      <c r="V3" s="268" t="n">
        <v>0</v>
      </c>
      <c r="W3" s="268" t="n">
        <v>0</v>
      </c>
      <c r="X3" s="268" t="n">
        <v>0</v>
      </c>
      <c r="Y3" s="268" t="n">
        <v>0</v>
      </c>
      <c r="Z3" s="268" t="n">
        <v>0</v>
      </c>
      <c r="AA3" s="268" t="n">
        <v>0</v>
      </c>
      <c r="AB3" s="268" t="n">
        <v>0</v>
      </c>
      <c r="AC3" s="268" t="n">
        <v>0</v>
      </c>
      <c r="AD3" s="268" t="n"/>
      <c r="AE3" s="268" t="n">
        <v>0</v>
      </c>
      <c r="AF3" s="268" t="n">
        <v>0</v>
      </c>
      <c r="AG3">
        <f>IF(AH2=TRUE, 0, AI3)</f>
        <v/>
      </c>
      <c r="AH3" s="258" t="n"/>
      <c r="AI3" s="258" t="n">
        <v>626.54</v>
      </c>
      <c r="AJ3">
        <f>SUM(B3:AG3)</f>
        <v/>
      </c>
    </row>
    <row r="4" hidden="1">
      <c r="A4" t="inlineStr">
        <is>
          <t>Haringey</t>
        </is>
      </c>
      <c r="B4" s="268" t="n">
        <v>0</v>
      </c>
      <c r="C4" s="268" t="n">
        <v>0</v>
      </c>
      <c r="D4" s="268" t="n">
        <v>0</v>
      </c>
      <c r="E4" s="268" t="n">
        <v>0</v>
      </c>
      <c r="F4" s="268" t="n">
        <v>0</v>
      </c>
      <c r="G4" s="268" t="n">
        <v>0</v>
      </c>
      <c r="H4" s="268" t="n">
        <v>0</v>
      </c>
      <c r="I4" s="268" t="n">
        <v>0</v>
      </c>
      <c r="J4" s="268" t="n">
        <v>0</v>
      </c>
      <c r="K4" s="268" t="n">
        <v>0</v>
      </c>
      <c r="L4" s="268" t="n">
        <v>0</v>
      </c>
      <c r="M4" s="268" t="n">
        <v>0</v>
      </c>
      <c r="N4" s="268" t="n">
        <v>0</v>
      </c>
      <c r="O4" s="268" t="n">
        <v>0</v>
      </c>
      <c r="P4" s="268" t="n">
        <v>0</v>
      </c>
      <c r="Q4" s="268" t="n">
        <v>0</v>
      </c>
      <c r="R4" s="268" t="n">
        <v>0</v>
      </c>
      <c r="S4" s="268" t="n">
        <v>0</v>
      </c>
      <c r="T4" s="268" t="n">
        <v>0</v>
      </c>
      <c r="U4" s="268" t="n">
        <v>0</v>
      </c>
      <c r="V4" s="268" t="n">
        <v>0</v>
      </c>
      <c r="W4" s="268" t="n">
        <v>0</v>
      </c>
      <c r="X4" s="268" t="n">
        <v>0</v>
      </c>
      <c r="Y4" s="268" t="n">
        <v>0</v>
      </c>
      <c r="Z4" s="268" t="n">
        <v>0</v>
      </c>
      <c r="AA4" s="268" t="n">
        <v>1232</v>
      </c>
      <c r="AB4" s="268" t="n">
        <v>0</v>
      </c>
      <c r="AC4" s="268" t="n">
        <v>0</v>
      </c>
      <c r="AD4" s="268" t="n">
        <v>0</v>
      </c>
      <c r="AE4" s="268" t="n">
        <v>0</v>
      </c>
      <c r="AF4" s="268" t="n">
        <v>0</v>
      </c>
      <c r="AG4">
        <f>IF(AH3=TRUE, 0, AI4)</f>
        <v/>
      </c>
      <c r="AH4" s="12" t="n"/>
      <c r="AI4" s="12" t="n">
        <v>3692</v>
      </c>
      <c r="AJ4">
        <f>SUM(B4:AG4)</f>
        <v/>
      </c>
    </row>
    <row r="5" hidden="1">
      <c r="A5" t="inlineStr">
        <is>
          <t>Sandwell MBC - Respite</t>
        </is>
      </c>
      <c r="B5" s="268" t="n">
        <v>0</v>
      </c>
      <c r="C5" s="268" t="n">
        <v>0</v>
      </c>
      <c r="D5" s="268" t="n">
        <v>0</v>
      </c>
      <c r="E5" s="268" t="n">
        <v>0</v>
      </c>
      <c r="F5" s="268" t="n">
        <v>7829.6</v>
      </c>
      <c r="G5" s="268" t="n">
        <v>0</v>
      </c>
      <c r="H5" s="268" t="n">
        <v>0</v>
      </c>
      <c r="I5" s="268" t="n">
        <v>0</v>
      </c>
      <c r="J5" s="268" t="n">
        <v>0</v>
      </c>
      <c r="K5" s="268" t="n">
        <v>0</v>
      </c>
      <c r="L5" s="268" t="n">
        <v>0</v>
      </c>
      <c r="M5" s="268" t="n">
        <v>0</v>
      </c>
      <c r="N5" s="268" t="n">
        <v>0</v>
      </c>
      <c r="O5" s="268" t="n">
        <v>0</v>
      </c>
      <c r="P5" s="268" t="n">
        <v>0</v>
      </c>
      <c r="Q5" s="268" t="n">
        <v>0</v>
      </c>
      <c r="R5" s="268" t="n">
        <v>0</v>
      </c>
      <c r="S5" s="268" t="n">
        <v>0</v>
      </c>
      <c r="T5" s="268" t="n">
        <v>7829.6</v>
      </c>
      <c r="U5" s="268" t="n">
        <v>0</v>
      </c>
      <c r="V5" s="268" t="n">
        <v>0</v>
      </c>
      <c r="W5" s="268" t="n">
        <v>0</v>
      </c>
      <c r="X5" s="268" t="n">
        <v>0</v>
      </c>
      <c r="Y5" s="268" t="n">
        <v>0</v>
      </c>
      <c r="Z5" s="268" t="n">
        <v>0</v>
      </c>
      <c r="AA5" s="268" t="n">
        <v>0</v>
      </c>
      <c r="AB5" s="268" t="n">
        <v>0</v>
      </c>
      <c r="AC5" s="268" t="n">
        <v>0</v>
      </c>
      <c r="AD5" s="268" t="n">
        <v>0</v>
      </c>
      <c r="AE5" s="268" t="n">
        <v>0</v>
      </c>
      <c r="AF5" s="268" t="n">
        <v>0</v>
      </c>
      <c r="AG5">
        <f>IF(AH4=TRUE, 0, AI5)</f>
        <v/>
      </c>
      <c r="AH5" s="12" t="n"/>
      <c r="AI5" s="12" t="n"/>
      <c r="AJ5">
        <f>SUM(B5:AG5)</f>
        <v/>
      </c>
    </row>
    <row r="6" hidden="1">
      <c r="A6" t="inlineStr">
        <is>
          <t>Sandwell MBC - Daycare</t>
        </is>
      </c>
      <c r="B6" s="268" t="n">
        <v>0</v>
      </c>
      <c r="C6" s="268" t="n">
        <v>0</v>
      </c>
      <c r="D6" s="268" t="n">
        <v>0</v>
      </c>
      <c r="E6" s="268" t="n">
        <v>0</v>
      </c>
      <c r="F6" s="268" t="n">
        <v>0</v>
      </c>
      <c r="G6" s="268" t="n">
        <v>0</v>
      </c>
      <c r="H6" s="268" t="n">
        <v>0</v>
      </c>
      <c r="I6" s="268" t="n">
        <v>0</v>
      </c>
      <c r="J6" s="268" t="n">
        <v>6330.68666666667</v>
      </c>
      <c r="K6" s="268" t="n">
        <v>0</v>
      </c>
      <c r="L6" s="268" t="n">
        <v>0</v>
      </c>
      <c r="M6" s="268" t="n">
        <v>0</v>
      </c>
      <c r="N6" s="268" t="n">
        <v>0</v>
      </c>
      <c r="O6" s="268" t="n">
        <v>0</v>
      </c>
      <c r="P6" s="268" t="n">
        <v>0</v>
      </c>
      <c r="Q6" s="268" t="n">
        <v>0</v>
      </c>
      <c r="R6" s="268" t="n">
        <v>0</v>
      </c>
      <c r="S6" s="268" t="n">
        <v>0</v>
      </c>
      <c r="T6" s="268" t="n">
        <v>0</v>
      </c>
      <c r="U6" s="268" t="n">
        <v>0</v>
      </c>
      <c r="V6" s="268" t="n">
        <v>0</v>
      </c>
      <c r="W6" s="268" t="n">
        <v>0</v>
      </c>
      <c r="X6" s="268" t="n">
        <v>6330.68666666667</v>
      </c>
      <c r="Y6" s="268" t="n">
        <v>0</v>
      </c>
      <c r="Z6" s="268" t="n">
        <v>0</v>
      </c>
      <c r="AA6" s="268" t="n">
        <v>0</v>
      </c>
      <c r="AB6" s="268" t="n">
        <v>0</v>
      </c>
      <c r="AC6" s="268" t="n">
        <v>0</v>
      </c>
      <c r="AD6" s="268" t="n">
        <v>0</v>
      </c>
      <c r="AE6" s="268" t="n">
        <v>0</v>
      </c>
      <c r="AF6" s="268" t="n">
        <v>0</v>
      </c>
      <c r="AG6">
        <f>IF(AH5=TRUE, 0, AI6)</f>
        <v/>
      </c>
      <c r="AJ6">
        <f>SUM(B6:AG6)</f>
        <v/>
      </c>
    </row>
    <row r="7" hidden="1">
      <c r="A7" t="inlineStr">
        <is>
          <t xml:space="preserve">Wolverhampton - Respite </t>
        </is>
      </c>
      <c r="B7" s="268" t="n">
        <v>0</v>
      </c>
      <c r="C7" s="268" t="n">
        <v>0</v>
      </c>
      <c r="D7" s="268" t="n">
        <v>0</v>
      </c>
      <c r="E7" s="268" t="n">
        <v>0</v>
      </c>
      <c r="F7" s="268" t="n">
        <v>0</v>
      </c>
      <c r="G7" s="268" t="n">
        <v>0</v>
      </c>
      <c r="H7" s="268" t="n">
        <v>0</v>
      </c>
      <c r="I7" s="268" t="n">
        <v>0</v>
      </c>
      <c r="J7" s="268" t="n">
        <v>0</v>
      </c>
      <c r="K7" s="268" t="n">
        <v>0</v>
      </c>
      <c r="L7" s="268" t="n">
        <v>0</v>
      </c>
      <c r="M7" s="268" t="n">
        <v>0</v>
      </c>
      <c r="N7" s="268" t="n">
        <v>0</v>
      </c>
      <c r="O7" s="268" t="n">
        <v>0</v>
      </c>
      <c r="P7" s="268" t="n">
        <v>0</v>
      </c>
      <c r="Q7" s="268" t="n">
        <v>0</v>
      </c>
      <c r="R7" s="268" t="n">
        <v>0</v>
      </c>
      <c r="S7" s="268" t="n">
        <v>0</v>
      </c>
      <c r="T7" s="268" t="n">
        <v>0</v>
      </c>
      <c r="U7" s="268" t="n">
        <v>0</v>
      </c>
      <c r="V7" s="268" t="n">
        <v>0</v>
      </c>
      <c r="W7" s="268" t="n">
        <v>0</v>
      </c>
      <c r="X7" s="268" t="n">
        <v>0</v>
      </c>
      <c r="Y7" s="268" t="n">
        <v>0</v>
      </c>
      <c r="Z7" s="268" t="n">
        <v>0</v>
      </c>
      <c r="AA7" s="268" t="n">
        <v>0</v>
      </c>
      <c r="AB7" s="268" t="n">
        <v>0</v>
      </c>
      <c r="AC7" s="268" t="n">
        <v>0</v>
      </c>
      <c r="AD7" s="268" t="n">
        <v>0</v>
      </c>
      <c r="AE7" s="268" t="n">
        <v>0</v>
      </c>
      <c r="AF7" s="268" t="n">
        <v>0</v>
      </c>
      <c r="AG7">
        <f>IF(AH6=TRUE, 0, AI7)</f>
        <v/>
      </c>
      <c r="AJ7">
        <f>SUM(B7:AG7)</f>
        <v/>
      </c>
    </row>
    <row r="8" hidden="1">
      <c r="A8" t="inlineStr">
        <is>
          <t>Wolverhampton - Daycare</t>
        </is>
      </c>
      <c r="B8" s="268" t="n">
        <v>5606.3</v>
      </c>
      <c r="C8" s="268" t="n">
        <v>0</v>
      </c>
      <c r="D8" s="268" t="n">
        <v>0</v>
      </c>
      <c r="E8" s="268" t="n">
        <v>0</v>
      </c>
      <c r="F8" s="268" t="n">
        <v>0</v>
      </c>
      <c r="G8" s="268" t="n">
        <v>0</v>
      </c>
      <c r="H8" s="268" t="n">
        <v>0</v>
      </c>
      <c r="I8" s="268">
        <f>5606.3</f>
        <v/>
      </c>
      <c r="J8" s="268" t="n">
        <v>0</v>
      </c>
      <c r="K8" s="268" t="n">
        <v>0</v>
      </c>
      <c r="L8" s="268" t="n">
        <v>0</v>
      </c>
      <c r="M8" s="268" t="n">
        <v>0</v>
      </c>
      <c r="N8" s="268" t="n">
        <v>0</v>
      </c>
      <c r="O8" s="268" t="n">
        <v>0</v>
      </c>
      <c r="P8" s="268" t="n">
        <v>5606.3</v>
      </c>
      <c r="Q8" s="268" t="n">
        <v>0</v>
      </c>
      <c r="R8" s="268" t="n">
        <v>0</v>
      </c>
      <c r="S8" s="268" t="n">
        <v>0</v>
      </c>
      <c r="T8" s="268" t="n">
        <v>0</v>
      </c>
      <c r="U8" s="268" t="n">
        <v>0</v>
      </c>
      <c r="V8" s="268" t="n">
        <v>0</v>
      </c>
      <c r="W8" s="268" t="n">
        <v>5606.3</v>
      </c>
      <c r="X8" s="268" t="n">
        <v>0</v>
      </c>
      <c r="Y8" s="268" t="n">
        <v>0</v>
      </c>
      <c r="Z8" s="268" t="n">
        <v>0</v>
      </c>
      <c r="AA8" s="268" t="n">
        <v>0</v>
      </c>
      <c r="AB8" s="268" t="n">
        <v>0</v>
      </c>
      <c r="AC8" s="268" t="n">
        <v>0</v>
      </c>
      <c r="AD8" s="268" t="n">
        <v>5606.3</v>
      </c>
      <c r="AE8" s="268" t="n">
        <v>0</v>
      </c>
      <c r="AF8" s="268" t="n">
        <v>0</v>
      </c>
      <c r="AG8">
        <f>IF(AH7=TRUE, 0, AI8)</f>
        <v/>
      </c>
      <c r="AI8">
        <f>5606.3*2</f>
        <v/>
      </c>
      <c r="AJ8">
        <f>SUM(B8:AG8)</f>
        <v/>
      </c>
    </row>
    <row r="9" hidden="1">
      <c r="A9" t="inlineStr">
        <is>
          <t>Walsall - Respite</t>
        </is>
      </c>
      <c r="B9" s="268" t="n">
        <v>0</v>
      </c>
      <c r="C9" s="268" t="n">
        <v>0</v>
      </c>
      <c r="D9" s="268" t="n">
        <v>0</v>
      </c>
      <c r="E9" s="268" t="n">
        <v>0</v>
      </c>
      <c r="F9" s="268" t="n">
        <v>0</v>
      </c>
      <c r="G9" s="268" t="n">
        <v>0</v>
      </c>
      <c r="H9" s="268" t="n">
        <v>0</v>
      </c>
      <c r="I9" s="268" t="n">
        <v>0</v>
      </c>
      <c r="J9" s="268" t="n">
        <v>0</v>
      </c>
      <c r="K9" s="268" t="n">
        <v>0</v>
      </c>
      <c r="L9" s="268" t="n">
        <v>0</v>
      </c>
      <c r="M9" s="268" t="n">
        <v>0</v>
      </c>
      <c r="N9" s="268" t="n">
        <v>23204.026668</v>
      </c>
      <c r="O9" s="268" t="n">
        <v>0</v>
      </c>
      <c r="P9" s="268" t="n">
        <v>0</v>
      </c>
      <c r="Q9" s="268" t="n">
        <v>0</v>
      </c>
      <c r="R9" s="268" t="n">
        <v>0</v>
      </c>
      <c r="S9" s="268" t="n">
        <v>0</v>
      </c>
      <c r="T9" s="268" t="n">
        <v>0</v>
      </c>
      <c r="U9" s="268" t="n">
        <v>0</v>
      </c>
      <c r="V9" s="268" t="n">
        <v>0</v>
      </c>
      <c r="W9" s="268" t="n">
        <v>0</v>
      </c>
      <c r="X9" s="268" t="n">
        <v>0</v>
      </c>
      <c r="Y9" s="268" t="n">
        <v>0</v>
      </c>
      <c r="Z9" s="268" t="n">
        <v>0</v>
      </c>
      <c r="AA9" s="268" t="n">
        <v>0</v>
      </c>
      <c r="AB9" s="268" t="n">
        <v>0</v>
      </c>
      <c r="AC9" s="268" t="n">
        <v>0</v>
      </c>
      <c r="AD9" s="268" t="n">
        <v>0</v>
      </c>
      <c r="AE9" s="268" t="n">
        <v>0</v>
      </c>
      <c r="AF9" s="268" t="n">
        <v>0</v>
      </c>
      <c r="AG9">
        <f>IF(AH8=TRUE, 0, AI9)</f>
        <v/>
      </c>
      <c r="AJ9">
        <f>SUM(B9:AG9)</f>
        <v/>
      </c>
    </row>
    <row r="10" hidden="1">
      <c r="A10" t="inlineStr">
        <is>
          <t>Walsall - Daycare</t>
        </is>
      </c>
      <c r="B10" s="268" t="n">
        <v>0</v>
      </c>
      <c r="C10" s="268" t="n">
        <v>0</v>
      </c>
      <c r="D10" s="268" t="n">
        <v>0</v>
      </c>
      <c r="E10" s="268" t="n">
        <v>0</v>
      </c>
      <c r="F10" s="268" t="n">
        <v>0</v>
      </c>
      <c r="G10" s="268" t="n">
        <v>0</v>
      </c>
      <c r="H10" s="268" t="n">
        <v>0</v>
      </c>
      <c r="I10" s="268" t="n">
        <v>0</v>
      </c>
      <c r="J10" s="268" t="n">
        <v>0</v>
      </c>
      <c r="K10" s="268" t="n">
        <v>0</v>
      </c>
      <c r="L10" s="268" t="n">
        <v>0</v>
      </c>
      <c r="M10" s="268" t="n">
        <v>0</v>
      </c>
      <c r="N10" s="268" t="n">
        <v>0</v>
      </c>
      <c r="O10" s="268" t="n">
        <v>0</v>
      </c>
      <c r="P10" s="268" t="n">
        <v>0</v>
      </c>
      <c r="Q10" s="268" t="n">
        <v>0</v>
      </c>
      <c r="R10" s="268" t="n">
        <v>0</v>
      </c>
      <c r="S10" s="268" t="n">
        <v>0</v>
      </c>
      <c r="T10" s="268" t="n">
        <v>0</v>
      </c>
      <c r="U10" s="268" t="n">
        <v>0</v>
      </c>
      <c r="V10" s="268" t="n">
        <v>0</v>
      </c>
      <c r="W10" s="268" t="n">
        <v>0</v>
      </c>
      <c r="X10" s="268" t="n">
        <v>0</v>
      </c>
      <c r="Y10" s="268" t="n">
        <v>0</v>
      </c>
      <c r="Z10" s="268" t="n">
        <v>0</v>
      </c>
      <c r="AA10" s="268" t="n">
        <v>0</v>
      </c>
      <c r="AB10" s="268" t="n">
        <v>0</v>
      </c>
      <c r="AC10" s="268" t="n">
        <v>0</v>
      </c>
      <c r="AD10" s="268" t="n">
        <v>0</v>
      </c>
      <c r="AE10" s="268" t="n">
        <v>0</v>
      </c>
      <c r="AF10" s="268" t="n">
        <v>0</v>
      </c>
      <c r="AG10">
        <f>IF(AH9=TRUE, 0, AI10)</f>
        <v/>
      </c>
      <c r="AJ10">
        <f>SUM(B10:AG10)</f>
        <v/>
      </c>
    </row>
    <row r="11" hidden="1">
      <c r="A11" t="inlineStr">
        <is>
          <t>Ideal for All Ltd - Direct Payments</t>
        </is>
      </c>
      <c r="B11" s="268" t="n">
        <v>0</v>
      </c>
      <c r="C11" s="268" t="n">
        <v>0</v>
      </c>
      <c r="D11" s="268" t="n">
        <v>0</v>
      </c>
      <c r="E11" s="268" t="n">
        <v>0</v>
      </c>
      <c r="F11" s="268" t="n">
        <v>0</v>
      </c>
      <c r="G11" s="268" t="n">
        <v>0</v>
      </c>
      <c r="H11" s="268" t="n">
        <v>0</v>
      </c>
      <c r="I11" s="268" t="n">
        <v>0</v>
      </c>
      <c r="J11" s="268" t="n">
        <v>4120.96</v>
      </c>
      <c r="K11" s="268" t="n">
        <v>0</v>
      </c>
      <c r="L11" s="268" t="n">
        <v>0</v>
      </c>
      <c r="M11" s="268" t="n">
        <v>0</v>
      </c>
      <c r="N11" s="268" t="n">
        <v>0</v>
      </c>
      <c r="O11" s="268" t="n">
        <v>0</v>
      </c>
      <c r="P11" s="268" t="n">
        <v>0</v>
      </c>
      <c r="Q11" s="268" t="n">
        <v>0</v>
      </c>
      <c r="R11" s="268" t="n">
        <v>0</v>
      </c>
      <c r="S11" s="268" t="n">
        <v>0</v>
      </c>
      <c r="T11" s="268" t="n">
        <v>0</v>
      </c>
      <c r="U11" s="268" t="n">
        <v>0</v>
      </c>
      <c r="V11" s="268" t="n">
        <v>0</v>
      </c>
      <c r="W11" s="268" t="n">
        <v>0</v>
      </c>
      <c r="X11" s="268" t="n">
        <v>0</v>
      </c>
      <c r="Y11" s="268" t="n">
        <v>0</v>
      </c>
      <c r="Z11" s="268" t="n">
        <v>0</v>
      </c>
      <c r="AA11" s="268" t="n">
        <v>0</v>
      </c>
      <c r="AB11" s="268" t="n">
        <v>0</v>
      </c>
      <c r="AC11" s="268" t="n">
        <v>0</v>
      </c>
      <c r="AD11" s="268" t="n">
        <v>0</v>
      </c>
      <c r="AE11" s="268" t="n">
        <v>0</v>
      </c>
      <c r="AF11" s="268" t="n">
        <v>0</v>
      </c>
      <c r="AG11">
        <f>IF(AH10=TRUE, 0, AI11)</f>
        <v/>
      </c>
      <c r="AJ11">
        <f>SUM(B11:AG11)</f>
        <v/>
      </c>
    </row>
    <row r="12" hidden="1">
      <c r="A12" t="inlineStr">
        <is>
          <t>Kirklees - Supported Living</t>
        </is>
      </c>
      <c r="B12" s="268" t="n">
        <v>0</v>
      </c>
      <c r="C12" s="268" t="n">
        <v>0</v>
      </c>
      <c r="D12" s="268" t="n">
        <v>0</v>
      </c>
      <c r="E12" s="268" t="n">
        <v>0</v>
      </c>
      <c r="F12" s="268" t="n">
        <v>0</v>
      </c>
      <c r="G12" s="268" t="n">
        <v>0</v>
      </c>
      <c r="H12" s="268" t="n">
        <v>0</v>
      </c>
      <c r="I12" s="268" t="n">
        <v>0</v>
      </c>
      <c r="J12" s="268" t="n">
        <v>5458.48</v>
      </c>
      <c r="K12" s="268" t="n">
        <v>0</v>
      </c>
      <c r="L12" s="268" t="n">
        <v>0</v>
      </c>
      <c r="M12" s="268" t="n">
        <v>0</v>
      </c>
      <c r="N12" s="268" t="n">
        <v>0</v>
      </c>
      <c r="O12" s="268" t="n">
        <v>0</v>
      </c>
      <c r="P12" s="268" t="n">
        <v>0</v>
      </c>
      <c r="Q12" s="268" t="n">
        <v>0</v>
      </c>
      <c r="R12" s="268" t="n">
        <v>0</v>
      </c>
      <c r="S12" s="268" t="n">
        <v>0</v>
      </c>
      <c r="T12" s="268" t="n">
        <v>0</v>
      </c>
      <c r="U12" s="268" t="n">
        <v>0</v>
      </c>
      <c r="V12" s="268" t="n">
        <v>0</v>
      </c>
      <c r="W12" s="268" t="n">
        <v>0</v>
      </c>
      <c r="X12" s="268" t="n">
        <v>0</v>
      </c>
      <c r="Y12" s="268" t="n">
        <v>0</v>
      </c>
      <c r="Z12" s="268" t="n">
        <v>0</v>
      </c>
      <c r="AA12" s="268" t="n">
        <v>0</v>
      </c>
      <c r="AB12" s="268" t="n">
        <v>0</v>
      </c>
      <c r="AC12" s="268" t="n">
        <v>0</v>
      </c>
      <c r="AD12" s="268" t="n">
        <v>0</v>
      </c>
      <c r="AE12" s="268" t="n">
        <v>0</v>
      </c>
      <c r="AF12" s="268" t="n">
        <v>0</v>
      </c>
      <c r="AG12">
        <f>IF(AH11=TRUE, 0, AI12)</f>
        <v/>
      </c>
      <c r="AJ12">
        <f>SUM(B12:AG12)</f>
        <v/>
      </c>
    </row>
    <row r="13" hidden="1">
      <c r="A13" t="inlineStr">
        <is>
          <t>LB Hillingdon - Supported Living</t>
        </is>
      </c>
      <c r="B13" s="268" t="n">
        <v>0</v>
      </c>
      <c r="C13" s="268" t="n">
        <v>0</v>
      </c>
      <c r="D13" s="268" t="n">
        <v>0</v>
      </c>
      <c r="E13" s="268" t="n">
        <v>0</v>
      </c>
      <c r="F13" s="268" t="n">
        <v>0</v>
      </c>
      <c r="G13" s="268" t="n">
        <v>0</v>
      </c>
      <c r="H13" s="268" t="n">
        <v>0</v>
      </c>
      <c r="I13" s="268" t="n">
        <v>0</v>
      </c>
      <c r="J13" s="268" t="n">
        <v>0</v>
      </c>
      <c r="K13" s="268" t="n">
        <v>0</v>
      </c>
      <c r="L13" s="268" t="n">
        <v>0</v>
      </c>
      <c r="M13" s="268" t="n">
        <v>0</v>
      </c>
      <c r="N13" s="268" t="n">
        <v>0</v>
      </c>
      <c r="O13" s="268" t="n">
        <v>0</v>
      </c>
      <c r="P13" s="268" t="n">
        <v>0</v>
      </c>
      <c r="Q13" s="268" t="n">
        <v>0</v>
      </c>
      <c r="R13" s="268" t="n">
        <v>0</v>
      </c>
      <c r="S13" s="268" t="n">
        <v>0</v>
      </c>
      <c r="T13" s="268" t="n">
        <v>5204.64</v>
      </c>
      <c r="U13" s="268" t="n">
        <v>0</v>
      </c>
      <c r="V13" s="268" t="n">
        <v>0</v>
      </c>
      <c r="W13" s="268" t="n">
        <v>0</v>
      </c>
      <c r="X13" s="268" t="n">
        <v>0</v>
      </c>
      <c r="Y13" s="268" t="n">
        <v>0</v>
      </c>
      <c r="Z13" s="268" t="n">
        <v>0</v>
      </c>
      <c r="AA13" s="268" t="n">
        <v>0</v>
      </c>
      <c r="AB13" s="268" t="n">
        <v>0</v>
      </c>
      <c r="AC13" s="268" t="n">
        <v>0</v>
      </c>
      <c r="AD13" s="268" t="n">
        <v>0</v>
      </c>
      <c r="AE13" s="268" t="n">
        <v>0</v>
      </c>
      <c r="AF13" s="268" t="n">
        <v>0</v>
      </c>
      <c r="AG13">
        <f>IF(AH12=TRUE, 0, AI13)</f>
        <v/>
      </c>
      <c r="AJ13">
        <f>SUM(B13:AG13)</f>
        <v/>
      </c>
    </row>
    <row r="14" hidden="1">
      <c r="A14" t="inlineStr">
        <is>
          <t>NHS Birmingham &amp; Solihull ICB</t>
        </is>
      </c>
      <c r="B14" s="268" t="n">
        <v>0</v>
      </c>
      <c r="C14" s="268" t="n">
        <v>0</v>
      </c>
      <c r="D14" s="268" t="n">
        <v>0</v>
      </c>
      <c r="E14" s="268" t="n">
        <v>0</v>
      </c>
      <c r="F14" s="268" t="n">
        <v>0</v>
      </c>
      <c r="G14" s="268" t="n">
        <v>0</v>
      </c>
      <c r="H14" s="268" t="n">
        <v>0</v>
      </c>
      <c r="I14" s="268" t="n">
        <v>0</v>
      </c>
      <c r="J14" s="268" t="n">
        <v>7562.1</v>
      </c>
      <c r="K14" s="268" t="n">
        <v>0</v>
      </c>
      <c r="L14" s="268" t="n">
        <v>0</v>
      </c>
      <c r="M14" s="268" t="n">
        <v>0</v>
      </c>
      <c r="N14" s="268" t="n">
        <v>0</v>
      </c>
      <c r="O14" s="268" t="n">
        <v>0</v>
      </c>
      <c r="P14" s="268" t="n">
        <v>0</v>
      </c>
      <c r="Q14" s="268" t="n">
        <v>0</v>
      </c>
      <c r="R14" s="268" t="n">
        <v>0</v>
      </c>
      <c r="S14" s="268" t="n">
        <v>0</v>
      </c>
      <c r="T14" s="268" t="n">
        <v>0</v>
      </c>
      <c r="U14" s="268" t="n">
        <v>0</v>
      </c>
      <c r="V14" s="268" t="n">
        <v>0</v>
      </c>
      <c r="W14" s="268" t="n">
        <v>0</v>
      </c>
      <c r="X14" s="268" t="n">
        <v>0</v>
      </c>
      <c r="Y14" s="268" t="n">
        <v>0</v>
      </c>
      <c r="Z14" s="268" t="n">
        <v>0</v>
      </c>
      <c r="AA14" s="268" t="n">
        <v>0</v>
      </c>
      <c r="AB14" s="268" t="n">
        <v>0</v>
      </c>
      <c r="AC14" s="268" t="n">
        <v>0</v>
      </c>
      <c r="AD14" s="268" t="n">
        <v>0</v>
      </c>
      <c r="AE14" s="268" t="n">
        <v>0</v>
      </c>
      <c r="AF14" s="268" t="n">
        <v>0</v>
      </c>
      <c r="AG14">
        <f>IF(AH13=TRUE, 0, AI14)</f>
        <v/>
      </c>
      <c r="AH14" s="258" t="n"/>
      <c r="AI14" s="258" t="n">
        <v>3778.48</v>
      </c>
      <c r="AJ14">
        <f>SUM(B14:AG14)</f>
        <v/>
      </c>
    </row>
    <row r="15" hidden="1">
      <c r="A15" t="inlineStr">
        <is>
          <t>NHS Black Country ICB</t>
        </is>
      </c>
      <c r="B15" s="268" t="n">
        <v>0</v>
      </c>
      <c r="C15" s="268" t="n">
        <v>0</v>
      </c>
      <c r="D15" s="268" t="n">
        <v>0</v>
      </c>
      <c r="E15" s="268" t="n">
        <v>0</v>
      </c>
      <c r="F15" s="268" t="n">
        <v>0</v>
      </c>
      <c r="G15" s="268" t="n">
        <v>0</v>
      </c>
      <c r="H15" s="268" t="n">
        <v>0</v>
      </c>
      <c r="I15" s="268" t="n">
        <v>0</v>
      </c>
      <c r="J15" s="268" t="n">
        <v>0</v>
      </c>
      <c r="K15" s="268" t="n">
        <v>0</v>
      </c>
      <c r="L15" s="268" t="n">
        <v>0</v>
      </c>
      <c r="M15" s="268" t="n">
        <v>0</v>
      </c>
      <c r="N15" s="268" t="n">
        <v>0</v>
      </c>
      <c r="O15" s="268" t="n">
        <v>0</v>
      </c>
      <c r="P15" s="268" t="n">
        <v>0</v>
      </c>
      <c r="Q15" s="268" t="n">
        <v>0</v>
      </c>
      <c r="R15" s="268" t="n">
        <v>0</v>
      </c>
      <c r="S15" s="268" t="n">
        <v>0</v>
      </c>
      <c r="T15" s="268" t="n">
        <v>0</v>
      </c>
      <c r="U15" s="268" t="n">
        <v>0</v>
      </c>
      <c r="V15" s="268" t="n">
        <v>0</v>
      </c>
      <c r="W15" s="268" t="n">
        <v>0</v>
      </c>
      <c r="X15" s="268" t="n">
        <v>0</v>
      </c>
      <c r="Y15" s="268" t="n">
        <v>0</v>
      </c>
      <c r="Z15" s="268" t="n">
        <v>0</v>
      </c>
      <c r="AA15" s="268" t="n">
        <v>15444.9</v>
      </c>
      <c r="AB15" s="268" t="n">
        <v>0</v>
      </c>
      <c r="AC15" s="268" t="n">
        <v>0</v>
      </c>
      <c r="AD15" s="268" t="n">
        <v>0</v>
      </c>
      <c r="AE15" s="268" t="n">
        <v>0</v>
      </c>
      <c r="AF15" s="268" t="n">
        <v>0</v>
      </c>
      <c r="AG15">
        <f>IF(AH14=TRUE, 0, AI15)</f>
        <v/>
      </c>
      <c r="AH15" s="268" t="n"/>
      <c r="AI15" s="268" t="n">
        <v>21128</v>
      </c>
      <c r="AJ15">
        <f>SUM(B15:AG15)</f>
        <v/>
      </c>
    </row>
    <row r="16" hidden="1">
      <c r="A16" t="inlineStr">
        <is>
          <t>Sandwell - HB</t>
        </is>
      </c>
      <c r="B16" s="268" t="n">
        <v>0</v>
      </c>
      <c r="C16" s="268" t="n">
        <v>0</v>
      </c>
      <c r="D16" s="268" t="n">
        <v>0</v>
      </c>
      <c r="E16" s="268" t="n">
        <v>0</v>
      </c>
      <c r="F16" s="268" t="n">
        <v>0</v>
      </c>
      <c r="G16" s="268" t="n">
        <v>0</v>
      </c>
      <c r="H16" s="268" t="n">
        <v>0</v>
      </c>
      <c r="I16" s="268" t="n">
        <v>0</v>
      </c>
      <c r="J16" s="268" t="n">
        <v>0</v>
      </c>
      <c r="K16" s="268" t="n">
        <v>0</v>
      </c>
      <c r="L16" s="268" t="n">
        <v>0</v>
      </c>
      <c r="M16" s="268" t="n">
        <v>0</v>
      </c>
      <c r="N16" s="268" t="n">
        <v>0</v>
      </c>
      <c r="O16" s="268" t="n">
        <v>0</v>
      </c>
      <c r="P16" s="268" t="n">
        <v>0</v>
      </c>
      <c r="Q16" s="268" t="n">
        <v>0</v>
      </c>
      <c r="R16" s="268" t="n">
        <v>0</v>
      </c>
      <c r="S16" s="268" t="n">
        <v>0</v>
      </c>
      <c r="T16" s="268" t="n">
        <v>0</v>
      </c>
      <c r="U16" s="268" t="n">
        <v>0</v>
      </c>
      <c r="V16" s="268" t="n">
        <v>0</v>
      </c>
      <c r="W16" s="268" t="n">
        <v>0</v>
      </c>
      <c r="X16" s="268" t="n">
        <v>0</v>
      </c>
      <c r="Y16" s="268" t="n">
        <v>0</v>
      </c>
      <c r="Z16" s="268" t="n">
        <v>0</v>
      </c>
      <c r="AA16" s="268" t="n">
        <v>0</v>
      </c>
      <c r="AB16" s="268" t="n">
        <v>0</v>
      </c>
      <c r="AC16" s="268" t="n">
        <v>0</v>
      </c>
      <c r="AD16" s="268" t="n">
        <v>0</v>
      </c>
      <c r="AE16" s="268" t="n">
        <v>0</v>
      </c>
      <c r="AF16" s="268" t="n">
        <v>0</v>
      </c>
      <c r="AG16">
        <f>IF(AH15=TRUE, 0, AI16)</f>
        <v/>
      </c>
      <c r="AJ16">
        <f>SUM(B16:AG16)</f>
        <v/>
      </c>
    </row>
    <row r="17" hidden="1">
      <c r="A17" t="inlineStr">
        <is>
          <t>Sandwell MBC - Supported Living</t>
        </is>
      </c>
      <c r="B17" s="268" t="n">
        <v>0</v>
      </c>
      <c r="C17" s="268" t="n">
        <v>0</v>
      </c>
      <c r="D17" s="268" t="n">
        <v>0</v>
      </c>
      <c r="E17" s="268" t="n">
        <v>0</v>
      </c>
      <c r="F17" s="268" t="n">
        <v>130398</v>
      </c>
      <c r="G17" s="268" t="n">
        <v>0</v>
      </c>
      <c r="H17" s="268" t="n">
        <v>0</v>
      </c>
      <c r="I17" s="268" t="n">
        <v>0</v>
      </c>
      <c r="J17" s="268" t="n">
        <v>0</v>
      </c>
      <c r="K17" s="268" t="n">
        <v>0</v>
      </c>
      <c r="L17" s="268" t="n">
        <v>0</v>
      </c>
      <c r="M17" s="268" t="n">
        <v>0</v>
      </c>
      <c r="N17" s="268" t="n">
        <v>0</v>
      </c>
      <c r="O17" s="268" t="n">
        <v>0</v>
      </c>
      <c r="P17" s="268" t="n">
        <v>0</v>
      </c>
      <c r="Q17" s="268" t="n">
        <v>0</v>
      </c>
      <c r="R17" s="268" t="n">
        <v>0</v>
      </c>
      <c r="S17" s="268" t="n">
        <v>0</v>
      </c>
      <c r="T17" s="268" t="n">
        <v>130398</v>
      </c>
      <c r="U17" s="268" t="n">
        <v>0</v>
      </c>
      <c r="V17" s="268" t="n">
        <v>0</v>
      </c>
      <c r="W17" s="268" t="n">
        <v>0</v>
      </c>
      <c r="X17" s="268" t="n">
        <v>0</v>
      </c>
      <c r="Y17" s="268" t="n">
        <v>0</v>
      </c>
      <c r="Z17" s="268" t="n">
        <v>0</v>
      </c>
      <c r="AA17" s="268" t="n">
        <v>0</v>
      </c>
      <c r="AB17" s="268" t="n">
        <v>0</v>
      </c>
      <c r="AC17" s="268" t="n">
        <v>0</v>
      </c>
      <c r="AD17" s="268" t="n">
        <v>0</v>
      </c>
      <c r="AE17" s="268" t="n">
        <v>0</v>
      </c>
      <c r="AF17" s="268" t="n">
        <v>0</v>
      </c>
      <c r="AG17">
        <f>IF(AH16=TRUE, 0, AI17)</f>
        <v/>
      </c>
      <c r="AJ17">
        <f>SUM(B17:AG17)</f>
        <v/>
      </c>
    </row>
    <row r="18" hidden="1">
      <c r="A18" t="inlineStr">
        <is>
          <t>Solihull MBC - Supported Living</t>
        </is>
      </c>
      <c r="B18" s="268" t="n">
        <v>0</v>
      </c>
      <c r="C18" s="268" t="n">
        <v>0</v>
      </c>
      <c r="D18" s="268" t="n">
        <v>0</v>
      </c>
      <c r="E18" s="268" t="n">
        <v>0</v>
      </c>
      <c r="F18" s="268" t="n">
        <v>0</v>
      </c>
      <c r="G18" s="268" t="n">
        <v>0</v>
      </c>
      <c r="H18" s="268" t="n">
        <v>0</v>
      </c>
      <c r="I18" s="268" t="n">
        <v>0</v>
      </c>
      <c r="J18" s="268" t="n">
        <v>0</v>
      </c>
      <c r="K18" s="268" t="n">
        <v>0</v>
      </c>
      <c r="L18" s="268" t="n">
        <v>0</v>
      </c>
      <c r="M18" s="268" t="n">
        <v>0</v>
      </c>
      <c r="N18" s="268" t="n">
        <v>0</v>
      </c>
      <c r="O18" s="268" t="n">
        <v>0</v>
      </c>
      <c r="P18" s="268" t="n">
        <v>0</v>
      </c>
      <c r="Q18" s="268" t="n">
        <v>0</v>
      </c>
      <c r="R18" s="268" t="n">
        <v>0</v>
      </c>
      <c r="S18" s="268" t="n">
        <v>0</v>
      </c>
      <c r="T18" s="268" t="n">
        <v>0</v>
      </c>
      <c r="U18" s="268" t="n">
        <v>0</v>
      </c>
      <c r="V18" s="268" t="n">
        <v>0</v>
      </c>
      <c r="W18" s="268" t="n">
        <v>0</v>
      </c>
      <c r="X18" s="268" t="n">
        <v>0</v>
      </c>
      <c r="Y18" s="268" t="n">
        <v>0</v>
      </c>
      <c r="Z18" s="268" t="n">
        <v>0</v>
      </c>
      <c r="AA18" s="268" t="n">
        <v>33031.6</v>
      </c>
      <c r="AB18" s="268" t="n">
        <v>0</v>
      </c>
      <c r="AC18" s="268" t="n">
        <v>0</v>
      </c>
      <c r="AD18" s="268" t="n">
        <v>0</v>
      </c>
      <c r="AE18" s="268" t="n">
        <v>0</v>
      </c>
      <c r="AF18" s="268" t="n">
        <v>0</v>
      </c>
      <c r="AG18">
        <f>IF(AH17=TRUE, 0, AI18)</f>
        <v/>
      </c>
      <c r="AJ18">
        <f>SUM(B18:AG18)</f>
        <v/>
      </c>
    </row>
    <row r="19" hidden="1">
      <c r="A19" t="inlineStr">
        <is>
          <t>Walsall - Supported Living</t>
        </is>
      </c>
      <c r="B19" s="268" t="n">
        <v>0</v>
      </c>
      <c r="C19" s="268" t="n">
        <v>0</v>
      </c>
      <c r="D19" s="268" t="n">
        <v>0</v>
      </c>
      <c r="E19" s="268" t="n">
        <v>0</v>
      </c>
      <c r="F19" s="268" t="n">
        <v>0</v>
      </c>
      <c r="G19" s="268" t="n">
        <v>0</v>
      </c>
      <c r="H19" s="268" t="n">
        <v>0</v>
      </c>
      <c r="I19" s="268" t="n">
        <v>0</v>
      </c>
      <c r="J19" s="268" t="n">
        <v>0</v>
      </c>
      <c r="K19" s="268" t="n">
        <v>0</v>
      </c>
      <c r="L19" s="268" t="n">
        <v>0</v>
      </c>
      <c r="M19" s="268" t="n">
        <v>0</v>
      </c>
      <c r="N19" s="268" t="n">
        <v>301296.64</v>
      </c>
      <c r="O19" s="268" t="n">
        <v>0</v>
      </c>
      <c r="P19" s="268" t="n">
        <v>0</v>
      </c>
      <c r="Q19" s="268" t="n">
        <v>0</v>
      </c>
      <c r="R19" s="268" t="n">
        <v>0</v>
      </c>
      <c r="S19" s="268" t="n">
        <v>0</v>
      </c>
      <c r="T19" s="268" t="n">
        <v>0</v>
      </c>
      <c r="U19" s="268" t="n">
        <v>0</v>
      </c>
      <c r="V19" s="268" t="n">
        <v>0</v>
      </c>
      <c r="W19" s="268" t="n">
        <v>0</v>
      </c>
      <c r="X19" s="268" t="n">
        <v>0</v>
      </c>
      <c r="Y19" s="268" t="n">
        <v>0</v>
      </c>
      <c r="Z19" s="268" t="n">
        <v>0</v>
      </c>
      <c r="AA19" s="268" t="n">
        <v>0</v>
      </c>
      <c r="AB19" s="268" t="n">
        <v>0</v>
      </c>
      <c r="AC19" s="268" t="n">
        <v>0</v>
      </c>
      <c r="AD19" s="268" t="n">
        <v>0</v>
      </c>
      <c r="AE19" s="268" t="n">
        <v>0</v>
      </c>
      <c r="AF19" s="268" t="n">
        <v>0</v>
      </c>
      <c r="AG19">
        <f>IF(AH18=TRUE, 0, AI19)</f>
        <v/>
      </c>
      <c r="AJ19">
        <f>SUM(B19:AG19)</f>
        <v/>
      </c>
    </row>
    <row r="20" hidden="1">
      <c r="A20" t="inlineStr">
        <is>
          <t>Wolverhampton - Supported Living</t>
        </is>
      </c>
      <c r="B20" s="268" t="n">
        <v>129664.31</v>
      </c>
      <c r="C20" s="268" t="n">
        <v>0</v>
      </c>
      <c r="D20" s="268" t="n">
        <v>0</v>
      </c>
      <c r="E20" s="268" t="n">
        <v>0</v>
      </c>
      <c r="F20" s="268" t="n">
        <v>0</v>
      </c>
      <c r="G20" s="268" t="n">
        <v>0</v>
      </c>
      <c r="H20" s="268" t="n">
        <v>0</v>
      </c>
      <c r="I20" s="268" t="n">
        <v>129664.31</v>
      </c>
      <c r="J20" s="268" t="n">
        <v>0</v>
      </c>
      <c r="K20" s="268" t="n">
        <v>0</v>
      </c>
      <c r="L20" s="268" t="n">
        <v>0</v>
      </c>
      <c r="M20" s="268" t="n">
        <v>0</v>
      </c>
      <c r="N20" s="268" t="n">
        <v>0</v>
      </c>
      <c r="O20" s="268" t="n">
        <v>0</v>
      </c>
      <c r="P20" s="268" t="n">
        <v>129664.31</v>
      </c>
      <c r="Q20" s="268" t="n">
        <v>0</v>
      </c>
      <c r="R20" s="268" t="n">
        <v>0</v>
      </c>
      <c r="S20" s="268" t="n">
        <v>0</v>
      </c>
      <c r="T20" s="268" t="n">
        <v>0</v>
      </c>
      <c r="U20" s="268" t="n">
        <v>0</v>
      </c>
      <c r="V20" s="268" t="n">
        <v>0</v>
      </c>
      <c r="W20" s="268" t="n">
        <v>129664.31</v>
      </c>
      <c r="X20" s="268" t="n">
        <v>0</v>
      </c>
      <c r="Y20" s="268" t="n">
        <v>0</v>
      </c>
      <c r="Z20" s="268" t="n">
        <v>0</v>
      </c>
      <c r="AA20" s="268" t="n">
        <v>0</v>
      </c>
      <c r="AB20" s="268" t="n">
        <v>0</v>
      </c>
      <c r="AC20" s="268" t="n">
        <v>0</v>
      </c>
      <c r="AD20" s="268" t="n">
        <v>129664.31</v>
      </c>
      <c r="AE20" s="268" t="n">
        <v>0</v>
      </c>
      <c r="AF20" s="268" t="n">
        <v>0</v>
      </c>
      <c r="AG20">
        <f>IF(AH19=TRUE, 0, AI20)</f>
        <v/>
      </c>
      <c r="AH20" s="268" t="n"/>
      <c r="AI20" s="268">
        <f>129664.31*2</f>
        <v/>
      </c>
      <c r="AJ20">
        <f>SUM(B20:AG20)</f>
        <v/>
      </c>
    </row>
    <row r="21" hidden="1">
      <c r="A21" t="inlineStr">
        <is>
          <t>People Plus - Direct Payments</t>
        </is>
      </c>
      <c r="B21" s="268" t="n">
        <v>0</v>
      </c>
      <c r="C21" s="268" t="n">
        <v>0</v>
      </c>
      <c r="D21" s="268" t="n">
        <v>0</v>
      </c>
      <c r="E21" s="268" t="n">
        <v>0</v>
      </c>
      <c r="F21" s="268" t="n">
        <v>0</v>
      </c>
      <c r="G21" s="268" t="n">
        <v>0</v>
      </c>
      <c r="H21" s="268" t="n">
        <v>0</v>
      </c>
      <c r="I21" s="268" t="n">
        <v>0</v>
      </c>
      <c r="J21" s="268" t="n">
        <v>0</v>
      </c>
      <c r="K21" s="268" t="n">
        <v>0</v>
      </c>
      <c r="L21" s="268" t="n">
        <v>0</v>
      </c>
      <c r="M21" s="268" t="n">
        <v>11128</v>
      </c>
      <c r="N21" s="268" t="n">
        <v>0</v>
      </c>
      <c r="O21" s="268" t="n">
        <v>0</v>
      </c>
      <c r="P21" s="268" t="n">
        <v>0</v>
      </c>
      <c r="Q21" s="268" t="n">
        <v>0</v>
      </c>
      <c r="R21" s="268" t="n">
        <v>0</v>
      </c>
      <c r="S21" s="268" t="n">
        <v>0</v>
      </c>
      <c r="T21" s="268" t="n">
        <v>0</v>
      </c>
      <c r="U21" s="268" t="n">
        <v>0</v>
      </c>
      <c r="V21" s="268" t="n">
        <v>0</v>
      </c>
      <c r="W21" s="268" t="n">
        <v>0</v>
      </c>
      <c r="X21" s="268" t="n">
        <v>0</v>
      </c>
      <c r="Y21" s="268" t="n">
        <v>0</v>
      </c>
      <c r="Z21" s="268" t="n">
        <v>0</v>
      </c>
      <c r="AA21" s="268" t="n">
        <v>0</v>
      </c>
      <c r="AB21" s="268" t="n">
        <v>0</v>
      </c>
      <c r="AC21" s="268" t="n">
        <v>0</v>
      </c>
      <c r="AD21" s="268" t="n">
        <v>0</v>
      </c>
      <c r="AE21" s="268" t="n">
        <v>0</v>
      </c>
      <c r="AF21" s="268" t="n">
        <v>0</v>
      </c>
      <c r="AG21">
        <f>IF(AH20=TRUE, 0, AI21)</f>
        <v/>
      </c>
      <c r="AH21" s="256" t="n"/>
      <c r="AI21" s="256" t="n">
        <v>11592</v>
      </c>
      <c r="AJ21">
        <f>SUM(B21:AG21)</f>
        <v/>
      </c>
    </row>
    <row r="22" hidden="1">
      <c r="A22" t="inlineStr">
        <is>
          <t>Middlesbrough - Supported Living</t>
        </is>
      </c>
      <c r="B22" s="268" t="n">
        <v>0</v>
      </c>
      <c r="C22" s="268" t="n">
        <v>6115.4</v>
      </c>
      <c r="D22" s="268" t="n">
        <v>0</v>
      </c>
      <c r="E22" s="268" t="n">
        <v>0</v>
      </c>
      <c r="F22" s="268" t="n">
        <v>0</v>
      </c>
      <c r="G22" s="268" t="n">
        <v>0</v>
      </c>
      <c r="H22" s="268" t="n">
        <v>0</v>
      </c>
      <c r="I22" s="268" t="n">
        <v>0</v>
      </c>
      <c r="J22" s="268" t="n">
        <v>0</v>
      </c>
      <c r="K22" s="268" t="n">
        <v>0</v>
      </c>
      <c r="L22" s="268" t="n">
        <v>0</v>
      </c>
      <c r="M22" s="268" t="n">
        <v>0</v>
      </c>
      <c r="N22" s="268" t="n">
        <v>0</v>
      </c>
      <c r="O22" s="268" t="n">
        <v>0</v>
      </c>
      <c r="P22" s="268" t="n">
        <v>0</v>
      </c>
      <c r="Q22" s="268" t="n">
        <v>0</v>
      </c>
      <c r="R22" s="268" t="n">
        <v>0</v>
      </c>
      <c r="S22" s="268" t="n">
        <v>0</v>
      </c>
      <c r="T22" s="268" t="n">
        <v>0</v>
      </c>
      <c r="U22" s="268" t="n">
        <v>0</v>
      </c>
      <c r="V22" s="268" t="n">
        <v>0</v>
      </c>
      <c r="W22" s="268" t="n">
        <v>0</v>
      </c>
      <c r="X22" s="268" t="n">
        <v>0</v>
      </c>
      <c r="Y22" s="268" t="n">
        <v>0</v>
      </c>
      <c r="Z22" s="268" t="n">
        <v>0</v>
      </c>
      <c r="AA22" s="268" t="n">
        <v>0</v>
      </c>
      <c r="AB22" s="268" t="n">
        <v>0</v>
      </c>
      <c r="AC22" s="268" t="n">
        <v>0</v>
      </c>
      <c r="AD22" s="268" t="n">
        <v>0</v>
      </c>
      <c r="AE22" s="268" t="n">
        <v>6115.4</v>
      </c>
      <c r="AF22" s="268" t="n">
        <v>0</v>
      </c>
      <c r="AG22">
        <f>IF(AH21=TRUE, 0, AI22)</f>
        <v/>
      </c>
      <c r="AJ22">
        <f>SUM(B22:AG22)</f>
        <v/>
      </c>
    </row>
    <row r="23" hidden="1">
      <c r="A23" t="inlineStr">
        <is>
          <t>Other HB and SC</t>
        </is>
      </c>
      <c r="B23" s="268" t="n">
        <v>4000</v>
      </c>
      <c r="C23" s="268" t="n">
        <v>4000</v>
      </c>
      <c r="D23" s="268" t="n">
        <v>4000</v>
      </c>
      <c r="E23" s="268" t="n">
        <v>4000</v>
      </c>
      <c r="F23" s="268" t="n">
        <v>4000</v>
      </c>
      <c r="G23" s="268" t="n">
        <v>4000</v>
      </c>
      <c r="H23" s="268" t="n">
        <v>4000</v>
      </c>
      <c r="I23" s="268" t="n">
        <v>4000</v>
      </c>
      <c r="J23" s="268" t="n">
        <v>4000</v>
      </c>
      <c r="K23" s="268" t="n">
        <v>4000</v>
      </c>
      <c r="L23" s="268" t="n">
        <v>4000</v>
      </c>
      <c r="M23" s="268" t="n">
        <v>4000</v>
      </c>
      <c r="N23" s="268" t="n">
        <v>4000</v>
      </c>
      <c r="O23" s="268" t="n">
        <v>4000</v>
      </c>
      <c r="P23" s="268" t="n">
        <v>4000</v>
      </c>
      <c r="Q23" s="268" t="n">
        <v>4000</v>
      </c>
      <c r="R23" s="268" t="n">
        <v>4000</v>
      </c>
      <c r="S23" s="268" t="n">
        <v>4000</v>
      </c>
      <c r="T23" s="268" t="n">
        <v>4000</v>
      </c>
      <c r="U23" s="268" t="n">
        <v>4000</v>
      </c>
      <c r="V23" s="268" t="n">
        <v>4000</v>
      </c>
      <c r="W23" s="268" t="n">
        <v>4000</v>
      </c>
      <c r="X23" s="268" t="n">
        <v>4000</v>
      </c>
      <c r="Y23" s="268" t="n">
        <v>4000</v>
      </c>
      <c r="Z23" s="268" t="n">
        <v>4000</v>
      </c>
      <c r="AA23" s="268" t="n">
        <v>4000</v>
      </c>
      <c r="AB23" s="268" t="n">
        <v>4000</v>
      </c>
      <c r="AC23" s="268" t="n">
        <v>4000</v>
      </c>
      <c r="AD23" s="268" t="n">
        <v>4000</v>
      </c>
      <c r="AE23" s="268" t="n">
        <v>4000</v>
      </c>
      <c r="AF23" s="268" t="n">
        <v>4000</v>
      </c>
      <c r="AG23">
        <f>IF(AH22=TRUE, 0, AI23)</f>
        <v/>
      </c>
      <c r="AJ23">
        <f>SUM(B23:AG23)</f>
        <v/>
      </c>
    </row>
    <row r="24">
      <c r="B24" s="268" t="n"/>
      <c r="C24" s="268" t="n"/>
      <c r="D24" s="268" t="n"/>
      <c r="E24" s="268" t="n"/>
      <c r="F24" s="268" t="n"/>
      <c r="G24" s="268" t="n"/>
      <c r="H24" s="268" t="n"/>
      <c r="I24" s="268" t="n"/>
      <c r="J24" s="268" t="n"/>
      <c r="K24" s="268" t="n"/>
      <c r="L24" s="268" t="n"/>
      <c r="M24" s="268" t="n"/>
      <c r="N24" s="268" t="n"/>
      <c r="O24" s="268" t="n"/>
      <c r="P24" s="268" t="n"/>
      <c r="Q24" s="268" t="n"/>
      <c r="R24" s="268" t="n"/>
      <c r="S24" s="268" t="n"/>
      <c r="T24" s="268" t="n"/>
      <c r="U24" s="268" t="n"/>
      <c r="V24" s="268" t="n"/>
      <c r="W24" s="268" t="n"/>
      <c r="X24" s="268" t="n"/>
      <c r="Y24" s="268" t="n"/>
      <c r="Z24" s="268" t="n"/>
      <c r="AA24" s="268" t="n"/>
      <c r="AB24" s="268" t="n"/>
      <c r="AC24" s="268" t="n"/>
      <c r="AD24" s="268" t="n"/>
      <c r="AE24" s="268" t="n"/>
      <c r="AF24" s="268" t="n"/>
      <c r="AJ24">
        <f>SUM(AJ3:AJ23)</f>
        <v/>
      </c>
    </row>
    <row r="25">
      <c r="B25" s="214" t="inlineStr">
        <is>
          <t>Thursday</t>
        </is>
      </c>
      <c r="C25" s="214" t="inlineStr">
        <is>
          <t>Friday</t>
        </is>
      </c>
      <c r="D25" s="214" t="inlineStr">
        <is>
          <t>Saturday</t>
        </is>
      </c>
      <c r="E25" s="214" t="inlineStr">
        <is>
          <t>Sunday</t>
        </is>
      </c>
      <c r="F25" s="214" t="inlineStr">
        <is>
          <t>Monday</t>
        </is>
      </c>
      <c r="G25" s="214" t="inlineStr">
        <is>
          <t>Tuesday</t>
        </is>
      </c>
      <c r="H25" s="214" t="inlineStr">
        <is>
          <t>Wednesday</t>
        </is>
      </c>
      <c r="I25" s="214" t="inlineStr">
        <is>
          <t>Thursday</t>
        </is>
      </c>
      <c r="J25" s="214" t="inlineStr">
        <is>
          <t>Friday</t>
        </is>
      </c>
      <c r="K25" s="214" t="inlineStr">
        <is>
          <t>Saturday</t>
        </is>
      </c>
      <c r="L25" s="214" t="inlineStr">
        <is>
          <t>Sunday</t>
        </is>
      </c>
      <c r="M25" s="214" t="inlineStr">
        <is>
          <t>Monday</t>
        </is>
      </c>
      <c r="N25" s="214" t="inlineStr">
        <is>
          <t>Tuesday</t>
        </is>
      </c>
      <c r="O25" s="214" t="inlineStr">
        <is>
          <t>Wednesday</t>
        </is>
      </c>
      <c r="P25" s="214" t="inlineStr">
        <is>
          <t>Thursday</t>
        </is>
      </c>
      <c r="Q25" s="214" t="inlineStr">
        <is>
          <t>Friday</t>
        </is>
      </c>
      <c r="R25" s="214" t="inlineStr">
        <is>
          <t>Saturday</t>
        </is>
      </c>
      <c r="S25" s="214" t="inlineStr">
        <is>
          <t>Sunday</t>
        </is>
      </c>
      <c r="T25" s="214" t="inlineStr">
        <is>
          <t>Monday</t>
        </is>
      </c>
      <c r="U25" s="214" t="inlineStr">
        <is>
          <t>Tuesday</t>
        </is>
      </c>
      <c r="V25" s="214" t="inlineStr">
        <is>
          <t>Wednesday</t>
        </is>
      </c>
      <c r="W25" s="214" t="inlineStr">
        <is>
          <t>Thursday</t>
        </is>
      </c>
      <c r="X25" s="214" t="inlineStr">
        <is>
          <t>Friday</t>
        </is>
      </c>
      <c r="Y25" s="214" t="inlineStr">
        <is>
          <t>Saturday</t>
        </is>
      </c>
      <c r="Z25" s="214" t="inlineStr">
        <is>
          <t>Sunday</t>
        </is>
      </c>
      <c r="AA25" s="214" t="inlineStr">
        <is>
          <t>Monday</t>
        </is>
      </c>
      <c r="AB25" s="214" t="inlineStr">
        <is>
          <t>Tuesday</t>
        </is>
      </c>
      <c r="AC25" s="214" t="inlineStr">
        <is>
          <t>Wednesday</t>
        </is>
      </c>
      <c r="AD25" s="214" t="inlineStr">
        <is>
          <t>Thursday</t>
        </is>
      </c>
      <c r="AE25" s="214" t="inlineStr">
        <is>
          <t>Friday</t>
        </is>
      </c>
      <c r="AF25" s="214" t="inlineStr">
        <is>
          <t>Saturday</t>
        </is>
      </c>
      <c r="AG25" s="171" t="inlineStr">
        <is>
          <t>Adjustments +</t>
        </is>
      </c>
      <c r="AH25" s="171" t="inlineStr">
        <is>
          <t>Adjustments -</t>
        </is>
      </c>
      <c r="AI25" s="214" t="n"/>
      <c r="AJ25" s="171" t="inlineStr">
        <is>
          <t>Total</t>
        </is>
      </c>
    </row>
    <row r="26">
      <c r="B26" s="219" t="n">
        <v>46023</v>
      </c>
      <c r="C26" s="219" t="n">
        <v>46024</v>
      </c>
      <c r="D26" s="219" t="n">
        <v>46025</v>
      </c>
      <c r="E26" s="219" t="n">
        <v>46026</v>
      </c>
      <c r="F26" s="218" t="n">
        <v>46027</v>
      </c>
      <c r="G26" s="218" t="n">
        <v>46028</v>
      </c>
      <c r="H26" s="218" t="n">
        <v>46029</v>
      </c>
      <c r="I26" s="218" t="n">
        <v>46030</v>
      </c>
      <c r="J26" s="218" t="n">
        <v>46031</v>
      </c>
      <c r="K26" s="218" t="n">
        <v>46032</v>
      </c>
      <c r="L26" s="218" t="n">
        <v>46033</v>
      </c>
      <c r="M26" s="221" t="n">
        <v>46034</v>
      </c>
      <c r="N26" s="221" t="n">
        <v>46035</v>
      </c>
      <c r="O26" s="221" t="n">
        <v>46036</v>
      </c>
      <c r="P26" s="221" t="n">
        <v>46037</v>
      </c>
      <c r="Q26" s="221" t="n">
        <v>46038</v>
      </c>
      <c r="R26" s="221" t="n">
        <v>46039</v>
      </c>
      <c r="S26" s="221" t="n">
        <v>46040</v>
      </c>
      <c r="T26" s="220" t="n">
        <v>46041</v>
      </c>
      <c r="U26" s="220" t="n">
        <v>46042</v>
      </c>
      <c r="V26" s="220" t="n">
        <v>46043</v>
      </c>
      <c r="W26" s="220" t="n">
        <v>46044</v>
      </c>
      <c r="X26" s="220" t="n">
        <v>46045</v>
      </c>
      <c r="Y26" s="220" t="n">
        <v>46046</v>
      </c>
      <c r="Z26" s="220" t="n">
        <v>46047</v>
      </c>
      <c r="AA26" s="234" t="n">
        <v>46048</v>
      </c>
      <c r="AB26" s="219" t="n">
        <v>46049</v>
      </c>
      <c r="AC26" s="219" t="n">
        <v>46050</v>
      </c>
      <c r="AD26" s="219" t="n">
        <v>46051</v>
      </c>
      <c r="AE26" s="219" t="n">
        <v>46052</v>
      </c>
      <c r="AF26" s="219" t="n">
        <v>46053</v>
      </c>
      <c r="AG26" s="215" t="n"/>
      <c r="AH26" s="215" t="n"/>
      <c r="AI26" s="215" t="n"/>
      <c r="AJ26" s="215" t="n"/>
    </row>
    <row r="27">
      <c r="A27" t="inlineStr">
        <is>
          <t>Birmingham City Council - Supported Living</t>
        </is>
      </c>
      <c r="B27" s="31" t="n"/>
      <c r="C27" s="269" t="n">
        <v>0</v>
      </c>
      <c r="D27" s="269" t="n">
        <v>0</v>
      </c>
      <c r="E27" s="269" t="n">
        <v>0</v>
      </c>
      <c r="F27" s="269" t="n">
        <v>0</v>
      </c>
      <c r="G27" s="269" t="n">
        <v>0</v>
      </c>
      <c r="H27" s="269" t="n">
        <v>0</v>
      </c>
      <c r="I27" s="269" t="n">
        <v>0</v>
      </c>
      <c r="J27" s="31" t="n">
        <v>59419.08</v>
      </c>
      <c r="K27" s="269" t="n">
        <v>0</v>
      </c>
      <c r="L27" s="269" t="n">
        <v>0</v>
      </c>
      <c r="M27" s="31" t="n"/>
      <c r="N27" s="269" t="n">
        <v>0</v>
      </c>
      <c r="O27" s="269" t="n">
        <v>9591.879999999999</v>
      </c>
      <c r="P27" s="269" t="n">
        <v>0</v>
      </c>
      <c r="Q27" s="269" t="n">
        <v>0</v>
      </c>
      <c r="R27" s="269" t="n">
        <v>0</v>
      </c>
      <c r="S27" s="269" t="n">
        <v>0</v>
      </c>
      <c r="T27" s="269" t="n">
        <v>0</v>
      </c>
      <c r="U27" s="269" t="n">
        <v>0</v>
      </c>
      <c r="V27" s="269" t="n">
        <v>0</v>
      </c>
      <c r="W27" s="269" t="n">
        <v>0</v>
      </c>
      <c r="X27" s="269" t="n">
        <v>0</v>
      </c>
      <c r="Y27" s="270" t="n">
        <v>0</v>
      </c>
      <c r="Z27" s="270" t="n">
        <v>0</v>
      </c>
      <c r="AA27" s="270" t="n">
        <v>0</v>
      </c>
      <c r="AB27" s="270" t="n">
        <v>0</v>
      </c>
      <c r="AC27" t="n">
        <v>2091.66</v>
      </c>
      <c r="AD27" s="270" t="n"/>
      <c r="AE27" s="270" t="n">
        <v>0</v>
      </c>
      <c r="AF27" s="270" t="n">
        <v>0</v>
      </c>
      <c r="AG27" s="12" t="n"/>
      <c r="AH27" s="258" t="n"/>
      <c r="AI27" s="258" t="n"/>
      <c r="AJ27" s="268">
        <f>SUM(B27:AH27)</f>
        <v/>
      </c>
    </row>
    <row r="28">
      <c r="A28" t="inlineStr">
        <is>
          <t>Haringey</t>
        </is>
      </c>
      <c r="B28" s="269" t="n">
        <v>0</v>
      </c>
      <c r="C28" s="269" t="n">
        <v>0</v>
      </c>
      <c r="D28" s="269" t="n">
        <v>0</v>
      </c>
      <c r="E28" s="269" t="n">
        <v>0</v>
      </c>
      <c r="F28" s="269" t="n">
        <v>0</v>
      </c>
      <c r="G28" s="269" t="n">
        <v>0</v>
      </c>
      <c r="H28" s="269" t="n">
        <v>0</v>
      </c>
      <c r="I28" s="269" t="n">
        <v>0</v>
      </c>
      <c r="J28" s="269" t="n">
        <v>0</v>
      </c>
      <c r="K28" s="269" t="n">
        <v>0</v>
      </c>
      <c r="L28" s="269" t="n">
        <v>0</v>
      </c>
      <c r="M28" s="269" t="n">
        <v>0</v>
      </c>
      <c r="N28" s="269" t="n">
        <v>0</v>
      </c>
      <c r="O28" s="269" t="n">
        <v>0</v>
      </c>
      <c r="P28" s="269" t="n">
        <v>0</v>
      </c>
      <c r="Q28" s="269" t="n">
        <v>0</v>
      </c>
      <c r="R28" s="269" t="n">
        <v>0</v>
      </c>
      <c r="S28" s="269" t="n">
        <v>0</v>
      </c>
      <c r="T28" s="269" t="n">
        <v>0</v>
      </c>
      <c r="U28" s="269" t="n">
        <v>0</v>
      </c>
      <c r="V28" s="269" t="n">
        <v>0</v>
      </c>
      <c r="W28" s="269" t="n">
        <v>0</v>
      </c>
      <c r="X28" s="269" t="n">
        <v>0</v>
      </c>
      <c r="Y28" s="270" t="n">
        <v>0</v>
      </c>
      <c r="Z28" s="270" t="n">
        <v>0</v>
      </c>
      <c r="AB28" s="270" t="n">
        <v>0</v>
      </c>
      <c r="AC28" s="271" t="n"/>
      <c r="AD28" s="33" t="n"/>
      <c r="AE28" s="270" t="n">
        <v>0</v>
      </c>
      <c r="AF28" s="270" t="n">
        <v>0</v>
      </c>
      <c r="AG28" s="12" t="n"/>
      <c r="AH28" s="12" t="n"/>
      <c r="AI28" s="12" t="n"/>
      <c r="AJ28" s="268">
        <f>SUM(B28:AH28)</f>
        <v/>
      </c>
    </row>
    <row r="29">
      <c r="A29" t="inlineStr">
        <is>
          <t>Sandwell MBC - Respite</t>
        </is>
      </c>
      <c r="B29" s="269" t="n">
        <v>0</v>
      </c>
      <c r="C29" s="269" t="n">
        <v>0</v>
      </c>
      <c r="D29" s="269" t="n">
        <v>0</v>
      </c>
      <c r="E29" s="269" t="n">
        <v>0</v>
      </c>
      <c r="F29" s="31" t="n"/>
      <c r="G29" s="269" t="n">
        <v>0</v>
      </c>
      <c r="H29" s="269" t="n">
        <v>0</v>
      </c>
      <c r="I29" s="269" t="n">
        <v>0</v>
      </c>
      <c r="J29" s="31" t="n"/>
      <c r="K29" s="269" t="n">
        <v>0</v>
      </c>
      <c r="L29" s="269" t="n">
        <v>0</v>
      </c>
      <c r="M29" s="269" t="n">
        <v>0</v>
      </c>
      <c r="N29" s="31" t="n"/>
      <c r="O29" s="269" t="n">
        <v>0</v>
      </c>
      <c r="P29" s="31" t="n">
        <v>11601.15</v>
      </c>
      <c r="Q29" s="269" t="n">
        <v>0</v>
      </c>
      <c r="R29" s="269" t="n">
        <v>0</v>
      </c>
      <c r="S29" s="269" t="n">
        <v>0</v>
      </c>
      <c r="T29" s="269" t="n">
        <v>0</v>
      </c>
      <c r="U29" s="269" t="n">
        <v>0</v>
      </c>
      <c r="V29" s="269" t="n">
        <v>0</v>
      </c>
      <c r="W29" s="269" t="n">
        <v>0</v>
      </c>
      <c r="X29" s="269" t="n">
        <v>0</v>
      </c>
      <c r="Y29" s="270" t="n">
        <v>0</v>
      </c>
      <c r="Z29" s="270" t="n">
        <v>0</v>
      </c>
      <c r="AB29" s="270" t="n">
        <v>0</v>
      </c>
      <c r="AC29" s="270" t="n">
        <v>0</v>
      </c>
      <c r="AD29" s="270" t="n">
        <v>0</v>
      </c>
      <c r="AE29" s="270" t="n">
        <v>0</v>
      </c>
      <c r="AF29" s="270" t="n">
        <v>0</v>
      </c>
      <c r="AG29" s="12" t="n"/>
      <c r="AH29" s="12" t="n"/>
      <c r="AI29" s="12" t="n"/>
      <c r="AJ29" s="268">
        <f>SUM(B29:AH29)</f>
        <v/>
      </c>
    </row>
    <row r="30">
      <c r="A30" t="inlineStr">
        <is>
          <t>Sandwell MBC - Daycare</t>
        </is>
      </c>
      <c r="B30" s="269" t="n">
        <v>0</v>
      </c>
      <c r="C30" s="269" t="n">
        <v>0</v>
      </c>
      <c r="D30" s="269" t="n">
        <v>0</v>
      </c>
      <c r="E30" s="269" t="n">
        <v>0</v>
      </c>
      <c r="F30" s="269" t="n">
        <v>0</v>
      </c>
      <c r="G30" s="269" t="n">
        <v>0</v>
      </c>
      <c r="H30" s="269" t="n">
        <v>0</v>
      </c>
      <c r="I30" s="269" t="n">
        <v>0</v>
      </c>
      <c r="J30" s="31" t="n"/>
      <c r="K30" s="269" t="n">
        <v>0</v>
      </c>
      <c r="L30" s="269" t="n">
        <v>0</v>
      </c>
      <c r="M30" s="269" t="n">
        <v>0</v>
      </c>
      <c r="N30" s="31" t="n"/>
      <c r="O30" s="269" t="n">
        <v>0</v>
      </c>
      <c r="P30" s="269" t="n"/>
      <c r="Q30" s="269" t="n">
        <v>0</v>
      </c>
      <c r="R30" s="269" t="n">
        <v>0</v>
      </c>
      <c r="S30" s="269" t="n">
        <v>0</v>
      </c>
      <c r="T30" s="31" t="n"/>
      <c r="U30" s="269" t="n">
        <v>0</v>
      </c>
      <c r="V30" s="269" t="n">
        <v>0</v>
      </c>
      <c r="W30" s="269" t="n">
        <v>0</v>
      </c>
      <c r="X30" s="269" t="n"/>
      <c r="Y30" s="270" t="n">
        <v>0</v>
      </c>
      <c r="Z30" s="270" t="n">
        <v>0</v>
      </c>
      <c r="AB30" s="270" t="n">
        <v>0</v>
      </c>
      <c r="AC30" s="270" t="n">
        <v>0</v>
      </c>
      <c r="AD30" s="270" t="n">
        <v>0</v>
      </c>
      <c r="AE30" s="270" t="n">
        <v>0</v>
      </c>
      <c r="AF30" s="270" t="n">
        <v>0</v>
      </c>
      <c r="AG30" s="12" t="n"/>
      <c r="AJ30" s="268">
        <f>SUM(B30:AH30)</f>
        <v/>
      </c>
    </row>
    <row r="31">
      <c r="A31" t="inlineStr">
        <is>
          <t xml:space="preserve">Wolverhampton - Respite </t>
        </is>
      </c>
      <c r="B31" s="269" t="n">
        <v>0</v>
      </c>
      <c r="C31" s="269" t="n">
        <v>0</v>
      </c>
      <c r="D31" s="269" t="n">
        <v>0</v>
      </c>
      <c r="E31" s="269" t="n">
        <v>0</v>
      </c>
      <c r="F31" s="269" t="n">
        <v>0</v>
      </c>
      <c r="G31" s="269" t="n">
        <v>0</v>
      </c>
      <c r="H31" s="269" t="n">
        <v>0</v>
      </c>
      <c r="I31" s="269" t="n">
        <v>0</v>
      </c>
      <c r="J31" s="269" t="n">
        <v>0</v>
      </c>
      <c r="K31" s="269" t="n">
        <v>0</v>
      </c>
      <c r="L31" s="269" t="n">
        <v>0</v>
      </c>
      <c r="M31" s="269" t="n">
        <v>0</v>
      </c>
      <c r="N31" s="269" t="n">
        <v>0</v>
      </c>
      <c r="O31" s="269" t="n">
        <v>0</v>
      </c>
      <c r="P31" s="269" t="n">
        <v>0</v>
      </c>
      <c r="Q31" s="269" t="n">
        <v>0</v>
      </c>
      <c r="R31" s="269" t="n">
        <v>0</v>
      </c>
      <c r="S31" s="269" t="n">
        <v>0</v>
      </c>
      <c r="T31" s="269" t="n">
        <v>0</v>
      </c>
      <c r="U31" s="269" t="n">
        <v>0</v>
      </c>
      <c r="V31" s="269" t="n">
        <v>0</v>
      </c>
      <c r="W31" s="269" t="n">
        <v>0</v>
      </c>
      <c r="X31" s="269" t="n">
        <v>0</v>
      </c>
      <c r="Y31" s="270" t="n">
        <v>0</v>
      </c>
      <c r="Z31" s="270" t="n">
        <v>0</v>
      </c>
      <c r="AB31" s="270" t="n">
        <v>0</v>
      </c>
      <c r="AC31" s="270" t="n">
        <v>0</v>
      </c>
      <c r="AD31" s="270" t="n">
        <v>0</v>
      </c>
      <c r="AE31" s="270" t="n">
        <v>0</v>
      </c>
      <c r="AF31" s="270" t="n">
        <v>0</v>
      </c>
      <c r="AG31" s="12" t="n"/>
      <c r="AJ31" s="268">
        <f>SUM(B31:AH31)</f>
        <v/>
      </c>
    </row>
    <row r="32">
      <c r="A32" t="inlineStr">
        <is>
          <t>Wolverhampton - Daycare</t>
        </is>
      </c>
      <c r="B32" s="269" t="n"/>
      <c r="C32" s="269" t="n">
        <v>0</v>
      </c>
      <c r="D32" s="269" t="n">
        <v>0</v>
      </c>
      <c r="E32" s="269" t="n">
        <v>0</v>
      </c>
      <c r="F32" s="269" t="n">
        <v>0</v>
      </c>
      <c r="G32" s="269" t="n">
        <v>0</v>
      </c>
      <c r="H32" s="269">
        <f>5606.3</f>
        <v/>
      </c>
      <c r="I32" s="269">
        <f>5606.3</f>
        <v/>
      </c>
      <c r="J32" s="269">
        <f>5606.3</f>
        <v/>
      </c>
      <c r="K32" s="269" t="n">
        <v>0</v>
      </c>
      <c r="L32" s="269" t="n">
        <v>0</v>
      </c>
      <c r="M32" s="31" t="n"/>
      <c r="N32" s="269" t="n">
        <v>0</v>
      </c>
      <c r="O32" s="269" t="n">
        <v>0</v>
      </c>
      <c r="P32" s="269" t="n">
        <v>5606.3</v>
      </c>
      <c r="Q32" s="269" t="n">
        <v>0</v>
      </c>
      <c r="R32" s="269" t="n">
        <v>0</v>
      </c>
      <c r="S32" s="269" t="n">
        <v>0</v>
      </c>
      <c r="T32" s="269" t="n">
        <v>0</v>
      </c>
      <c r="U32" s="269" t="n">
        <v>0</v>
      </c>
      <c r="V32" s="269" t="n">
        <v>0</v>
      </c>
      <c r="W32" s="269" t="n">
        <v>5606.3</v>
      </c>
      <c r="X32" s="269" t="n">
        <v>0</v>
      </c>
      <c r="Y32" s="270" t="n">
        <v>0</v>
      </c>
      <c r="Z32" s="270" t="n">
        <v>0</v>
      </c>
      <c r="AB32" s="270" t="n">
        <v>0</v>
      </c>
      <c r="AC32" s="270" t="n">
        <v>0</v>
      </c>
      <c r="AE32" s="270" t="n">
        <v>5606.3</v>
      </c>
      <c r="AF32" s="270" t="n">
        <v>0</v>
      </c>
      <c r="AG32" s="12" t="n"/>
      <c r="AJ32" s="268">
        <f>SUM(B32:AH32)</f>
        <v/>
      </c>
    </row>
    <row r="33">
      <c r="A33" t="inlineStr">
        <is>
          <t>Walsall - Respite</t>
        </is>
      </c>
      <c r="B33" s="269" t="n"/>
      <c r="C33" s="269" t="n">
        <v>0</v>
      </c>
      <c r="D33" s="269" t="n">
        <v>0</v>
      </c>
      <c r="E33" s="269" t="n">
        <v>0</v>
      </c>
      <c r="F33" s="269" t="n">
        <v>0</v>
      </c>
      <c r="G33" s="269" t="n">
        <v>0</v>
      </c>
      <c r="H33" s="269" t="n">
        <v>0</v>
      </c>
      <c r="I33" s="269" t="n">
        <v>0</v>
      </c>
      <c r="J33" s="269" t="n">
        <v>0</v>
      </c>
      <c r="K33" s="269" t="n">
        <v>0</v>
      </c>
      <c r="L33" s="269" t="n">
        <v>0</v>
      </c>
      <c r="M33" s="269" t="n">
        <v>0</v>
      </c>
      <c r="N33" s="269" t="n">
        <v>16858.88</v>
      </c>
      <c r="O33" s="269" t="n">
        <v>0</v>
      </c>
      <c r="P33" s="269" t="n">
        <v>0</v>
      </c>
      <c r="Q33" s="31" t="n"/>
      <c r="R33" s="269" t="n">
        <v>0</v>
      </c>
      <c r="S33" s="269" t="n">
        <v>0</v>
      </c>
      <c r="T33" s="269" t="n">
        <v>0</v>
      </c>
      <c r="U33" s="31" t="n"/>
      <c r="V33" s="269" t="n">
        <v>0</v>
      </c>
      <c r="W33" s="269" t="n">
        <v>0</v>
      </c>
      <c r="X33" s="269" t="n">
        <v>0</v>
      </c>
      <c r="Y33" s="270" t="n">
        <v>0</v>
      </c>
      <c r="Z33" s="270" t="n">
        <v>0</v>
      </c>
      <c r="AB33" s="270" t="n">
        <v>0</v>
      </c>
      <c r="AC33" s="270" t="n">
        <v>0</v>
      </c>
      <c r="AD33" s="270" t="n">
        <v>0</v>
      </c>
      <c r="AE33" s="270" t="n">
        <v>0</v>
      </c>
      <c r="AF33" s="270" t="n">
        <v>0</v>
      </c>
      <c r="AG33" s="12" t="n"/>
      <c r="AH33" s="272" t="n"/>
      <c r="AJ33" s="268">
        <f>SUM(B33:AH33)</f>
        <v/>
      </c>
    </row>
    <row r="34">
      <c r="A34" t="inlineStr">
        <is>
          <t>Walsall - Daycare</t>
        </is>
      </c>
      <c r="B34" s="269" t="n"/>
      <c r="C34" s="269" t="n">
        <v>0</v>
      </c>
      <c r="D34" s="269" t="n">
        <v>0</v>
      </c>
      <c r="E34" s="269" t="n">
        <v>0</v>
      </c>
      <c r="F34" s="269" t="n">
        <v>0</v>
      </c>
      <c r="G34" s="269" t="n">
        <v>0</v>
      </c>
      <c r="H34" s="269" t="n">
        <v>0</v>
      </c>
      <c r="I34" s="269" t="n">
        <v>0</v>
      </c>
      <c r="J34" s="269" t="n">
        <v>0</v>
      </c>
      <c r="K34" s="269" t="n">
        <v>0</v>
      </c>
      <c r="L34" s="269" t="n">
        <v>0</v>
      </c>
      <c r="M34" s="269" t="n">
        <v>0</v>
      </c>
      <c r="N34" s="269" t="n">
        <v>0</v>
      </c>
      <c r="O34" s="269" t="n">
        <v>0</v>
      </c>
      <c r="P34" s="269" t="n">
        <v>0</v>
      </c>
      <c r="Q34" s="269" t="n">
        <v>0</v>
      </c>
      <c r="R34" s="269" t="n">
        <v>0</v>
      </c>
      <c r="S34" s="269" t="n">
        <v>0</v>
      </c>
      <c r="T34" s="269" t="n">
        <v>0</v>
      </c>
      <c r="U34" s="269" t="n">
        <v>0</v>
      </c>
      <c r="V34" s="269" t="n">
        <v>0</v>
      </c>
      <c r="W34" s="269" t="n">
        <v>0</v>
      </c>
      <c r="X34" s="269" t="n">
        <v>0</v>
      </c>
      <c r="Y34" s="270" t="n">
        <v>0</v>
      </c>
      <c r="Z34" s="270" t="n">
        <v>0</v>
      </c>
      <c r="AB34" s="270" t="n">
        <v>0</v>
      </c>
      <c r="AC34" s="270" t="n">
        <v>0</v>
      </c>
      <c r="AD34" s="270" t="n">
        <v>0</v>
      </c>
      <c r="AE34" s="270" t="n">
        <v>0</v>
      </c>
      <c r="AF34" s="270" t="n">
        <v>0</v>
      </c>
      <c r="AG34" s="12" t="n"/>
      <c r="AJ34" s="268">
        <f>SUM(B34:AH34)</f>
        <v/>
      </c>
    </row>
    <row r="35">
      <c r="A35" t="inlineStr">
        <is>
          <t>Ideal for All Ltd - Direct Payments</t>
        </is>
      </c>
      <c r="B35" s="269" t="n"/>
      <c r="C35" s="269" t="n">
        <v>0</v>
      </c>
      <c r="D35" s="269" t="n">
        <v>0</v>
      </c>
      <c r="E35" s="269" t="n">
        <v>0</v>
      </c>
      <c r="F35" s="269" t="n">
        <v>0</v>
      </c>
      <c r="G35" s="269" t="n">
        <v>0</v>
      </c>
      <c r="H35" s="269" t="n">
        <v>0</v>
      </c>
      <c r="I35" s="269" t="n">
        <v>0</v>
      </c>
      <c r="J35" s="31" t="n"/>
      <c r="K35" s="269" t="n">
        <v>0</v>
      </c>
      <c r="L35" s="269" t="n">
        <v>0</v>
      </c>
      <c r="M35" s="269" t="n">
        <v>0</v>
      </c>
      <c r="N35" s="31" t="n"/>
      <c r="O35" s="269" t="n">
        <v>0</v>
      </c>
      <c r="P35" s="31" t="n"/>
      <c r="Q35" s="31" t="n">
        <v>4107.61</v>
      </c>
      <c r="R35" s="269" t="n">
        <v>0</v>
      </c>
      <c r="S35" s="269" t="n">
        <v>0</v>
      </c>
      <c r="T35" s="269" t="n">
        <v>0</v>
      </c>
      <c r="U35" s="31" t="n"/>
      <c r="V35" s="269" t="n">
        <v>0</v>
      </c>
      <c r="W35" s="31" t="n"/>
      <c r="X35" s="269" t="n">
        <v>0</v>
      </c>
      <c r="Y35" s="270" t="n">
        <v>0</v>
      </c>
      <c r="Z35" s="270" t="n">
        <v>0</v>
      </c>
      <c r="AB35" s="270" t="n">
        <v>0</v>
      </c>
      <c r="AD35" s="270" t="n">
        <v>0</v>
      </c>
      <c r="AE35" s="270" t="n"/>
      <c r="AF35" s="270" t="n">
        <v>0</v>
      </c>
      <c r="AG35" s="12" t="n"/>
      <c r="AJ35" s="268">
        <f>SUM(B35:AH35)</f>
        <v/>
      </c>
    </row>
    <row r="36">
      <c r="A36" t="inlineStr">
        <is>
          <t>Kirklees - Supported Living</t>
        </is>
      </c>
      <c r="B36" s="269" t="n"/>
      <c r="C36" s="269" t="n">
        <v>0</v>
      </c>
      <c r="D36" s="269" t="n">
        <v>0</v>
      </c>
      <c r="E36" s="269" t="n">
        <v>0</v>
      </c>
      <c r="F36" s="269" t="n">
        <v>0</v>
      </c>
      <c r="G36" s="269" t="n">
        <v>0</v>
      </c>
      <c r="H36" s="269" t="n">
        <v>0</v>
      </c>
      <c r="I36" s="269" t="n">
        <v>0</v>
      </c>
      <c r="J36" s="31" t="n"/>
      <c r="K36" s="269" t="n">
        <v>0</v>
      </c>
      <c r="L36" s="269" t="n">
        <v>0</v>
      </c>
      <c r="M36" s="269" t="n">
        <v>0</v>
      </c>
      <c r="N36" s="31" t="n"/>
      <c r="O36" s="269" t="n">
        <v>0</v>
      </c>
      <c r="P36" s="31" t="n"/>
      <c r="Q36" s="31" t="n"/>
      <c r="R36" s="269" t="n">
        <v>0</v>
      </c>
      <c r="S36" s="269" t="n">
        <v>0</v>
      </c>
      <c r="T36" s="269" t="n">
        <v>0</v>
      </c>
      <c r="U36" s="31" t="n">
        <v>12483.08</v>
      </c>
      <c r="V36" s="269" t="n">
        <v>0</v>
      </c>
      <c r="W36" s="269" t="n">
        <v>0</v>
      </c>
      <c r="X36" s="269" t="n">
        <v>0</v>
      </c>
      <c r="Y36" s="270" t="n">
        <v>0</v>
      </c>
      <c r="Z36" s="270" t="n">
        <v>0</v>
      </c>
      <c r="AB36" s="270" t="n">
        <v>0</v>
      </c>
      <c r="AC36" s="270" t="n">
        <v>0</v>
      </c>
      <c r="AD36" s="270" t="n">
        <v>0</v>
      </c>
      <c r="AE36" s="270" t="n">
        <v>0</v>
      </c>
      <c r="AF36" s="270" t="n">
        <v>0</v>
      </c>
      <c r="AG36" s="12" t="n"/>
      <c r="AJ36" s="268">
        <f>SUM(B36:AH36)</f>
        <v/>
      </c>
    </row>
    <row r="37">
      <c r="A37" t="inlineStr">
        <is>
          <t>LB Hillingdon - Supported Living</t>
        </is>
      </c>
      <c r="B37" s="269" t="n"/>
      <c r="C37" s="269" t="n">
        <v>0</v>
      </c>
      <c r="D37" s="269" t="n">
        <v>0</v>
      </c>
      <c r="E37" s="269" t="n">
        <v>0</v>
      </c>
      <c r="F37" s="269" t="n">
        <v>0</v>
      </c>
      <c r="G37" s="269" t="n">
        <v>0</v>
      </c>
      <c r="H37" s="269" t="n">
        <v>0</v>
      </c>
      <c r="I37" s="269" t="n">
        <v>0</v>
      </c>
      <c r="J37" s="269" t="n">
        <v>0</v>
      </c>
      <c r="K37" s="269" t="n">
        <v>0</v>
      </c>
      <c r="L37" s="269" t="n">
        <v>0</v>
      </c>
      <c r="M37" s="269" t="n">
        <v>0</v>
      </c>
      <c r="N37" s="269" t="n">
        <v>0</v>
      </c>
      <c r="O37" s="269" t="n">
        <v>0</v>
      </c>
      <c r="P37" s="269" t="n">
        <v>0</v>
      </c>
      <c r="Q37" s="269" t="n">
        <v>0</v>
      </c>
      <c r="R37" s="269" t="n">
        <v>0</v>
      </c>
      <c r="S37" s="269" t="n">
        <v>0</v>
      </c>
      <c r="T37" s="31" t="n"/>
      <c r="U37" s="269" t="n">
        <v>0</v>
      </c>
      <c r="V37" s="31" t="n">
        <v>5203.8</v>
      </c>
      <c r="W37" s="31" t="n"/>
      <c r="X37" s="269" t="n">
        <v>0</v>
      </c>
      <c r="Y37" s="270" t="n">
        <v>0</v>
      </c>
      <c r="Z37" s="270" t="n">
        <v>0</v>
      </c>
      <c r="AB37" s="270" t="n">
        <v>0</v>
      </c>
      <c r="AD37" s="270" t="n"/>
      <c r="AE37" s="270" t="n">
        <v>0</v>
      </c>
      <c r="AF37" s="270" t="n">
        <v>0</v>
      </c>
      <c r="AG37" s="12" t="n"/>
      <c r="AJ37" s="268">
        <f>SUM(B37:AH37)</f>
        <v/>
      </c>
    </row>
    <row r="38">
      <c r="A38" t="inlineStr">
        <is>
          <t>NHS Birmingham &amp; Solihull ICB</t>
        </is>
      </c>
      <c r="B38" s="269" t="n"/>
      <c r="C38" s="269" t="n">
        <v>0</v>
      </c>
      <c r="D38" s="269" t="n">
        <v>0</v>
      </c>
      <c r="E38" s="269" t="n">
        <v>0</v>
      </c>
      <c r="F38" s="269" t="n">
        <v>0</v>
      </c>
      <c r="G38" s="269" t="n">
        <v>0</v>
      </c>
      <c r="H38" s="31" t="n">
        <v>7562.1</v>
      </c>
      <c r="I38" s="269" t="n">
        <v>0</v>
      </c>
      <c r="J38" s="269" t="n"/>
      <c r="K38" s="269" t="n">
        <v>0</v>
      </c>
      <c r="L38" s="269" t="n">
        <v>0</v>
      </c>
      <c r="M38" s="269" t="n">
        <v>0</v>
      </c>
      <c r="N38" s="269" t="n">
        <v>0</v>
      </c>
      <c r="O38" s="269" t="n">
        <v>0</v>
      </c>
      <c r="P38" s="31" t="n">
        <v>7814.17</v>
      </c>
      <c r="Q38" s="269" t="n">
        <v>0</v>
      </c>
      <c r="R38" s="269" t="n">
        <v>0</v>
      </c>
      <c r="S38" s="269" t="n">
        <v>0</v>
      </c>
      <c r="T38" s="269" t="n">
        <v>0</v>
      </c>
      <c r="U38" s="269" t="n">
        <v>0</v>
      </c>
      <c r="V38" s="269" t="n">
        <v>0</v>
      </c>
      <c r="W38" s="269" t="n">
        <v>0</v>
      </c>
      <c r="X38" s="269" t="n">
        <v>0</v>
      </c>
      <c r="Y38" s="270" t="n">
        <v>0</v>
      </c>
      <c r="Z38" s="270" t="n">
        <v>0</v>
      </c>
      <c r="AB38" s="270" t="n">
        <v>0</v>
      </c>
      <c r="AC38" s="270" t="n">
        <v>0</v>
      </c>
      <c r="AD38" s="270" t="n">
        <v>0</v>
      </c>
      <c r="AE38" s="270" t="n">
        <v>0</v>
      </c>
      <c r="AF38" s="270" t="n">
        <v>0</v>
      </c>
      <c r="AG38" s="12" t="n"/>
      <c r="AH38" s="258" t="n"/>
      <c r="AI38" s="258" t="n"/>
      <c r="AJ38" s="268">
        <f>SUM(B38:AH38)</f>
        <v/>
      </c>
    </row>
    <row r="39">
      <c r="A39" t="inlineStr">
        <is>
          <t>NHS Black Country ICB</t>
        </is>
      </c>
      <c r="B39" s="269" t="n"/>
      <c r="C39" s="269" t="n">
        <v>0</v>
      </c>
      <c r="D39" s="269" t="n">
        <v>0</v>
      </c>
      <c r="E39" s="269" t="n">
        <v>0</v>
      </c>
      <c r="F39" s="269" t="n">
        <v>0</v>
      </c>
      <c r="G39" s="269" t="n">
        <v>0</v>
      </c>
      <c r="H39" s="269" t="n">
        <v>0</v>
      </c>
      <c r="I39" s="269" t="n">
        <v>0</v>
      </c>
      <c r="J39" s="269" t="n">
        <v>0</v>
      </c>
      <c r="K39" s="269" t="n">
        <v>0</v>
      </c>
      <c r="L39" s="269" t="n">
        <v>0</v>
      </c>
      <c r="M39" s="269" t="n">
        <v>0</v>
      </c>
      <c r="N39" s="269" t="n">
        <v>0</v>
      </c>
      <c r="O39" s="269" t="n">
        <v>0</v>
      </c>
      <c r="P39" s="31" t="n">
        <v>6125.87</v>
      </c>
      <c r="Q39" s="269" t="n">
        <v>0</v>
      </c>
      <c r="R39" s="269" t="n">
        <v>0</v>
      </c>
      <c r="S39" s="269" t="n">
        <v>0</v>
      </c>
      <c r="T39" s="269" t="n">
        <v>0</v>
      </c>
      <c r="U39" s="269" t="n">
        <v>0</v>
      </c>
      <c r="V39" s="31" t="n">
        <v>2261.76</v>
      </c>
      <c r="W39" s="269" t="n">
        <v>0</v>
      </c>
      <c r="X39" s="31" t="n">
        <v>4273.4</v>
      </c>
      <c r="Y39" s="270" t="n">
        <v>0</v>
      </c>
      <c r="Z39" s="270" t="n">
        <v>0</v>
      </c>
      <c r="AB39" s="270" t="n">
        <v>0</v>
      </c>
      <c r="AD39" s="270" t="n">
        <v>0</v>
      </c>
      <c r="AE39" s="270" t="n"/>
      <c r="AG39" s="12" t="n"/>
      <c r="AH39" s="268" t="n"/>
      <c r="AI39" s="268" t="n"/>
      <c r="AJ39" s="268">
        <f>SUM(B39:AH39)</f>
        <v/>
      </c>
    </row>
    <row r="40">
      <c r="A40" t="inlineStr">
        <is>
          <t>Sandwell - HB</t>
        </is>
      </c>
      <c r="B40" s="269" t="n"/>
      <c r="C40" s="269" t="n">
        <v>0</v>
      </c>
      <c r="D40" s="269" t="n">
        <v>0</v>
      </c>
      <c r="E40" s="269" t="n">
        <v>0</v>
      </c>
      <c r="F40" s="269" t="n">
        <v>0</v>
      </c>
      <c r="G40" s="269" t="n">
        <v>0</v>
      </c>
      <c r="H40" s="269" t="n">
        <v>0</v>
      </c>
      <c r="I40" s="269" t="n">
        <v>0</v>
      </c>
      <c r="J40" s="269" t="n">
        <v>0</v>
      </c>
      <c r="K40" s="269" t="n">
        <v>0</v>
      </c>
      <c r="L40" s="269" t="n">
        <v>0</v>
      </c>
      <c r="M40" s="269" t="n">
        <v>0</v>
      </c>
      <c r="N40" s="269" t="n">
        <v>0</v>
      </c>
      <c r="O40" s="269" t="n">
        <v>0</v>
      </c>
      <c r="P40" s="269" t="n">
        <v>0</v>
      </c>
      <c r="Q40" s="269" t="n">
        <v>0</v>
      </c>
      <c r="R40" s="269" t="n">
        <v>0</v>
      </c>
      <c r="S40" s="269" t="n">
        <v>0</v>
      </c>
      <c r="T40" s="269" t="n">
        <v>0</v>
      </c>
      <c r="U40" s="269" t="n">
        <v>0</v>
      </c>
      <c r="V40" s="269" t="n">
        <v>0</v>
      </c>
      <c r="W40" s="269" t="n">
        <v>0</v>
      </c>
      <c r="X40" s="269" t="n">
        <v>0</v>
      </c>
      <c r="Y40" s="269" t="n">
        <v>0</v>
      </c>
      <c r="Z40" s="269" t="n">
        <v>0</v>
      </c>
      <c r="AA40" s="269" t="n">
        <v>0</v>
      </c>
      <c r="AB40" s="269" t="n">
        <v>0</v>
      </c>
      <c r="AC40" s="270" t="n">
        <v>0</v>
      </c>
      <c r="AD40" s="270" t="n">
        <v>0</v>
      </c>
      <c r="AE40" s="270" t="n">
        <v>0</v>
      </c>
      <c r="AF40" s="270" t="n">
        <v>0</v>
      </c>
      <c r="AG40" s="12" t="n"/>
      <c r="AJ40" s="268">
        <f>SUM(B40:AH40)</f>
        <v/>
      </c>
    </row>
    <row r="41">
      <c r="A41" t="inlineStr">
        <is>
          <t>Sandwell MBC - Supported Living</t>
        </is>
      </c>
      <c r="B41" s="269" t="n"/>
      <c r="C41" s="269" t="n">
        <v>0</v>
      </c>
      <c r="D41" s="269" t="n">
        <v>0</v>
      </c>
      <c r="E41" s="269" t="n">
        <v>0</v>
      </c>
      <c r="F41" s="31" t="n"/>
      <c r="G41" s="269" t="n">
        <v>0</v>
      </c>
      <c r="H41" s="269" t="n">
        <v>0</v>
      </c>
      <c r="I41" s="31" t="n">
        <v>131304.4</v>
      </c>
      <c r="J41" s="269" t="n"/>
      <c r="K41" s="269" t="n">
        <v>0</v>
      </c>
      <c r="L41" s="269" t="n">
        <v>0</v>
      </c>
      <c r="M41" s="269" t="n">
        <v>0</v>
      </c>
      <c r="N41" s="269" t="n">
        <v>0</v>
      </c>
      <c r="O41" s="269" t="n">
        <v>0</v>
      </c>
      <c r="P41" s="269" t="n">
        <v>0</v>
      </c>
      <c r="Q41" s="269" t="n">
        <v>0</v>
      </c>
      <c r="R41" s="269" t="n">
        <v>0</v>
      </c>
      <c r="S41" s="269" t="n">
        <v>0</v>
      </c>
      <c r="T41" s="31" t="n"/>
      <c r="U41" s="31" t="n"/>
      <c r="V41" s="269" t="n">
        <v>0</v>
      </c>
      <c r="W41" s="269" t="n">
        <v>131304.4</v>
      </c>
      <c r="X41" s="269" t="n">
        <v>0</v>
      </c>
      <c r="Y41" s="269" t="n">
        <v>0</v>
      </c>
      <c r="Z41" s="269" t="n">
        <v>0</v>
      </c>
      <c r="AA41" s="269" t="n">
        <v>0</v>
      </c>
      <c r="AB41" s="269" t="n">
        <v>0</v>
      </c>
      <c r="AC41" s="270" t="n">
        <v>0</v>
      </c>
      <c r="AD41" s="270" t="n">
        <v>0</v>
      </c>
      <c r="AE41" s="270" t="n">
        <v>0</v>
      </c>
      <c r="AF41" s="270" t="n">
        <v>0</v>
      </c>
      <c r="AG41" s="12" t="n"/>
      <c r="AJ41" s="268">
        <f>SUM(B41:AH41)</f>
        <v/>
      </c>
    </row>
    <row r="42">
      <c r="A42" t="inlineStr">
        <is>
          <t>Solihull MBC - Supported Living</t>
        </is>
      </c>
      <c r="B42" s="269" t="n"/>
      <c r="C42" s="269" t="n">
        <v>0</v>
      </c>
      <c r="D42" s="269" t="n">
        <v>0</v>
      </c>
      <c r="E42" s="269" t="n">
        <v>0</v>
      </c>
      <c r="F42" s="269" t="n">
        <v>0</v>
      </c>
      <c r="G42" s="269" t="n">
        <v>0</v>
      </c>
      <c r="H42" s="269" t="n">
        <v>0</v>
      </c>
      <c r="I42" s="269" t="n">
        <v>0</v>
      </c>
      <c r="J42" s="31" t="n"/>
      <c r="K42" s="269" t="n">
        <v>0</v>
      </c>
      <c r="L42" s="269" t="n">
        <v>0</v>
      </c>
      <c r="M42" s="269" t="n">
        <v>0</v>
      </c>
      <c r="N42" s="269" t="n">
        <v>0</v>
      </c>
      <c r="O42" s="269" t="n">
        <v>0</v>
      </c>
      <c r="P42" s="269" t="n">
        <v>0</v>
      </c>
      <c r="Q42" s="269" t="n">
        <v>0</v>
      </c>
      <c r="R42" s="269" t="n">
        <v>0</v>
      </c>
      <c r="S42" s="269" t="n">
        <v>0</v>
      </c>
      <c r="T42" s="269" t="n">
        <v>0</v>
      </c>
      <c r="U42" s="269" t="n">
        <v>0</v>
      </c>
      <c r="V42" s="269" t="n">
        <v>0</v>
      </c>
      <c r="W42" s="269" t="n">
        <v>0</v>
      </c>
      <c r="X42" s="269" t="n">
        <v>0</v>
      </c>
      <c r="Y42" s="269" t="n">
        <v>0</v>
      </c>
      <c r="Z42" s="269" t="n">
        <v>0</v>
      </c>
      <c r="AA42" s="31" t="n">
        <v>33031.6</v>
      </c>
      <c r="AB42" s="269" t="n">
        <v>0</v>
      </c>
      <c r="AC42" s="270" t="n">
        <v>0</v>
      </c>
      <c r="AD42" s="270" t="n">
        <v>0</v>
      </c>
      <c r="AE42" s="270" t="n">
        <v>0</v>
      </c>
      <c r="AF42" s="270" t="n">
        <v>0</v>
      </c>
      <c r="AG42" s="12" t="n"/>
      <c r="AJ42" s="268">
        <f>SUM(B42:AH42)</f>
        <v/>
      </c>
    </row>
    <row r="43">
      <c r="A43" t="inlineStr">
        <is>
          <t>Walsall - Supported Living</t>
        </is>
      </c>
      <c r="B43" s="269" t="n"/>
      <c r="C43" s="269" t="n">
        <v>0</v>
      </c>
      <c r="D43" s="269" t="n">
        <v>0</v>
      </c>
      <c r="E43" s="269" t="n">
        <v>0</v>
      </c>
      <c r="F43" s="269" t="n">
        <v>0</v>
      </c>
      <c r="G43" s="269" t="n">
        <v>0</v>
      </c>
      <c r="H43" s="269" t="n">
        <v>0</v>
      </c>
      <c r="I43" s="269" t="n">
        <v>0</v>
      </c>
      <c r="J43" s="269" t="n">
        <v>0</v>
      </c>
      <c r="K43" s="269" t="n">
        <v>0</v>
      </c>
      <c r="L43" s="269" t="n">
        <v>0</v>
      </c>
      <c r="M43" s="269" t="n">
        <v>0</v>
      </c>
      <c r="N43" s="269" t="n">
        <v>316854.17</v>
      </c>
      <c r="O43" s="269" t="n">
        <v>0</v>
      </c>
      <c r="P43" s="269" t="n">
        <v>0</v>
      </c>
      <c r="Q43" s="269" t="n">
        <v>0</v>
      </c>
      <c r="R43" s="269" t="n">
        <v>0</v>
      </c>
      <c r="S43" s="269" t="n">
        <v>0</v>
      </c>
      <c r="T43" s="269" t="n">
        <v>0</v>
      </c>
      <c r="U43" s="269" t="n">
        <v>0</v>
      </c>
      <c r="V43" s="269" t="n">
        <v>0</v>
      </c>
      <c r="W43" s="269" t="n">
        <v>0</v>
      </c>
      <c r="X43" s="269" t="n">
        <v>0</v>
      </c>
      <c r="Y43" s="269" t="n">
        <v>0</v>
      </c>
      <c r="Z43" s="269" t="n">
        <v>0</v>
      </c>
      <c r="AA43" s="269" t="n">
        <v>0</v>
      </c>
      <c r="AB43" s="269" t="n">
        <v>0</v>
      </c>
      <c r="AC43" s="270" t="n">
        <v>0</v>
      </c>
      <c r="AD43" s="270" t="n">
        <v>0</v>
      </c>
      <c r="AE43" s="270" t="n">
        <v>0</v>
      </c>
      <c r="AF43" s="270" t="n">
        <v>0</v>
      </c>
      <c r="AG43" s="12" t="n"/>
      <c r="AJ43" s="268">
        <f>SUM(B43:AH43)</f>
        <v/>
      </c>
    </row>
    <row r="44">
      <c r="A44" t="inlineStr">
        <is>
          <t>Wolverhampton - Supported Living</t>
        </is>
      </c>
      <c r="B44" s="269" t="n"/>
      <c r="C44" s="269" t="n">
        <v>0</v>
      </c>
      <c r="D44" s="269" t="n">
        <v>0</v>
      </c>
      <c r="E44" s="269" t="n">
        <v>0</v>
      </c>
      <c r="F44" s="269" t="n">
        <v>0</v>
      </c>
      <c r="G44" s="269" t="n">
        <v>0</v>
      </c>
      <c r="H44" s="269">
        <f>137871.25-H32</f>
        <v/>
      </c>
      <c r="I44" s="269">
        <f>137871.25-I32</f>
        <v/>
      </c>
      <c r="J44" s="269">
        <f>137871.25-J32</f>
        <v/>
      </c>
      <c r="K44" s="269" t="n">
        <v>0</v>
      </c>
      <c r="L44" s="269" t="n">
        <v>0</v>
      </c>
      <c r="M44" s="31" t="n"/>
      <c r="N44" s="269" t="n">
        <v>0</v>
      </c>
      <c r="O44" s="269" t="n">
        <v>0</v>
      </c>
      <c r="P44" s="269">
        <f>137871.25-P32</f>
        <v/>
      </c>
      <c r="Q44" s="269" t="n">
        <v>0</v>
      </c>
      <c r="R44" s="269" t="n">
        <v>0</v>
      </c>
      <c r="S44" s="269" t="n">
        <v>0</v>
      </c>
      <c r="T44" s="269" t="n">
        <v>0</v>
      </c>
      <c r="U44" s="269" t="n">
        <v>0</v>
      </c>
      <c r="V44" s="269" t="n">
        <v>0</v>
      </c>
      <c r="W44" s="269">
        <f>137871.25-W32</f>
        <v/>
      </c>
      <c r="X44" s="269" t="n">
        <v>0</v>
      </c>
      <c r="Y44" s="269" t="n">
        <v>0</v>
      </c>
      <c r="Z44" s="269" t="n">
        <v>0</v>
      </c>
      <c r="AA44" s="269" t="n">
        <v>0</v>
      </c>
      <c r="AB44" s="269" t="n">
        <v>0</v>
      </c>
      <c r="AC44" s="270" t="n">
        <v>0</v>
      </c>
      <c r="AE44" s="270">
        <f>137871.25-AE32</f>
        <v/>
      </c>
      <c r="AF44" s="270" t="n">
        <v>0</v>
      </c>
      <c r="AG44" s="12" t="n"/>
      <c r="AH44" s="268" t="n"/>
      <c r="AI44" s="268" t="n"/>
      <c r="AJ44" s="268">
        <f>SUM(B44:AH44)</f>
        <v/>
      </c>
    </row>
    <row r="45">
      <c r="A45" t="inlineStr">
        <is>
          <t>People Plus - Direct Payments</t>
        </is>
      </c>
      <c r="B45" s="269" t="n">
        <v>0</v>
      </c>
      <c r="C45" s="269" t="n">
        <v>0</v>
      </c>
      <c r="D45" s="269" t="n">
        <v>0</v>
      </c>
      <c r="E45" s="269" t="n">
        <v>0</v>
      </c>
      <c r="F45" s="269" t="n">
        <v>0</v>
      </c>
      <c r="G45" s="269" t="n">
        <v>0</v>
      </c>
      <c r="H45" s="269" t="n">
        <v>0</v>
      </c>
      <c r="I45" s="269" t="n">
        <v>0</v>
      </c>
      <c r="J45" s="269" t="n">
        <v>0</v>
      </c>
      <c r="K45" s="269" t="n">
        <v>0</v>
      </c>
      <c r="L45" s="269" t="n">
        <v>0</v>
      </c>
      <c r="M45" s="31" t="n"/>
      <c r="N45" s="269" t="n">
        <v>0</v>
      </c>
      <c r="O45" s="269" t="n">
        <v>0</v>
      </c>
      <c r="P45" s="269" t="n">
        <v>0</v>
      </c>
      <c r="Q45" s="269" t="n">
        <v>0</v>
      </c>
      <c r="R45" s="269" t="n">
        <v>0</v>
      </c>
      <c r="S45" s="269" t="n">
        <v>0</v>
      </c>
      <c r="T45" s="31" t="n"/>
      <c r="U45" s="31" t="n">
        <v>11296.8</v>
      </c>
      <c r="V45" s="269" t="n">
        <v>0</v>
      </c>
      <c r="W45" s="269" t="n">
        <v>0</v>
      </c>
      <c r="X45" s="269" t="n">
        <v>0</v>
      </c>
      <c r="Y45" s="269" t="n">
        <v>0</v>
      </c>
      <c r="Z45" s="269" t="n">
        <v>0</v>
      </c>
      <c r="AA45" s="269" t="n">
        <v>0</v>
      </c>
      <c r="AB45" s="269" t="n">
        <v>0</v>
      </c>
      <c r="AC45" s="270" t="n">
        <v>0</v>
      </c>
      <c r="AD45" s="270" t="n">
        <v>0</v>
      </c>
      <c r="AE45" s="270" t="n">
        <v>0</v>
      </c>
      <c r="AF45" s="270" t="n">
        <v>0</v>
      </c>
      <c r="AG45" s="12" t="n"/>
      <c r="AH45" s="256" t="n"/>
      <c r="AI45" s="256" t="n"/>
      <c r="AJ45" s="268">
        <f>SUM(B45:AH45)</f>
        <v/>
      </c>
    </row>
    <row r="46">
      <c r="A46" t="inlineStr">
        <is>
          <t>Middlesbrough - Supported Living</t>
        </is>
      </c>
      <c r="B46" s="269" t="n">
        <v>0</v>
      </c>
      <c r="C46" s="31" t="n"/>
      <c r="D46" s="269" t="n">
        <v>0</v>
      </c>
      <c r="E46" s="269" t="n">
        <v>0</v>
      </c>
      <c r="F46" s="269" t="n">
        <v>0</v>
      </c>
      <c r="G46" s="269" t="n">
        <v>0</v>
      </c>
      <c r="H46" s="269" t="n">
        <v>6115.4</v>
      </c>
      <c r="I46" s="269" t="n">
        <v>0</v>
      </c>
      <c r="J46" s="269" t="n">
        <v>0</v>
      </c>
      <c r="K46" s="269" t="n">
        <v>0</v>
      </c>
      <c r="L46" s="269" t="n">
        <v>0</v>
      </c>
      <c r="M46" s="269" t="n">
        <v>0</v>
      </c>
      <c r="N46" s="269" t="n">
        <v>0</v>
      </c>
      <c r="O46" s="269" t="n">
        <v>0</v>
      </c>
      <c r="P46" s="269" t="n">
        <v>0</v>
      </c>
      <c r="Q46" s="269" t="n">
        <v>0</v>
      </c>
      <c r="R46" s="269" t="n">
        <v>0</v>
      </c>
      <c r="S46" s="269" t="n">
        <v>0</v>
      </c>
      <c r="T46" s="269" t="n">
        <v>0</v>
      </c>
      <c r="U46" s="269" t="n">
        <v>0</v>
      </c>
      <c r="V46" s="269" t="n">
        <v>0</v>
      </c>
      <c r="W46" s="269" t="n">
        <v>0</v>
      </c>
      <c r="X46" s="31" t="n">
        <v>6115.4</v>
      </c>
      <c r="Y46" s="269" t="n">
        <v>0</v>
      </c>
      <c r="Z46" s="269" t="n">
        <v>0</v>
      </c>
      <c r="AA46" s="269" t="n">
        <v>0</v>
      </c>
      <c r="AB46" s="269" t="n">
        <v>0</v>
      </c>
      <c r="AC46" s="270" t="n">
        <v>0</v>
      </c>
      <c r="AD46" s="270" t="n">
        <v>0</v>
      </c>
      <c r="AE46" s="270" t="n"/>
      <c r="AF46" s="270" t="n">
        <v>0</v>
      </c>
      <c r="AG46" s="12" t="n"/>
      <c r="AJ46" s="268">
        <f>SUM(B46:AH46)</f>
        <v/>
      </c>
    </row>
    <row r="47">
      <c r="A47" t="inlineStr">
        <is>
          <t>Other HB and SC</t>
        </is>
      </c>
      <c r="B47" s="269" t="n">
        <v>0</v>
      </c>
      <c r="C47" s="269" t="n">
        <v>9701.17</v>
      </c>
      <c r="D47" s="269" t="n">
        <v>0</v>
      </c>
      <c r="E47" s="269" t="n">
        <v>875.62</v>
      </c>
      <c r="F47" s="269" t="n">
        <v>10176.1</v>
      </c>
      <c r="G47" s="269" t="n">
        <v>3540.3</v>
      </c>
      <c r="H47" s="269" t="n">
        <v>846.5300000000043</v>
      </c>
      <c r="I47" s="269" t="n">
        <v>4288.430000000022</v>
      </c>
      <c r="J47" s="269" t="n">
        <v>6361.689999999988</v>
      </c>
      <c r="K47" s="269" t="n">
        <v>0</v>
      </c>
      <c r="L47" s="269" t="n">
        <v>556.67</v>
      </c>
      <c r="M47" s="269" t="n">
        <v>5383.38</v>
      </c>
      <c r="N47" s="269" t="n">
        <v>3832.770000000019</v>
      </c>
      <c r="O47" s="269" t="n">
        <v>3891.650000000001</v>
      </c>
      <c r="P47" s="269" t="n">
        <v>3522.760000000011</v>
      </c>
      <c r="Q47" s="269" t="n">
        <v>8901.470000000001</v>
      </c>
      <c r="R47" s="269" t="n">
        <v>1030.09</v>
      </c>
      <c r="S47" s="269" t="n">
        <v>0</v>
      </c>
      <c r="T47" s="269" t="n">
        <v>11061.54000000001</v>
      </c>
      <c r="U47" s="269" t="n">
        <v>4014.970000000003</v>
      </c>
      <c r="V47" s="269" t="n">
        <v>1051.53</v>
      </c>
      <c r="W47" s="269" t="n">
        <v>2008.309999999969</v>
      </c>
      <c r="X47" s="269" t="n">
        <v>6426.719999999998</v>
      </c>
      <c r="Y47" s="269" t="n">
        <v>740</v>
      </c>
      <c r="Z47" s="269" t="n">
        <v>200</v>
      </c>
      <c r="AA47" s="269" t="n">
        <v>18439.29</v>
      </c>
      <c r="AB47" s="269" t="n">
        <v>4137.369999999995</v>
      </c>
      <c r="AC47" s="270" t="n">
        <v>9428.090000000002</v>
      </c>
      <c r="AD47" s="270" t="n">
        <v>2742.41</v>
      </c>
      <c r="AE47" s="270" t="n">
        <v>8311.640000000014</v>
      </c>
      <c r="AF47" s="270" t="n">
        <v>3950.67</v>
      </c>
      <c r="AG47" s="12" t="n"/>
      <c r="AJ47" s="268">
        <f>SUM(B47:AH47)</f>
        <v/>
      </c>
    </row>
    <row r="48" ht="15.75" customHeight="1" thickBot="1">
      <c r="A48" t="inlineStr">
        <is>
          <t>Total</t>
        </is>
      </c>
      <c r="B48" s="269">
        <f>SUM(B27:B47)</f>
        <v/>
      </c>
      <c r="C48" s="269">
        <f>SUM(C27:C47)</f>
        <v/>
      </c>
      <c r="D48" s="269">
        <f>SUM(D27:D47)</f>
        <v/>
      </c>
      <c r="E48" s="269">
        <f>SUM(E27:E47)</f>
        <v/>
      </c>
      <c r="F48" s="269">
        <f>SUM(F27:F47)</f>
        <v/>
      </c>
      <c r="G48" s="269">
        <f>SUM(G27:G47)</f>
        <v/>
      </c>
      <c r="H48" s="269">
        <f>SUM(H27:H47)</f>
        <v/>
      </c>
      <c r="I48" s="269">
        <f>SUM(I27:I47)</f>
        <v/>
      </c>
      <c r="J48" s="269">
        <f>SUM(J27:J47)</f>
        <v/>
      </c>
      <c r="K48" s="269">
        <f>SUM(K27:K47)</f>
        <v/>
      </c>
      <c r="L48" s="269">
        <f>SUM(L27:L47)</f>
        <v/>
      </c>
      <c r="M48" s="269">
        <f>SUM(M27:M47)</f>
        <v/>
      </c>
      <c r="N48" s="269">
        <f>SUM(N27:N47)</f>
        <v/>
      </c>
      <c r="O48" s="269">
        <f>SUM(O27:O47)</f>
        <v/>
      </c>
      <c r="P48" s="269">
        <f>SUM(P27:P47)</f>
        <v/>
      </c>
      <c r="Q48" s="269">
        <f>SUM(Q27:Q47)</f>
        <v/>
      </c>
      <c r="R48" s="269">
        <f>SUM(R27:R47)</f>
        <v/>
      </c>
      <c r="S48" s="269">
        <f>SUM(S27:S47)</f>
        <v/>
      </c>
      <c r="T48" s="269">
        <f>SUM(T27:T47)</f>
        <v/>
      </c>
      <c r="U48" s="269">
        <f>SUM(U27:U47)</f>
        <v/>
      </c>
      <c r="V48" s="269">
        <f>SUM(V27:V47)</f>
        <v/>
      </c>
      <c r="W48" s="269">
        <f>SUM(W27:W47)</f>
        <v/>
      </c>
      <c r="X48" s="269">
        <f>SUM(X27:X47)</f>
        <v/>
      </c>
      <c r="Y48" s="268">
        <f>SUM(Y27:Y47)</f>
        <v/>
      </c>
      <c r="Z48" s="268">
        <f>SUM(Z27:Z47)</f>
        <v/>
      </c>
      <c r="AA48" s="268">
        <f>SUM(AA27:AA47)</f>
        <v/>
      </c>
      <c r="AB48" s="268">
        <f>SUM(AB27:AB47)</f>
        <v/>
      </c>
      <c r="AC48" s="268">
        <f>SUM(AC27:AC47)</f>
        <v/>
      </c>
      <c r="AD48" s="268">
        <f>SUM(AD27:AD47)</f>
        <v/>
      </c>
      <c r="AE48" s="268">
        <f>SUM(AE27:AE47)</f>
        <v/>
      </c>
      <c r="AF48" s="268">
        <f>SUM(AF27:AF47)</f>
        <v/>
      </c>
      <c r="AG48" s="268">
        <f>SUM(AG27:AG47)</f>
        <v/>
      </c>
      <c r="AH48" s="268">
        <f>SUM(AH27:AH47)</f>
        <v/>
      </c>
      <c r="AI48" s="268" t="n"/>
      <c r="AJ48" s="273">
        <f>SUM(AJ27:AJ47)</f>
        <v/>
      </c>
    </row>
    <row r="49" ht="15.75" customHeight="1" thickTop="1">
      <c r="B49" s="269" t="n"/>
      <c r="C49" s="269" t="n"/>
      <c r="D49" s="269" t="n"/>
      <c r="E49" s="269" t="n"/>
      <c r="F49" s="269" t="n"/>
      <c r="G49" s="269" t="n"/>
      <c r="H49" s="269" t="n"/>
      <c r="I49" s="269" t="n"/>
      <c r="J49" s="269" t="n"/>
      <c r="K49" s="269" t="n"/>
      <c r="L49" s="269" t="n"/>
      <c r="M49" s="269" t="n"/>
      <c r="N49" s="269" t="n"/>
      <c r="O49" s="269" t="n"/>
      <c r="P49" s="269" t="n"/>
      <c r="Q49" s="269" t="n"/>
      <c r="R49" s="269" t="n"/>
      <c r="S49" s="269" t="n"/>
      <c r="T49" s="268" t="n"/>
      <c r="U49" s="268" t="n"/>
      <c r="V49" s="268" t="n"/>
      <c r="W49" s="268" t="n"/>
      <c r="X49" s="268" t="n"/>
      <c r="Y49" s="268" t="n"/>
      <c r="Z49" s="268" t="n"/>
      <c r="AA49" s="268" t="n"/>
      <c r="AB49" s="268" t="n"/>
      <c r="AC49" s="268" t="n"/>
      <c r="AD49" s="268" t="n"/>
      <c r="AE49" s="268" t="n"/>
      <c r="AF49" s="268" t="n"/>
    </row>
    <row r="50">
      <c r="B50" s="268" t="n"/>
      <c r="C50" s="268" t="n"/>
      <c r="D50" s="268" t="n"/>
      <c r="E50" s="268" t="n"/>
      <c r="F50" s="268" t="n"/>
      <c r="G50" s="268" t="n"/>
      <c r="H50" s="268" t="n"/>
      <c r="I50" s="268" t="n"/>
      <c r="J50" s="268" t="n"/>
      <c r="K50" s="268" t="n"/>
      <c r="L50" s="268" t="n"/>
      <c r="M50" s="268" t="n"/>
      <c r="N50" s="268" t="n"/>
      <c r="O50" s="268" t="n"/>
      <c r="P50" s="268" t="n"/>
      <c r="Q50" s="268" t="n"/>
      <c r="R50" s="268" t="n"/>
      <c r="S50" s="268" t="n"/>
      <c r="T50" s="268" t="n"/>
      <c r="U50" s="268" t="n"/>
      <c r="V50" s="268" t="n"/>
      <c r="W50" s="268" t="n"/>
      <c r="X50" s="268" t="n"/>
      <c r="Y50" s="268" t="n"/>
      <c r="Z50" s="268" t="n"/>
      <c r="AA50" s="268" t="n"/>
      <c r="AB50" s="268" t="n"/>
      <c r="AC50" s="268" t="n"/>
      <c r="AD50" s="268" t="n"/>
      <c r="AE50" s="268" t="n"/>
      <c r="AF50" s="268" t="n"/>
    </row>
    <row r="51">
      <c r="A51" t="inlineStr">
        <is>
          <t>Chasing</t>
        </is>
      </c>
      <c r="B51" s="268" t="n"/>
      <c r="C51" s="268" t="n"/>
      <c r="D51" s="268" t="n"/>
      <c r="E51" s="268" t="n"/>
      <c r="F51" s="268" t="n"/>
      <c r="G51" s="268" t="n"/>
      <c r="H51" s="268" t="n"/>
      <c r="I51" s="268" t="n"/>
      <c r="J51" s="268" t="n"/>
      <c r="K51" s="268" t="n"/>
      <c r="L51" s="268" t="n"/>
      <c r="M51" s="268" t="n"/>
      <c r="N51" s="268" t="n"/>
      <c r="O51" s="268" t="n"/>
      <c r="P51" s="268" t="n"/>
      <c r="Q51" s="268" t="n"/>
      <c r="R51" s="268" t="n"/>
      <c r="S51" s="268" t="n"/>
      <c r="T51" s="268" t="n"/>
      <c r="U51" s="268" t="n"/>
      <c r="V51" s="268" t="n"/>
      <c r="W51" s="268" t="n"/>
      <c r="X51" s="268" t="n"/>
      <c r="Y51" s="268" t="n"/>
      <c r="Z51" s="268" t="n"/>
      <c r="AA51" s="268" t="n"/>
      <c r="AB51" s="268" t="n"/>
      <c r="AC51" s="268" t="n"/>
      <c r="AD51" s="268" t="n"/>
      <c r="AE51" s="268" t="n"/>
      <c r="AF51" s="268" t="n"/>
    </row>
    <row r="52">
      <c r="A52" t="inlineStr">
        <is>
          <t>Birmingham City Council - Supported Living</t>
        </is>
      </c>
      <c r="B52" s="268" t="n"/>
      <c r="C52" s="268" t="n"/>
      <c r="D52" s="268" t="n"/>
      <c r="E52" s="268" t="n"/>
      <c r="F52" s="268" t="n"/>
      <c r="G52" s="268" t="n"/>
      <c r="H52" s="268" t="n"/>
      <c r="I52" s="268" t="n"/>
      <c r="J52" s="268" t="n"/>
      <c r="K52" s="268" t="n"/>
      <c r="L52" s="268" t="n"/>
      <c r="M52" s="268" t="n"/>
      <c r="N52" s="268" t="n"/>
      <c r="O52" s="268" t="n"/>
      <c r="P52" s="268" t="n"/>
      <c r="Q52" s="268" t="n"/>
      <c r="R52" s="268" t="n"/>
      <c r="S52" s="268" t="n"/>
      <c r="T52" s="268" t="n"/>
      <c r="U52" s="268" t="n"/>
      <c r="V52" s="268" t="n"/>
      <c r="W52" s="268" t="n"/>
      <c r="X52" s="268" t="n"/>
      <c r="Y52" s="268" t="n"/>
      <c r="Z52" s="268" t="n"/>
      <c r="AA52" s="268" t="n"/>
      <c r="AB52" s="268" t="n"/>
      <c r="AC52" s="268" t="n"/>
      <c r="AD52" s="268" t="n"/>
      <c r="AE52" s="268" t="n"/>
      <c r="AF52" s="268" t="n"/>
    </row>
    <row r="53">
      <c r="A53" t="inlineStr">
        <is>
          <t>Haringey</t>
        </is>
      </c>
      <c r="B53" s="268" t="n"/>
      <c r="C53" s="268" t="n"/>
      <c r="D53" s="268" t="n"/>
      <c r="E53" s="268" t="n"/>
      <c r="F53" s="268" t="n"/>
      <c r="G53" s="268" t="n"/>
      <c r="H53" s="268" t="n"/>
      <c r="I53" s="268" t="n"/>
      <c r="J53" s="268" t="n"/>
      <c r="K53" s="268" t="n"/>
      <c r="L53" s="268" t="n"/>
      <c r="M53" s="268" t="n"/>
      <c r="N53" s="268" t="n"/>
      <c r="O53" s="268" t="n"/>
      <c r="P53" s="268" t="n"/>
      <c r="Q53" s="268" t="n"/>
      <c r="R53" s="268" t="n"/>
      <c r="S53" s="268" t="n"/>
      <c r="T53" s="268" t="n"/>
      <c r="U53" s="268" t="n"/>
      <c r="V53" s="268" t="n"/>
      <c r="W53" s="268" t="n"/>
      <c r="X53" s="268" t="n"/>
      <c r="Y53" s="268" t="n"/>
      <c r="Z53" s="268" t="n"/>
      <c r="AA53" s="268" t="n"/>
      <c r="AB53" s="268" t="n"/>
      <c r="AC53" s="268" t="n"/>
      <c r="AD53" s="268" t="n"/>
      <c r="AE53" s="268" t="n"/>
      <c r="AF53" s="268" t="n"/>
    </row>
    <row r="54">
      <c r="A54" t="inlineStr">
        <is>
          <t>Sandwell MBC - Respite</t>
        </is>
      </c>
      <c r="B54" s="268" t="n"/>
      <c r="C54" s="268" t="n"/>
      <c r="D54" s="268" t="n"/>
      <c r="E54" s="268" t="n"/>
      <c r="F54" s="268" t="n"/>
      <c r="G54" s="268" t="n"/>
      <c r="H54" s="268" t="n"/>
      <c r="I54" s="268" t="n"/>
      <c r="J54" s="268" t="n"/>
      <c r="K54" s="268" t="n"/>
      <c r="L54" s="268" t="n"/>
      <c r="M54" s="268" t="n"/>
      <c r="N54" s="268" t="n"/>
      <c r="O54" s="268" t="n"/>
      <c r="P54" s="268" t="n"/>
      <c r="Q54" s="268" t="n"/>
      <c r="R54" s="268" t="n"/>
      <c r="S54" s="268" t="n"/>
      <c r="T54" s="268" t="n"/>
      <c r="U54" s="268" t="n"/>
      <c r="V54" s="268" t="n"/>
      <c r="W54" s="268" t="n"/>
      <c r="X54" s="268" t="n"/>
      <c r="Y54" s="268" t="n"/>
      <c r="Z54" s="268" t="n"/>
      <c r="AA54" s="268" t="n"/>
      <c r="AB54" s="268" t="n"/>
      <c r="AC54" s="268" t="n"/>
      <c r="AD54" s="268" t="n"/>
      <c r="AE54" s="268" t="n"/>
      <c r="AF54" s="268" t="n"/>
    </row>
    <row r="55">
      <c r="A55" t="inlineStr">
        <is>
          <t>Sandwell MBC - Daycare</t>
        </is>
      </c>
      <c r="B55" s="268" t="n"/>
      <c r="C55" s="268" t="n"/>
      <c r="D55" s="268" t="n"/>
      <c r="E55" s="268" t="n"/>
      <c r="F55" s="268" t="n"/>
      <c r="G55" s="268" t="n"/>
      <c r="H55" s="268" t="n"/>
      <c r="I55" s="268" t="n"/>
      <c r="J55" s="268" t="n"/>
      <c r="K55" s="268" t="n"/>
      <c r="L55" s="268" t="n"/>
      <c r="M55" s="268" t="n"/>
      <c r="N55" s="268" t="n"/>
      <c r="O55" s="268" t="n"/>
      <c r="P55" s="268" t="n"/>
      <c r="Q55" s="268" t="n"/>
      <c r="R55" s="268" t="n"/>
      <c r="S55" s="268" t="n"/>
      <c r="T55" s="268" t="n"/>
      <c r="U55" s="268" t="n"/>
      <c r="V55" s="268" t="n"/>
      <c r="W55" s="268" t="n"/>
      <c r="X55" s="268" t="n"/>
      <c r="Y55" s="268" t="n"/>
      <c r="Z55" s="268" t="n"/>
      <c r="AA55" s="268" t="n"/>
      <c r="AB55" s="268" t="n"/>
      <c r="AC55" s="268" t="n"/>
      <c r="AD55" s="268" t="n"/>
      <c r="AE55" s="268" t="n"/>
      <c r="AF55" s="268" t="n"/>
    </row>
    <row r="56">
      <c r="A56" t="inlineStr">
        <is>
          <t xml:space="preserve">Wolverhampton - Respite </t>
        </is>
      </c>
      <c r="Q56" s="272" t="n"/>
      <c r="R56" s="25" t="n"/>
    </row>
    <row r="57">
      <c r="A57" t="inlineStr">
        <is>
          <t>Wolverhampton - Daycare</t>
        </is>
      </c>
      <c r="Q57" s="25" t="n"/>
      <c r="R57" s="25" t="n"/>
    </row>
    <row r="58">
      <c r="A58" t="inlineStr">
        <is>
          <t>Walsall - Respite</t>
        </is>
      </c>
    </row>
    <row r="59">
      <c r="A59" t="inlineStr">
        <is>
          <t>Walsall - Daycare</t>
        </is>
      </c>
    </row>
    <row r="60">
      <c r="A60" t="inlineStr">
        <is>
          <t>Ideal for All Ltd - Direct Payments</t>
        </is>
      </c>
    </row>
    <row r="61">
      <c r="A61" t="inlineStr">
        <is>
          <t>Kirklees - Supported Living</t>
        </is>
      </c>
    </row>
    <row r="62">
      <c r="A62" t="inlineStr">
        <is>
          <t>LB Hillingdon - Supported Living</t>
        </is>
      </c>
    </row>
    <row r="63">
      <c r="A63" t="inlineStr">
        <is>
          <t>NHS Birmingham &amp; Solihull ICB</t>
        </is>
      </c>
    </row>
    <row r="64">
      <c r="A64" t="inlineStr">
        <is>
          <t>NHS Black Country ICB</t>
        </is>
      </c>
    </row>
    <row r="65">
      <c r="A65" t="inlineStr">
        <is>
          <t>Sandwell - HB</t>
        </is>
      </c>
    </row>
    <row r="66">
      <c r="A66" t="inlineStr">
        <is>
          <t>Sandwell MBC - Supported Living</t>
        </is>
      </c>
    </row>
    <row r="67">
      <c r="A67" t="inlineStr">
        <is>
          <t>Solihull MBC - Supported Living</t>
        </is>
      </c>
    </row>
    <row r="68">
      <c r="A68" t="inlineStr">
        <is>
          <t>Walsall - Supported Living</t>
        </is>
      </c>
    </row>
    <row r="69">
      <c r="A69" t="inlineStr">
        <is>
          <t>Wolverhampton - Supported Living</t>
        </is>
      </c>
    </row>
    <row r="70">
      <c r="A70" t="inlineStr">
        <is>
          <t>People Plus - Direct Payments</t>
        </is>
      </c>
    </row>
    <row r="71">
      <c r="A71" t="inlineStr">
        <is>
          <t>Middlesbrough - Supported Living</t>
        </is>
      </c>
    </row>
    <row r="72">
      <c r="A72" t="inlineStr">
        <is>
          <t>Other HB and SC</t>
        </is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5">
    <outlinePr summaryBelow="1" summaryRight="1"/>
    <pageSetUpPr/>
  </sheetPr>
  <dimension ref="A1:AD25"/>
  <sheetViews>
    <sheetView workbookViewId="0">
      <selection activeCell="A14" sqref="A14:XFD14"/>
    </sheetView>
  </sheetViews>
  <sheetFormatPr baseColWidth="8" defaultRowHeight="15"/>
  <cols>
    <col width="37.140625" bestFit="1" customWidth="1" min="1" max="1"/>
    <col width="15.85546875" bestFit="1" customWidth="1" min="2" max="29"/>
    <col width="10.42578125" bestFit="1" customWidth="1" min="30" max="30"/>
  </cols>
  <sheetData>
    <row r="1">
      <c r="B1" s="237" t="inlineStr">
        <is>
          <t>Sunday</t>
        </is>
      </c>
      <c r="C1" s="237" t="inlineStr">
        <is>
          <t>Monday</t>
        </is>
      </c>
      <c r="D1" s="237" t="inlineStr">
        <is>
          <t>Tuesday</t>
        </is>
      </c>
      <c r="E1" s="237" t="inlineStr">
        <is>
          <t>Wednesday</t>
        </is>
      </c>
      <c r="F1" s="237" t="inlineStr">
        <is>
          <t>Thursday</t>
        </is>
      </c>
      <c r="G1" s="237" t="inlineStr">
        <is>
          <t>Friday</t>
        </is>
      </c>
      <c r="H1" s="237" t="inlineStr">
        <is>
          <t>Saturday</t>
        </is>
      </c>
      <c r="I1" s="237" t="inlineStr">
        <is>
          <t>Sunday</t>
        </is>
      </c>
      <c r="J1" s="237" t="inlineStr">
        <is>
          <t>Monday</t>
        </is>
      </c>
      <c r="K1" s="237" t="inlineStr">
        <is>
          <t>Tuesday</t>
        </is>
      </c>
      <c r="L1" s="237" t="inlineStr">
        <is>
          <t>Wednesday</t>
        </is>
      </c>
      <c r="M1" s="237" t="inlineStr">
        <is>
          <t>Thursday</t>
        </is>
      </c>
      <c r="N1" s="237" t="inlineStr">
        <is>
          <t>Friday</t>
        </is>
      </c>
      <c r="O1" s="237" t="inlineStr">
        <is>
          <t>Saturday</t>
        </is>
      </c>
      <c r="P1" s="237" t="inlineStr">
        <is>
          <t>Sunday</t>
        </is>
      </c>
      <c r="Q1" s="237" t="inlineStr">
        <is>
          <t>Monday</t>
        </is>
      </c>
      <c r="R1" s="237" t="inlineStr">
        <is>
          <t>Tuesday</t>
        </is>
      </c>
      <c r="S1" s="237" t="inlineStr">
        <is>
          <t>Wednesday</t>
        </is>
      </c>
      <c r="T1" s="237" t="inlineStr">
        <is>
          <t>Thursday</t>
        </is>
      </c>
      <c r="U1" s="237" t="inlineStr">
        <is>
          <t>Friday</t>
        </is>
      </c>
      <c r="V1" s="237" t="inlineStr">
        <is>
          <t>Saturday</t>
        </is>
      </c>
      <c r="W1" s="237" t="inlineStr">
        <is>
          <t>Sunday</t>
        </is>
      </c>
      <c r="X1" s="237" t="inlineStr">
        <is>
          <t>Monday</t>
        </is>
      </c>
      <c r="Y1" s="237" t="inlineStr">
        <is>
          <t>Tuesday</t>
        </is>
      </c>
      <c r="Z1" s="237" t="inlineStr">
        <is>
          <t>Wednesday</t>
        </is>
      </c>
      <c r="AA1" s="237" t="inlineStr">
        <is>
          <t>Thursday</t>
        </is>
      </c>
      <c r="AB1" s="237" t="inlineStr">
        <is>
          <t>Friday</t>
        </is>
      </c>
      <c r="AC1" s="237" t="inlineStr">
        <is>
          <t>Saturday</t>
        </is>
      </c>
      <c r="AD1" s="237" t="inlineStr">
        <is>
          <t>Total</t>
        </is>
      </c>
    </row>
    <row r="2" customFormat="1" s="255">
      <c r="B2" s="274" t="n">
        <v>46054</v>
      </c>
      <c r="C2" s="274" t="n">
        <v>46055</v>
      </c>
      <c r="D2" s="274" t="n">
        <v>46056</v>
      </c>
      <c r="E2" s="274" t="n">
        <v>46057</v>
      </c>
      <c r="F2" s="274" t="n">
        <v>46058</v>
      </c>
      <c r="G2" s="274" t="n">
        <v>46059</v>
      </c>
      <c r="H2" s="274" t="n">
        <v>46060</v>
      </c>
      <c r="I2" s="274" t="n">
        <v>46061</v>
      </c>
      <c r="J2" s="274" t="n">
        <v>46062</v>
      </c>
      <c r="K2" s="274" t="n">
        <v>46063</v>
      </c>
      <c r="L2" s="274" t="n">
        <v>46064</v>
      </c>
      <c r="M2" s="274" t="n">
        <v>46065</v>
      </c>
      <c r="N2" s="274" t="n">
        <v>46066</v>
      </c>
      <c r="O2" s="274" t="n">
        <v>46067</v>
      </c>
      <c r="P2" s="274" t="n">
        <v>46068</v>
      </c>
      <c r="Q2" s="274" t="n">
        <v>46069</v>
      </c>
      <c r="R2" s="274" t="n">
        <v>46070</v>
      </c>
      <c r="S2" s="274" t="n">
        <v>46071</v>
      </c>
      <c r="T2" s="274" t="n">
        <v>46072</v>
      </c>
      <c r="U2" s="274" t="n">
        <v>46073</v>
      </c>
      <c r="V2" s="274" t="n">
        <v>46074</v>
      </c>
      <c r="W2" s="274" t="n">
        <v>46075</v>
      </c>
      <c r="X2" s="274" t="n">
        <v>46076</v>
      </c>
      <c r="Y2" s="274" t="n">
        <v>46077</v>
      </c>
      <c r="Z2" s="274" t="n">
        <v>46078</v>
      </c>
      <c r="AA2" s="274" t="n">
        <v>46079</v>
      </c>
      <c r="AB2" s="274" t="n">
        <v>46080</v>
      </c>
      <c r="AC2" s="274" t="n">
        <v>46081</v>
      </c>
    </row>
    <row r="3">
      <c r="A3" s="237" t="inlineStr">
        <is>
          <t>Birmingham City Council - Supported Living</t>
        </is>
      </c>
      <c r="B3" s="268" t="n"/>
      <c r="C3" s="268" t="n"/>
      <c r="D3" s="268" t="n"/>
      <c r="E3" s="268" t="n"/>
      <c r="F3" t="n">
        <v>59419.08</v>
      </c>
      <c r="G3" s="268" t="n"/>
      <c r="H3" s="268" t="n"/>
      <c r="I3" s="268" t="n"/>
      <c r="J3" s="268" t="n"/>
      <c r="K3" s="268" t="n"/>
      <c r="L3" s="268" t="n"/>
      <c r="M3" s="268" t="n"/>
      <c r="N3" s="268" t="n"/>
      <c r="O3" s="268" t="n"/>
      <c r="P3" s="268" t="n"/>
      <c r="Q3" s="268" t="n"/>
      <c r="R3" s="268" t="n"/>
      <c r="S3" s="268" t="n"/>
      <c r="T3" s="268" t="n"/>
      <c r="U3" s="268" t="n"/>
      <c r="V3" s="268" t="n"/>
      <c r="W3" s="268" t="n"/>
      <c r="Y3" s="268" t="n">
        <v>59419.08</v>
      </c>
      <c r="Z3" s="268" t="n"/>
      <c r="AA3" s="268" t="n"/>
      <c r="AB3" t="n">
        <v>12166.56</v>
      </c>
      <c r="AC3" s="268" t="n"/>
      <c r="AD3" s="235">
        <f>SUM(B3:AC3)</f>
        <v/>
      </c>
    </row>
    <row r="4">
      <c r="A4" s="237" t="inlineStr">
        <is>
          <t>Haringey</t>
        </is>
      </c>
      <c r="B4" s="268" t="n"/>
      <c r="C4" s="268" t="n"/>
      <c r="D4" s="268" t="n"/>
      <c r="E4" s="268" t="n"/>
      <c r="F4" s="268" t="n"/>
      <c r="G4" s="268" t="n"/>
      <c r="H4" s="268" t="n"/>
      <c r="I4" s="268" t="n"/>
      <c r="J4" s="268" t="n"/>
      <c r="K4" s="268" t="n"/>
      <c r="L4" s="268" t="n"/>
      <c r="M4" s="268" t="n"/>
      <c r="N4" s="268" t="n"/>
      <c r="O4" s="268" t="n"/>
      <c r="P4" s="268" t="n"/>
      <c r="Q4" s="268" t="n"/>
      <c r="R4" s="268" t="n"/>
      <c r="S4" s="270" t="n"/>
      <c r="T4" s="12" t="n"/>
      <c r="U4" s="268" t="n"/>
      <c r="V4" s="268" t="n"/>
      <c r="W4" s="268" t="n"/>
      <c r="X4" s="268" t="n"/>
      <c r="Y4" s="268" t="n"/>
      <c r="Z4" s="268" t="n"/>
      <c r="AA4" s="268" t="n"/>
      <c r="AB4" s="268" t="n"/>
      <c r="AC4" s="268" t="n"/>
      <c r="AD4" s="235">
        <f>SUM(B4:AC4)</f>
        <v/>
      </c>
    </row>
    <row r="5">
      <c r="A5" s="237" t="inlineStr">
        <is>
          <t>Sandwell MBC - Respite</t>
        </is>
      </c>
      <c r="B5" s="268" t="n"/>
      <c r="C5" s="25">
        <f>143597.66-C17</f>
        <v/>
      </c>
      <c r="D5" s="268" t="n"/>
      <c r="E5" s="268" t="n"/>
      <c r="F5" s="268" t="n"/>
      <c r="G5" s="268" t="n"/>
      <c r="H5" s="268" t="n"/>
      <c r="I5" s="268" t="n"/>
      <c r="J5" s="268" t="n"/>
      <c r="K5" s="268" t="n"/>
      <c r="L5" s="268" t="n"/>
      <c r="M5" s="268" t="n"/>
      <c r="N5" s="268" t="n"/>
      <c r="O5" s="268" t="n"/>
      <c r="P5" s="268" t="n"/>
      <c r="R5" s="268" t="n"/>
      <c r="S5" s="268" t="n"/>
      <c r="U5" s="268" t="n"/>
      <c r="V5" s="268" t="n"/>
      <c r="W5" s="268" t="n"/>
      <c r="X5" s="268" t="n"/>
      <c r="Y5" s="268" t="n"/>
      <c r="AA5" s="268" t="n"/>
      <c r="AC5" s="268" t="n"/>
      <c r="AD5" s="235">
        <f>SUM(B5:AC5)</f>
        <v/>
      </c>
    </row>
    <row r="6">
      <c r="A6" s="237" t="inlineStr">
        <is>
          <t>Sandwell MBC - Daycare</t>
        </is>
      </c>
      <c r="B6" s="268" t="n"/>
      <c r="C6" s="268" t="n"/>
      <c r="D6" s="268" t="n"/>
      <c r="E6" s="268" t="n"/>
      <c r="F6" s="268" t="n"/>
      <c r="G6" t="n">
        <v>6840</v>
      </c>
      <c r="H6" s="268" t="n"/>
      <c r="I6" s="268" t="n"/>
      <c r="J6" s="268" t="n"/>
      <c r="K6" s="268" t="n"/>
      <c r="L6" s="268" t="n"/>
      <c r="M6" s="268" t="n"/>
      <c r="N6" s="268" t="n"/>
      <c r="O6" s="268" t="n"/>
      <c r="P6" s="268" t="n"/>
      <c r="Q6" s="268" t="n"/>
      <c r="R6" s="268" t="n"/>
      <c r="S6" s="268" t="n"/>
      <c r="T6" s="268" t="n"/>
      <c r="U6" s="275" t="n">
        <v>6330.68666666667</v>
      </c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35">
        <f>SUM(B6:AC6)</f>
        <v/>
      </c>
    </row>
    <row r="7">
      <c r="A7" s="237" t="inlineStr">
        <is>
          <t xml:space="preserve">Wolverhampton - Respite </t>
        </is>
      </c>
      <c r="B7" s="268" t="n">
        <v>0</v>
      </c>
      <c r="C7" s="268" t="n">
        <v>0</v>
      </c>
      <c r="D7" s="268" t="n">
        <v>0</v>
      </c>
      <c r="E7" s="268" t="n">
        <v>0</v>
      </c>
      <c r="F7" s="268" t="n">
        <v>0</v>
      </c>
      <c r="G7" s="268" t="n">
        <v>0</v>
      </c>
      <c r="H7" s="268" t="n">
        <v>0</v>
      </c>
      <c r="I7" s="268" t="n">
        <v>0</v>
      </c>
      <c r="J7" s="268" t="n">
        <v>0</v>
      </c>
      <c r="K7" s="268" t="n">
        <v>0</v>
      </c>
      <c r="L7" s="268" t="n">
        <v>0</v>
      </c>
      <c r="M7" s="268" t="n">
        <v>0</v>
      </c>
      <c r="N7" s="268" t="n">
        <v>0</v>
      </c>
      <c r="O7" s="268" t="n">
        <v>0</v>
      </c>
      <c r="P7" s="268" t="n">
        <v>0</v>
      </c>
      <c r="Q7" s="268" t="n">
        <v>0</v>
      </c>
      <c r="R7" s="268" t="n">
        <v>0</v>
      </c>
      <c r="S7" s="268" t="n">
        <v>0</v>
      </c>
      <c r="T7" s="268" t="n">
        <v>0</v>
      </c>
      <c r="U7" s="268" t="n">
        <v>0</v>
      </c>
      <c r="V7" s="268" t="n">
        <v>0</v>
      </c>
      <c r="W7" s="268" t="n">
        <v>0</v>
      </c>
      <c r="X7" s="268" t="n">
        <v>0</v>
      </c>
      <c r="Y7" s="268" t="n">
        <v>0</v>
      </c>
      <c r="Z7" s="268" t="n">
        <v>0</v>
      </c>
      <c r="AA7" s="268" t="n">
        <v>0</v>
      </c>
      <c r="AB7" s="268" t="n">
        <v>0</v>
      </c>
      <c r="AC7" s="268" t="n">
        <v>0</v>
      </c>
      <c r="AD7" s="235">
        <f>SUM(B7:AC7)</f>
        <v/>
      </c>
    </row>
    <row r="8">
      <c r="A8" s="237" t="inlineStr">
        <is>
          <t>Wolverhampton - Daycare</t>
        </is>
      </c>
      <c r="B8" s="268" t="n"/>
      <c r="C8" s="268" t="n"/>
      <c r="D8" s="268" t="n"/>
      <c r="E8" s="268" t="n"/>
      <c r="F8" s="275" t="n">
        <v>5606.3</v>
      </c>
      <c r="G8" s="268" t="n"/>
      <c r="H8" s="268" t="n"/>
      <c r="I8" s="268" t="n"/>
      <c r="J8" s="268" t="n"/>
      <c r="K8" s="268" t="n"/>
      <c r="L8" s="268" t="n"/>
      <c r="M8" s="275" t="n">
        <v>5606.3</v>
      </c>
      <c r="N8" s="268" t="n"/>
      <c r="O8" s="268" t="n"/>
      <c r="P8" s="268" t="n"/>
      <c r="Q8" s="268" t="n"/>
      <c r="R8" s="268" t="n"/>
      <c r="S8" s="268" t="n"/>
      <c r="T8" s="275" t="n">
        <v>5606.3</v>
      </c>
      <c r="U8" s="268" t="n"/>
      <c r="V8" s="268" t="n"/>
      <c r="W8" s="268" t="n"/>
      <c r="X8" s="268" t="n"/>
      <c r="Y8" s="268" t="n"/>
      <c r="Z8" s="268" t="n"/>
      <c r="AA8" s="275" t="n">
        <v>5606.3</v>
      </c>
      <c r="AB8" s="268" t="n"/>
      <c r="AC8" s="268" t="n"/>
      <c r="AD8" s="235">
        <f>SUM(B8:AC8)</f>
        <v/>
      </c>
    </row>
    <row r="9">
      <c r="A9" s="237" t="inlineStr">
        <is>
          <t>Walsall - Respite</t>
        </is>
      </c>
      <c r="B9" s="268" t="n"/>
      <c r="C9" s="268" t="n"/>
      <c r="D9" s="268" t="n"/>
      <c r="E9" s="268" t="n"/>
      <c r="F9" s="268" t="n"/>
      <c r="G9" s="268" t="n"/>
      <c r="H9" s="268" t="n"/>
      <c r="I9" s="268" t="n"/>
      <c r="J9" s="268" t="n"/>
      <c r="K9" s="275" t="n">
        <v>11460.8</v>
      </c>
      <c r="L9" s="268" t="n"/>
      <c r="M9" s="268" t="n"/>
      <c r="N9" s="268" t="n"/>
      <c r="O9" s="268" t="n"/>
      <c r="P9" s="268" t="n"/>
      <c r="Q9" s="268" t="n"/>
      <c r="R9" s="268" t="n"/>
      <c r="S9" s="268" t="n"/>
      <c r="T9" s="268" t="n"/>
      <c r="U9" s="268" t="n"/>
      <c r="V9" s="268" t="n"/>
      <c r="W9" s="268" t="n"/>
      <c r="X9" s="268" t="n"/>
      <c r="Y9" s="268" t="n"/>
      <c r="Z9" s="268" t="n"/>
      <c r="AA9" s="268" t="n"/>
      <c r="AB9" s="268" t="n"/>
      <c r="AC9" s="268" t="n"/>
      <c r="AD9" s="235">
        <f>SUM(B9:AC9)</f>
        <v/>
      </c>
    </row>
    <row r="10">
      <c r="A10" s="237" t="inlineStr">
        <is>
          <t>Walsall - Daycare</t>
        </is>
      </c>
      <c r="B10" s="268" t="n">
        <v>0</v>
      </c>
      <c r="C10" s="268" t="n">
        <v>0</v>
      </c>
      <c r="D10" s="268" t="n">
        <v>0</v>
      </c>
      <c r="E10" s="268" t="n">
        <v>0</v>
      </c>
      <c r="F10" s="268" t="n">
        <v>0</v>
      </c>
      <c r="G10" s="268" t="n">
        <v>0</v>
      </c>
      <c r="H10" s="268" t="n">
        <v>0</v>
      </c>
      <c r="I10" s="268" t="n">
        <v>0</v>
      </c>
      <c r="J10" s="268" t="n">
        <v>0</v>
      </c>
      <c r="K10" s="268" t="n">
        <v>0</v>
      </c>
      <c r="L10" s="268" t="n">
        <v>0</v>
      </c>
      <c r="M10" s="268" t="n">
        <v>0</v>
      </c>
      <c r="N10" s="268" t="n">
        <v>0</v>
      </c>
      <c r="O10" s="268" t="n">
        <v>0</v>
      </c>
      <c r="P10" s="268" t="n">
        <v>0</v>
      </c>
      <c r="Q10" s="268" t="n">
        <v>0</v>
      </c>
      <c r="R10" s="268" t="n">
        <v>0</v>
      </c>
      <c r="S10" s="268" t="n">
        <v>0</v>
      </c>
      <c r="T10" s="268" t="n">
        <v>0</v>
      </c>
      <c r="U10" s="268" t="n">
        <v>0</v>
      </c>
      <c r="V10" s="268" t="n">
        <v>0</v>
      </c>
      <c r="W10" s="268" t="n">
        <v>0</v>
      </c>
      <c r="X10" s="268" t="n">
        <v>0</v>
      </c>
      <c r="Y10" s="268" t="n">
        <v>0</v>
      </c>
      <c r="Z10" s="268" t="n">
        <v>0</v>
      </c>
      <c r="AA10" s="268" t="n">
        <v>0</v>
      </c>
      <c r="AB10" s="268" t="n">
        <v>0</v>
      </c>
      <c r="AC10" s="268" t="n">
        <v>0</v>
      </c>
      <c r="AD10" s="235">
        <f>SUM(B10:AC10)</f>
        <v/>
      </c>
    </row>
    <row r="11">
      <c r="A11" s="237" t="inlineStr">
        <is>
          <t>Ideal for All Ltd - Direct Payments</t>
        </is>
      </c>
      <c r="B11" s="268" t="n"/>
      <c r="C11" s="268" t="n"/>
      <c r="D11" s="268" t="n"/>
      <c r="E11" s="268" t="n"/>
      <c r="F11" s="268" t="n"/>
      <c r="G11" t="n">
        <v>4131.62</v>
      </c>
      <c r="H11" s="268" t="n"/>
      <c r="I11" s="268" t="n"/>
      <c r="J11" s="268" t="n"/>
      <c r="K11" s="268" t="n"/>
      <c r="L11" s="268" t="n"/>
      <c r="M11" s="268" t="n"/>
      <c r="N11" s="268" t="n"/>
      <c r="O11" s="268" t="n"/>
      <c r="P11" s="268" t="n"/>
      <c r="Q11" s="268" t="n"/>
      <c r="R11" s="268" t="n"/>
      <c r="S11" s="268" t="n"/>
      <c r="T11" s="268" t="n"/>
      <c r="U11" s="268" t="n"/>
      <c r="V11" s="268" t="n"/>
      <c r="W11" s="268" t="n"/>
      <c r="X11" s="268" t="n"/>
      <c r="Y11" s="268" t="n"/>
      <c r="Z11" s="268" t="n"/>
      <c r="AA11" s="268" t="n"/>
      <c r="AB11" s="268" t="n"/>
      <c r="AC11" s="268" t="n"/>
      <c r="AD11" s="235">
        <f>SUM(B11:AC11)</f>
        <v/>
      </c>
    </row>
    <row r="12">
      <c r="A12" s="237" t="inlineStr">
        <is>
          <t>Kirklees - Supported Living</t>
        </is>
      </c>
      <c r="B12" s="268" t="n"/>
      <c r="C12" s="268" t="n"/>
      <c r="D12" s="268" t="n"/>
      <c r="E12" s="268" t="n"/>
      <c r="F12" s="268" t="n"/>
      <c r="H12" s="268" t="n"/>
      <c r="I12" s="268" t="n"/>
      <c r="K12" s="268" t="n"/>
      <c r="M12" s="268" t="n"/>
      <c r="O12" s="268" t="n"/>
      <c r="P12" s="268" t="n"/>
      <c r="Q12" s="268" t="n"/>
      <c r="R12" s="268" t="n"/>
      <c r="S12" s="268" t="n"/>
      <c r="U12" s="268" t="n"/>
      <c r="V12" s="268" t="n"/>
      <c r="W12" s="268" t="n"/>
      <c r="X12" s="268" t="n"/>
      <c r="Y12" s="268" t="n"/>
      <c r="Z12" s="275" t="n">
        <v>5458.48</v>
      </c>
      <c r="AA12" s="268" t="n"/>
      <c r="AB12" s="268" t="n"/>
      <c r="AC12" s="268" t="n"/>
      <c r="AD12" s="235">
        <f>SUM(B12:AC12)</f>
        <v/>
      </c>
    </row>
    <row r="13">
      <c r="A13" s="237" t="inlineStr">
        <is>
          <t>LB Hillingdon - Supported Living</t>
        </is>
      </c>
      <c r="B13" s="268" t="n"/>
      <c r="C13" s="268" t="n"/>
      <c r="D13" s="268" t="n"/>
      <c r="E13" s="268" t="n"/>
      <c r="F13" s="268" t="n"/>
      <c r="G13" s="268" t="n"/>
      <c r="H13" s="268" t="n"/>
      <c r="I13" s="268" t="n"/>
      <c r="K13" s="268" t="n"/>
      <c r="M13" s="268" t="n"/>
      <c r="N13" s="268" t="n"/>
      <c r="O13" s="268" t="n"/>
      <c r="P13" s="268" t="n"/>
      <c r="R13" s="268" t="n"/>
      <c r="S13" t="n">
        <v>5203.8</v>
      </c>
      <c r="T13" s="275" t="n"/>
      <c r="U13" s="268" t="n"/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35">
        <f>SUM(B13:AC13)</f>
        <v/>
      </c>
    </row>
    <row r="14">
      <c r="A14" s="237" t="inlineStr">
        <is>
          <t>NHS Birmingham &amp; Solihull ICB</t>
        </is>
      </c>
      <c r="B14" s="268" t="n"/>
      <c r="C14" s="268" t="n"/>
      <c r="D14" s="268" t="n"/>
      <c r="E14" s="268" t="n"/>
      <c r="F14" s="268" t="n"/>
      <c r="H14" s="268" t="n"/>
      <c r="I14" s="268" t="n"/>
      <c r="K14" s="268" t="n"/>
      <c r="M14" s="268" t="n"/>
      <c r="N14" t="n">
        <v>7814.17</v>
      </c>
      <c r="O14" s="268" t="n"/>
      <c r="P14" s="268" t="n"/>
      <c r="Q14" s="268" t="n"/>
      <c r="R14" s="268" t="n"/>
      <c r="S14" s="268" t="n"/>
      <c r="T14" s="268" t="n"/>
      <c r="U14" s="268" t="n"/>
      <c r="V14" s="268" t="n"/>
      <c r="W14" s="268" t="n"/>
      <c r="X14" s="268" t="n"/>
      <c r="Y14" s="268" t="n"/>
      <c r="Z14" s="268" t="n"/>
      <c r="AA14" s="268" t="n"/>
      <c r="AC14" s="268" t="n"/>
      <c r="AD14" s="235">
        <f>SUM(B14:AC14)</f>
        <v/>
      </c>
    </row>
    <row r="15">
      <c r="A15" s="237" t="inlineStr">
        <is>
          <t>NHS Black Country ICB</t>
        </is>
      </c>
      <c r="B15" s="268" t="n"/>
      <c r="C15" s="268" t="n"/>
      <c r="D15" s="268" t="n"/>
      <c r="E15" s="268" t="n"/>
      <c r="F15" s="268" t="n"/>
      <c r="G15" s="268" t="n"/>
      <c r="H15" s="268" t="n"/>
      <c r="I15" s="268" t="n"/>
      <c r="J15" s="268" t="n"/>
      <c r="K15" s="268" t="n"/>
      <c r="L15" s="268" t="n"/>
      <c r="M15" s="268" t="n"/>
      <c r="N15" t="n">
        <v>2996.16</v>
      </c>
      <c r="O15" s="268" t="n"/>
      <c r="P15" s="268" t="n"/>
      <c r="Q15" s="268" t="n"/>
      <c r="R15" s="268" t="n"/>
      <c r="S15" s="268" t="n"/>
      <c r="T15" t="n">
        <v>5533.04</v>
      </c>
      <c r="U15" s="268" t="n"/>
      <c r="V15" s="268" t="n"/>
      <c r="W15" s="268" t="n"/>
      <c r="X15" s="268" t="n"/>
      <c r="Y15" s="268" t="n"/>
      <c r="Z15" s="268" t="n"/>
      <c r="AA15" s="268" t="n"/>
      <c r="AB15" t="n">
        <v>7969.15</v>
      </c>
      <c r="AC15" s="268" t="n"/>
      <c r="AD15" s="235">
        <f>SUM(B15:AC15)</f>
        <v/>
      </c>
    </row>
    <row r="16">
      <c r="A16" s="237" t="inlineStr">
        <is>
          <t>Sandwell - HB</t>
        </is>
      </c>
      <c r="B16" s="268" t="n">
        <v>0</v>
      </c>
      <c r="C16" s="268" t="n">
        <v>0</v>
      </c>
      <c r="D16" s="268" t="n">
        <v>0</v>
      </c>
      <c r="E16" s="268" t="n">
        <v>0</v>
      </c>
      <c r="F16" s="268" t="n">
        <v>0</v>
      </c>
      <c r="G16" s="268" t="n">
        <v>0</v>
      </c>
      <c r="H16" s="268" t="n">
        <v>0</v>
      </c>
      <c r="I16" s="268" t="n">
        <v>0</v>
      </c>
      <c r="J16" s="268" t="n">
        <v>0</v>
      </c>
      <c r="K16" s="268" t="n">
        <v>0</v>
      </c>
      <c r="L16" s="268" t="n">
        <v>0</v>
      </c>
      <c r="M16" s="268" t="n">
        <v>0</v>
      </c>
      <c r="N16" s="268" t="n">
        <v>0</v>
      </c>
      <c r="O16" s="268" t="n">
        <v>0</v>
      </c>
      <c r="P16" s="268" t="n">
        <v>0</v>
      </c>
      <c r="Q16" s="268" t="n">
        <v>0</v>
      </c>
      <c r="R16" s="268" t="n">
        <v>0</v>
      </c>
      <c r="S16" s="268" t="n">
        <v>0</v>
      </c>
      <c r="T16" s="268" t="n">
        <v>0</v>
      </c>
      <c r="U16" s="268" t="n">
        <v>0</v>
      </c>
      <c r="V16" s="268" t="n">
        <v>0</v>
      </c>
      <c r="W16" s="268" t="n">
        <v>0</v>
      </c>
      <c r="X16" s="268" t="n">
        <v>0</v>
      </c>
      <c r="Y16" s="268" t="n">
        <v>0</v>
      </c>
      <c r="Z16" s="268" t="n"/>
      <c r="AA16" s="268" t="n">
        <v>0</v>
      </c>
      <c r="AB16" s="268" t="n">
        <v>0</v>
      </c>
      <c r="AC16" s="268" t="n">
        <v>0</v>
      </c>
      <c r="AD16" s="235">
        <f>SUM(B16:AC16)</f>
        <v/>
      </c>
    </row>
    <row r="17">
      <c r="A17" s="237" t="inlineStr">
        <is>
          <t>Sandwell MBC - Supported Living</t>
        </is>
      </c>
      <c r="B17" s="268" t="n"/>
      <c r="C17" s="154" t="n">
        <v>102346.91</v>
      </c>
      <c r="D17" s="268" t="n"/>
      <c r="E17" s="268" t="n"/>
      <c r="F17" s="268" t="n"/>
      <c r="G17" s="268" t="n"/>
      <c r="H17" s="268" t="n"/>
      <c r="I17" s="268" t="n"/>
      <c r="J17" s="268" t="n"/>
      <c r="K17" s="268" t="n"/>
      <c r="L17" s="268" t="n"/>
      <c r="M17" s="268" t="n"/>
      <c r="N17" s="268" t="n"/>
      <c r="O17" s="268" t="n"/>
      <c r="P17" s="268" t="n"/>
      <c r="R17" s="268" t="n"/>
      <c r="S17" s="268" t="n"/>
      <c r="U17" s="268" t="n"/>
      <c r="V17" s="268" t="n"/>
      <c r="W17" s="268" t="n"/>
      <c r="X17" s="268" t="n"/>
      <c r="Z17" s="268" t="n"/>
      <c r="AA17" s="268" t="n"/>
      <c r="AB17" t="n">
        <v>163322.69</v>
      </c>
      <c r="AC17" s="268" t="n"/>
      <c r="AD17" s="235">
        <f>SUM(B17:AC17)</f>
        <v/>
      </c>
    </row>
    <row r="18">
      <c r="A18" s="237" t="inlineStr">
        <is>
          <t>Solihull MBC - Supported Living</t>
        </is>
      </c>
      <c r="B18" s="268" t="n"/>
      <c r="C18" s="268" t="n"/>
      <c r="D18" s="268" t="n"/>
      <c r="E18" s="268" t="n"/>
      <c r="F18" s="268" t="n"/>
      <c r="G18" s="268" t="n"/>
      <c r="H18" s="268" t="n"/>
      <c r="I18" s="268" t="n"/>
      <c r="J18" s="268" t="n"/>
      <c r="K18" s="268" t="n"/>
      <c r="L18" s="268" t="n"/>
      <c r="M18" s="268" t="n"/>
      <c r="N18" s="268" t="n"/>
      <c r="O18" s="268" t="n"/>
      <c r="P18" s="268" t="n"/>
      <c r="Q18" s="268" t="n"/>
      <c r="R18" s="268" t="n"/>
      <c r="S18" s="268" t="n"/>
      <c r="T18" s="268" t="n"/>
      <c r="U18" s="268" t="n"/>
      <c r="V18" s="268" t="n"/>
      <c r="W18" s="268" t="n"/>
      <c r="X18" t="n">
        <v>33031.6</v>
      </c>
      <c r="Y18" s="268" t="n"/>
      <c r="Z18" s="268" t="n"/>
      <c r="AA18" s="268" t="n"/>
      <c r="AB18" s="268" t="n"/>
      <c r="AC18" s="268" t="n"/>
      <c r="AD18" s="235">
        <f>SUM(B18:AC18)</f>
        <v/>
      </c>
    </row>
    <row r="19">
      <c r="A19" s="237" t="inlineStr">
        <is>
          <t>Walsall - Supported Living</t>
        </is>
      </c>
      <c r="B19" s="268" t="n"/>
      <c r="C19" s="268" t="n"/>
      <c r="D19" s="268" t="n"/>
      <c r="E19" s="268" t="n"/>
      <c r="F19" s="268" t="n"/>
      <c r="G19" s="268" t="n"/>
      <c r="H19" s="268" t="n"/>
      <c r="I19" s="268" t="n"/>
      <c r="J19" s="268" t="n"/>
      <c r="K19" s="275" t="n">
        <v>319655.76</v>
      </c>
      <c r="L19" s="268" t="n"/>
      <c r="M19" s="268" t="n"/>
      <c r="N19" s="268" t="n"/>
      <c r="O19" s="268" t="n"/>
      <c r="P19" s="268" t="n"/>
      <c r="Q19" s="268" t="n"/>
      <c r="R19" s="268" t="n"/>
      <c r="S19" s="268" t="n"/>
      <c r="T19" s="268" t="n"/>
      <c r="U19" s="268" t="n"/>
      <c r="V19" s="268" t="n"/>
      <c r="W19" s="268" t="n"/>
      <c r="X19" s="268" t="n"/>
      <c r="Y19" s="268" t="n"/>
      <c r="Z19" s="268" t="n"/>
      <c r="AA19" s="268" t="n"/>
      <c r="AB19" s="268" t="n"/>
      <c r="AC19" s="268" t="n"/>
      <c r="AD19" s="235">
        <f>SUM(B19:AC19)</f>
        <v/>
      </c>
    </row>
    <row r="20">
      <c r="A20" s="237" t="inlineStr">
        <is>
          <t>Wolverhampton - Supported Living</t>
        </is>
      </c>
      <c r="B20" s="268" t="n"/>
      <c r="C20" s="268" t="n"/>
      <c r="D20" s="268" t="n"/>
      <c r="E20" s="268" t="n"/>
      <c r="F20" s="275">
        <f>137871.25-F8</f>
        <v/>
      </c>
      <c r="G20" s="268" t="n"/>
      <c r="H20" s="268" t="n"/>
      <c r="I20" s="268" t="n"/>
      <c r="J20" s="268" t="n"/>
      <c r="K20" s="268" t="n"/>
      <c r="L20" s="268" t="n"/>
      <c r="M20" s="25">
        <f>137871.25-M8</f>
        <v/>
      </c>
      <c r="N20" s="268" t="n"/>
      <c r="O20" s="268" t="n"/>
      <c r="P20" s="268" t="n"/>
      <c r="Q20" s="268" t="n"/>
      <c r="R20" s="268" t="n"/>
      <c r="S20" s="268" t="n"/>
      <c r="T20" s="275">
        <f>137871.25-T8</f>
        <v/>
      </c>
      <c r="U20" s="268" t="n"/>
      <c r="V20" s="268" t="n"/>
      <c r="W20" s="268" t="n"/>
      <c r="X20" s="268" t="n"/>
      <c r="Y20" s="268" t="n"/>
      <c r="Z20" s="268" t="n"/>
      <c r="AA20" s="275">
        <f>137871.25-AA8</f>
        <v/>
      </c>
      <c r="AB20" s="268" t="n"/>
      <c r="AC20" s="268" t="n"/>
      <c r="AD20" s="235">
        <f>SUM(B20:AC20)</f>
        <v/>
      </c>
    </row>
    <row r="21">
      <c r="A21" s="237" t="inlineStr">
        <is>
          <t>People Plus - Direct Payments</t>
        </is>
      </c>
      <c r="B21" s="268" t="n"/>
      <c r="C21" s="268" t="n"/>
      <c r="D21" s="268" t="n"/>
      <c r="E21" s="268" t="n"/>
      <c r="F21" t="n">
        <v>21527.2</v>
      </c>
      <c r="G21" s="268" t="n"/>
      <c r="H21" s="268" t="n"/>
      <c r="I21" s="268" t="n"/>
      <c r="J21" s="268" t="n"/>
      <c r="K21" s="268" t="n"/>
      <c r="L21" s="268" t="n"/>
      <c r="M21" s="268" t="n"/>
      <c r="N21" s="268" t="n"/>
      <c r="O21" s="268" t="n"/>
      <c r="P21" s="268" t="n"/>
      <c r="Q21" s="268" t="n"/>
      <c r="R21" s="268" t="n"/>
      <c r="S21" s="268" t="n"/>
      <c r="T21" s="268" t="n"/>
      <c r="U21" s="268" t="n"/>
      <c r="V21" s="268" t="n"/>
      <c r="W21" s="268" t="n"/>
      <c r="X21" s="268" t="n"/>
      <c r="Y21" s="268" t="n"/>
      <c r="Z21" s="268" t="n"/>
      <c r="AA21" s="268" t="n"/>
      <c r="AB21" s="268" t="n"/>
      <c r="AC21" s="268" t="n"/>
      <c r="AD21" s="235">
        <f>SUM(B21:AC21)</f>
        <v/>
      </c>
    </row>
    <row r="22">
      <c r="A22" s="237" t="inlineStr">
        <is>
          <t>Middlesbrough - Supported Living</t>
        </is>
      </c>
      <c r="B22" s="268" t="n"/>
      <c r="C22" s="268" t="n"/>
      <c r="D22" s="268" t="n"/>
      <c r="E22" s="268" t="n"/>
      <c r="F22" s="268" t="n"/>
      <c r="G22" s="268" t="n"/>
      <c r="H22" s="268" t="n"/>
      <c r="I22" s="268" t="n"/>
      <c r="J22" s="268" t="n"/>
      <c r="K22" s="268" t="n"/>
      <c r="L22" s="268" t="n"/>
      <c r="M22" s="268" t="n"/>
      <c r="N22" s="268" t="n"/>
      <c r="O22" s="268" t="n"/>
      <c r="P22" s="268" t="n"/>
      <c r="Q22" s="268" t="n"/>
      <c r="R22" s="268" t="n"/>
      <c r="S22" s="268" t="n"/>
      <c r="T22" s="268" t="n"/>
      <c r="U22" t="n">
        <v>6115.4</v>
      </c>
      <c r="V22" s="268" t="n"/>
      <c r="W22" s="268" t="n"/>
      <c r="X22" s="268" t="n"/>
      <c r="Y22" s="268" t="n"/>
      <c r="Z22" s="268" t="n"/>
      <c r="AA22" s="268" t="n"/>
      <c r="AB22" s="268" t="n"/>
      <c r="AC22" s="268" t="n"/>
      <c r="AD22" s="235">
        <f>SUM(B22:AC22)</f>
        <v/>
      </c>
    </row>
    <row r="23" customFormat="1" s="237">
      <c r="A23" s="237" t="inlineStr">
        <is>
          <t>Chasing</t>
        </is>
      </c>
      <c r="G23" t="n">
        <v>5266.4</v>
      </c>
      <c r="AD23" s="235">
        <f>SUM(B23:AC23)</f>
        <v/>
      </c>
    </row>
    <row r="24">
      <c r="A24" s="237" t="inlineStr">
        <is>
          <t>Other HB and SC</t>
        </is>
      </c>
      <c r="B24" s="246" t="n">
        <v>1359.3</v>
      </c>
      <c r="C24" s="275" t="n">
        <v>11194.12000000002</v>
      </c>
      <c r="D24" s="275" t="n">
        <v>3746.52</v>
      </c>
      <c r="E24" s="275" t="n">
        <v>4707.86</v>
      </c>
      <c r="F24" s="275" t="n">
        <v>3584.139999999999</v>
      </c>
      <c r="G24" s="275" t="n">
        <v>5178.659999999995</v>
      </c>
      <c r="H24" s="275" t="n">
        <v>0</v>
      </c>
      <c r="I24" s="246" t="n">
        <v>200</v>
      </c>
      <c r="J24" s="275" t="n">
        <v>7878.870000000024</v>
      </c>
      <c r="K24" s="275" t="n">
        <v>4192.210000000021</v>
      </c>
      <c r="L24" s="275" t="n">
        <v>6284.53</v>
      </c>
      <c r="M24" s="275" t="n">
        <v>631.0799999999872</v>
      </c>
      <c r="N24" s="275" t="n">
        <v>7331.580000000004</v>
      </c>
      <c r="O24" s="275" t="n">
        <v>25</v>
      </c>
      <c r="P24" s="275" t="n">
        <v>0</v>
      </c>
      <c r="Q24" s="275" t="n">
        <v>8146.570000000001</v>
      </c>
      <c r="R24" s="275" t="n">
        <v>3889.46</v>
      </c>
      <c r="S24" s="275" t="n">
        <v>2853.92</v>
      </c>
      <c r="T24" s="275" t="n">
        <v>2853.92</v>
      </c>
      <c r="U24" s="275" t="n">
        <v>6704.540000000001</v>
      </c>
      <c r="V24" s="275" t="n">
        <v>1475</v>
      </c>
      <c r="W24" s="275" t="n">
        <v>200</v>
      </c>
      <c r="X24" s="275" t="n">
        <v>21454.19</v>
      </c>
      <c r="Y24" s="275" t="n">
        <v>1931.080000000002</v>
      </c>
      <c r="Z24" s="275" t="n">
        <v>2158.189999999944</v>
      </c>
      <c r="AA24" s="275" t="n">
        <v>2427.260000000009</v>
      </c>
      <c r="AB24" s="275" t="n">
        <v>8918.6</v>
      </c>
      <c r="AC24" s="275" t="n">
        <v>1162.84</v>
      </c>
      <c r="AD24" s="235">
        <f>SUM(B24:AC24)</f>
        <v/>
      </c>
    </row>
    <row r="25">
      <c r="A25" s="242" t="inlineStr">
        <is>
          <t>TOTAL</t>
        </is>
      </c>
      <c r="B25" s="276">
        <f>SUM(B3:B24)</f>
        <v/>
      </c>
      <c r="C25" s="276">
        <f>SUM(C3:C24)</f>
        <v/>
      </c>
      <c r="D25" s="276">
        <f>SUM(D3:D24)</f>
        <v/>
      </c>
      <c r="E25" s="276">
        <f>SUM(E3:E24)</f>
        <v/>
      </c>
      <c r="F25" s="276">
        <f>SUM(F3:F24)</f>
        <v/>
      </c>
      <c r="G25" s="276">
        <f>SUM(G3:G24)</f>
        <v/>
      </c>
      <c r="H25" s="276">
        <f>SUM(H3:H24)</f>
        <v/>
      </c>
      <c r="I25" s="276">
        <f>SUM(I3:I24)</f>
        <v/>
      </c>
      <c r="J25" s="276">
        <f>SUM(J3:J24)</f>
        <v/>
      </c>
      <c r="K25" s="276">
        <f>SUM(K3:K24)</f>
        <v/>
      </c>
      <c r="L25" s="276">
        <f>SUM(L3:L24)</f>
        <v/>
      </c>
      <c r="M25" s="276">
        <f>SUM(M3:M24)</f>
        <v/>
      </c>
      <c r="N25" s="276">
        <f>SUM(N3:N24)</f>
        <v/>
      </c>
      <c r="O25" s="276">
        <f>SUM(O3:O24)</f>
        <v/>
      </c>
      <c r="P25" s="276">
        <f>SUM(P3:P24)</f>
        <v/>
      </c>
      <c r="Q25" s="276">
        <f>SUM(Q3:Q24)</f>
        <v/>
      </c>
      <c r="R25" s="276">
        <f>SUM(R3:R24)</f>
        <v/>
      </c>
      <c r="S25" s="276">
        <f>SUM(S3:S24)</f>
        <v/>
      </c>
      <c r="T25" s="276">
        <f>SUM(T3:T24)</f>
        <v/>
      </c>
      <c r="U25" s="276">
        <f>SUM(U3:U24)</f>
        <v/>
      </c>
      <c r="V25" s="276">
        <f>SUM(V3:V24)</f>
        <v/>
      </c>
      <c r="W25" s="276">
        <f>SUM(W3:W24)</f>
        <v/>
      </c>
      <c r="X25" s="276">
        <f>SUM(X3:X24)</f>
        <v/>
      </c>
      <c r="Y25" s="276">
        <f>SUM(Y3:Y24)</f>
        <v/>
      </c>
      <c r="Z25" s="276">
        <f>SUM(Z3:Z24)</f>
        <v/>
      </c>
      <c r="AA25" s="276">
        <f>SUM(AA3:AA24)</f>
        <v/>
      </c>
      <c r="AB25" s="276">
        <f>SUM(AB3:AB24)</f>
        <v/>
      </c>
      <c r="AC25" s="276">
        <f>SUM(AC3:AC24)</f>
        <v/>
      </c>
      <c r="AD25" s="235">
        <f>SUM(B25:AC25)</f>
        <v/>
      </c>
    </row>
  </sheetData>
  <pageMargins left="0.75" right="0.75" top="1" bottom="1" header="0.5" footer="0.5"/>
  <pageSetup orientation="portrait"/>
</worksheet>
</file>

<file path=xl/worksheets/sheet35.xml><?xml version="1.0" encoding="utf-8"?>
<worksheet xmlns="http://schemas.openxmlformats.org/spreadsheetml/2006/main">
  <sheetPr codeName="Sheet36">
    <outlinePr summaryBelow="1" summaryRight="1"/>
    <pageSetUpPr/>
  </sheetPr>
  <dimension ref="A1:AG27"/>
  <sheetViews>
    <sheetView workbookViewId="0">
      <selection activeCell="A23" sqref="A23"/>
    </sheetView>
  </sheetViews>
  <sheetFormatPr baseColWidth="8" defaultRowHeight="15"/>
  <cols>
    <col width="37.140625" bestFit="1" customWidth="1" min="1" max="1"/>
    <col width="13.140625" bestFit="1" customWidth="1" min="2" max="32"/>
    <col width="10.42578125" bestFit="1" customWidth="1" min="33" max="33"/>
  </cols>
  <sheetData>
    <row r="1">
      <c r="A1" t="inlineStr">
        <is>
          <t> </t>
        </is>
      </c>
      <c r="B1" s="238" t="inlineStr">
        <is>
          <t>Sunday</t>
        </is>
      </c>
      <c r="C1" s="238" t="inlineStr">
        <is>
          <t>Monday</t>
        </is>
      </c>
      <c r="D1" s="238" t="inlineStr">
        <is>
          <t>Tuesday</t>
        </is>
      </c>
      <c r="E1" s="238" t="inlineStr">
        <is>
          <t>Wednesday</t>
        </is>
      </c>
      <c r="F1" s="238" t="inlineStr">
        <is>
          <t>Thursday</t>
        </is>
      </c>
      <c r="G1" s="238" t="inlineStr">
        <is>
          <t>Friday</t>
        </is>
      </c>
      <c r="H1" s="238" t="inlineStr">
        <is>
          <t>Saturday</t>
        </is>
      </c>
      <c r="I1" s="238" t="inlineStr">
        <is>
          <t>Sunday</t>
        </is>
      </c>
      <c r="J1" s="238" t="inlineStr">
        <is>
          <t>Monday</t>
        </is>
      </c>
      <c r="K1" s="238" t="inlineStr">
        <is>
          <t>Tuesday</t>
        </is>
      </c>
      <c r="L1" s="238" t="inlineStr">
        <is>
          <t>Wednesday</t>
        </is>
      </c>
      <c r="M1" s="238" t="inlineStr">
        <is>
          <t>Thursday</t>
        </is>
      </c>
      <c r="N1" s="238" t="inlineStr">
        <is>
          <t>Friday</t>
        </is>
      </c>
      <c r="O1" s="238" t="inlineStr">
        <is>
          <t>Saturday</t>
        </is>
      </c>
      <c r="P1" s="238" t="inlineStr">
        <is>
          <t>Sunday</t>
        </is>
      </c>
      <c r="Q1" s="238" t="inlineStr">
        <is>
          <t>Monday</t>
        </is>
      </c>
      <c r="R1" s="238" t="inlineStr">
        <is>
          <t>Tuesday</t>
        </is>
      </c>
      <c r="S1" s="238" t="inlineStr">
        <is>
          <t>Wednesday</t>
        </is>
      </c>
      <c r="T1" s="238" t="inlineStr">
        <is>
          <t>Thursday</t>
        </is>
      </c>
      <c r="U1" s="238" t="inlineStr">
        <is>
          <t>Friday</t>
        </is>
      </c>
      <c r="V1" s="238" t="inlineStr">
        <is>
          <t>Saturday</t>
        </is>
      </c>
      <c r="W1" s="238" t="inlineStr">
        <is>
          <t>Sunday</t>
        </is>
      </c>
      <c r="X1" s="238" t="inlineStr">
        <is>
          <t>Monday</t>
        </is>
      </c>
      <c r="Y1" s="238" t="inlineStr">
        <is>
          <t>Tuesday</t>
        </is>
      </c>
      <c r="Z1" s="238" t="inlineStr">
        <is>
          <t>Wednesday</t>
        </is>
      </c>
      <c r="AA1" s="238" t="inlineStr">
        <is>
          <t>Thursday</t>
        </is>
      </c>
      <c r="AB1" s="238" t="inlineStr">
        <is>
          <t>Friday</t>
        </is>
      </c>
      <c r="AC1" s="238" t="inlineStr">
        <is>
          <t>Saturday</t>
        </is>
      </c>
      <c r="AD1" s="238" t="inlineStr">
        <is>
          <t>Sunday</t>
        </is>
      </c>
      <c r="AE1" s="238" t="inlineStr">
        <is>
          <t>Monday</t>
        </is>
      </c>
      <c r="AF1" s="238" t="inlineStr">
        <is>
          <t>Tuesday</t>
        </is>
      </c>
      <c r="AG1" s="237" t="inlineStr">
        <is>
          <t>Total</t>
        </is>
      </c>
    </row>
    <row r="2" customFormat="1" s="255">
      <c r="B2" s="277" t="n">
        <v>46082</v>
      </c>
      <c r="C2" s="277" t="n">
        <v>46083</v>
      </c>
      <c r="D2" s="277" t="n">
        <v>46084</v>
      </c>
      <c r="E2" s="277" t="n">
        <v>46085</v>
      </c>
      <c r="F2" s="277" t="n">
        <v>46086</v>
      </c>
      <c r="G2" s="277" t="n">
        <v>46087</v>
      </c>
      <c r="H2" s="277" t="n">
        <v>46088</v>
      </c>
      <c r="I2" s="277" t="n">
        <v>46089</v>
      </c>
      <c r="J2" s="277" t="n">
        <v>46090</v>
      </c>
      <c r="K2" s="277" t="n">
        <v>46091</v>
      </c>
      <c r="L2" s="277" t="n">
        <v>46092</v>
      </c>
      <c r="M2" s="277" t="n">
        <v>46093</v>
      </c>
      <c r="N2" s="277" t="n">
        <v>46094</v>
      </c>
      <c r="O2" s="277" t="n">
        <v>46095</v>
      </c>
      <c r="P2" s="277" t="n">
        <v>46096</v>
      </c>
      <c r="Q2" s="277" t="n">
        <v>46097</v>
      </c>
      <c r="R2" s="277" t="n">
        <v>46098</v>
      </c>
      <c r="S2" s="277" t="n">
        <v>46099</v>
      </c>
      <c r="T2" s="277" t="n">
        <v>46100</v>
      </c>
      <c r="U2" s="277" t="n">
        <v>46101</v>
      </c>
      <c r="V2" s="277" t="n">
        <v>46102</v>
      </c>
      <c r="W2" s="277" t="n">
        <v>46103</v>
      </c>
      <c r="X2" s="277" t="n">
        <v>46104</v>
      </c>
      <c r="Y2" s="277" t="n">
        <v>46105</v>
      </c>
      <c r="Z2" s="277" t="n">
        <v>46106</v>
      </c>
      <c r="AA2" s="277" t="n">
        <v>46107</v>
      </c>
      <c r="AB2" s="277" t="n">
        <v>46108</v>
      </c>
      <c r="AC2" s="277" t="n">
        <v>46109</v>
      </c>
      <c r="AD2" s="277" t="n">
        <v>46110</v>
      </c>
      <c r="AE2" s="277" t="n">
        <v>46111</v>
      </c>
      <c r="AF2" s="277" t="n">
        <v>46112</v>
      </c>
    </row>
    <row r="3">
      <c r="A3" s="237" t="inlineStr">
        <is>
          <t>Birmingham City Council - Supported Living</t>
        </is>
      </c>
      <c r="B3" s="268" t="n"/>
      <c r="C3" s="268" t="n"/>
      <c r="D3" s="268" t="n"/>
      <c r="E3" s="268" t="n"/>
      <c r="F3" s="268" t="n"/>
      <c r="G3" s="268" t="n"/>
      <c r="H3" s="268" t="n"/>
      <c r="I3" s="268" t="n"/>
      <c r="J3" s="275" t="n">
        <v>7017.2</v>
      </c>
      <c r="K3" s="268" t="n"/>
      <c r="L3" s="268" t="n"/>
      <c r="M3" s="268" t="n"/>
      <c r="N3" s="268" t="n"/>
      <c r="O3" s="268" t="n"/>
      <c r="P3" s="268" t="n"/>
      <c r="Q3" s="268" t="n"/>
      <c r="R3" s="268" t="n"/>
      <c r="S3" s="268" t="n"/>
      <c r="T3" s="268" t="n"/>
      <c r="U3" s="268" t="n"/>
      <c r="V3" s="268" t="n"/>
      <c r="W3" s="268" t="n"/>
      <c r="X3" s="268" t="n"/>
      <c r="Y3" s="268" t="n"/>
      <c r="Z3" s="268" t="n">
        <v>626.54</v>
      </c>
      <c r="AA3" s="268" t="n"/>
      <c r="AB3" s="268" t="n"/>
      <c r="AC3" s="268" t="n"/>
      <c r="AD3" s="268" t="n"/>
      <c r="AE3" s="268" t="n">
        <v>59419.08</v>
      </c>
      <c r="AF3" s="268" t="n"/>
      <c r="AG3" s="235">
        <f>SUM(B3:AF3)</f>
        <v/>
      </c>
    </row>
    <row r="4">
      <c r="A4" s="237" t="inlineStr">
        <is>
          <t>Haringey</t>
        </is>
      </c>
      <c r="B4" s="268" t="n"/>
      <c r="C4" s="268" t="n"/>
      <c r="D4" s="268" t="n"/>
      <c r="E4" s="268" t="n"/>
      <c r="F4" s="268" t="n"/>
      <c r="G4" s="268" t="n"/>
      <c r="H4" s="268" t="n"/>
      <c r="I4" s="268" t="n"/>
      <c r="J4" s="268" t="n"/>
      <c r="K4" s="268" t="n"/>
      <c r="L4" s="268" t="n"/>
      <c r="M4" s="268" t="n"/>
      <c r="N4" s="268" t="n"/>
      <c r="O4" s="268" t="n"/>
      <c r="P4" s="268" t="n"/>
      <c r="Q4" s="268" t="n"/>
      <c r="R4" s="268" t="n"/>
      <c r="S4" s="268" t="n"/>
      <c r="T4" s="268" t="n"/>
      <c r="U4" s="268" t="n"/>
      <c r="V4" s="268" t="n"/>
      <c r="W4" s="268" t="n"/>
      <c r="X4" s="275" t="n">
        <v>740</v>
      </c>
      <c r="Y4" s="268" t="n"/>
      <c r="Z4" s="268" t="n"/>
      <c r="AA4" s="268" t="n"/>
      <c r="AB4" s="268" t="n"/>
      <c r="AC4" s="268" t="n"/>
      <c r="AD4" s="268" t="n"/>
      <c r="AE4" s="268" t="n"/>
      <c r="AF4" s="268" t="n"/>
      <c r="AG4" s="235">
        <f>SUM(B4:AF4)</f>
        <v/>
      </c>
    </row>
    <row r="5">
      <c r="A5" s="237" t="inlineStr">
        <is>
          <t>Sandwell MBC - Respite</t>
        </is>
      </c>
      <c r="B5" s="268" t="n"/>
      <c r="C5" s="275" t="n"/>
      <c r="D5" s="268" t="n"/>
      <c r="E5" s="268" t="n"/>
      <c r="F5" s="268" t="n"/>
      <c r="G5" s="268" t="n"/>
      <c r="H5" s="268" t="n"/>
      <c r="I5" s="268" t="n"/>
      <c r="J5" s="268" t="n"/>
      <c r="K5" s="268" t="n"/>
      <c r="L5" s="268" t="n"/>
      <c r="M5" s="268" t="n"/>
      <c r="N5" s="268" t="n"/>
      <c r="O5" s="268" t="n"/>
      <c r="P5" s="268" t="n"/>
      <c r="Q5" s="275" t="n"/>
      <c r="R5" s="268" t="n"/>
      <c r="S5" s="268" t="n"/>
      <c r="T5" s="268" t="n"/>
      <c r="U5" s="268" t="n"/>
      <c r="V5" s="268" t="n"/>
      <c r="W5" s="268" t="n"/>
      <c r="X5" s="268" t="n"/>
      <c r="Y5" s="268" t="n"/>
      <c r="Z5" s="268" t="n"/>
      <c r="AA5" s="268" t="n"/>
      <c r="AB5" s="268" t="n"/>
      <c r="AC5" s="268" t="n"/>
      <c r="AD5" s="268" t="n"/>
      <c r="AE5" s="275" t="n"/>
      <c r="AF5" s="268" t="n"/>
      <c r="AG5" s="235">
        <f>SUM(B5:AF5)</f>
        <v/>
      </c>
    </row>
    <row r="6">
      <c r="A6" s="237" t="inlineStr">
        <is>
          <t>Sandwell MBC - Daycare</t>
        </is>
      </c>
      <c r="B6" s="268" t="n"/>
      <c r="C6" s="268" t="n"/>
      <c r="D6" s="268" t="n"/>
      <c r="E6" s="268" t="n"/>
      <c r="F6" s="268" t="n"/>
      <c r="G6" s="275" t="n">
        <v>3040</v>
      </c>
      <c r="H6" s="268" t="n"/>
      <c r="I6" s="268" t="n"/>
      <c r="J6" s="268" t="n"/>
      <c r="K6" s="268" t="n"/>
      <c r="L6" s="268" t="n"/>
      <c r="M6" s="268" t="n"/>
      <c r="N6" s="268" t="n"/>
      <c r="O6" s="268" t="n"/>
      <c r="P6" s="268" t="n"/>
      <c r="Q6" s="268" t="n"/>
      <c r="R6" s="268" t="n"/>
      <c r="S6" s="268" t="n"/>
      <c r="T6" s="268" t="n"/>
      <c r="U6" s="275" t="n"/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68" t="n"/>
      <c r="AE6" s="268" t="n"/>
      <c r="AF6" s="268" t="n"/>
      <c r="AG6" s="235">
        <f>SUM(B6:AF6)</f>
        <v/>
      </c>
    </row>
    <row r="7">
      <c r="A7" s="237" t="inlineStr">
        <is>
          <t xml:space="preserve">Wolverhampton - Respite </t>
        </is>
      </c>
      <c r="B7" s="268" t="n"/>
      <c r="C7" s="268" t="n"/>
      <c r="D7" s="268" t="n"/>
      <c r="E7" s="268" t="n"/>
      <c r="F7" s="268" t="n"/>
      <c r="G7" s="268" t="n"/>
      <c r="H7" s="268" t="n"/>
      <c r="I7" s="268" t="n"/>
      <c r="J7" s="268" t="n"/>
      <c r="K7" s="268" t="n"/>
      <c r="L7" s="268" t="n"/>
      <c r="M7" s="268" t="n"/>
      <c r="N7" s="268" t="n"/>
      <c r="O7" s="268" t="n"/>
      <c r="P7" s="268" t="n"/>
      <c r="Q7" s="268" t="n"/>
      <c r="R7" s="268" t="n"/>
      <c r="S7" s="268" t="n"/>
      <c r="T7" s="268" t="n"/>
      <c r="U7" s="268" t="n"/>
      <c r="V7" s="268" t="n"/>
      <c r="W7" s="268" t="n"/>
      <c r="X7" s="268" t="n"/>
      <c r="Y7" s="268" t="n"/>
      <c r="Z7" s="268" t="n"/>
      <c r="AA7" s="268" t="n"/>
      <c r="AB7" s="268" t="n"/>
      <c r="AC7" s="268" t="n"/>
      <c r="AD7" s="268" t="n"/>
      <c r="AE7" s="268" t="n"/>
      <c r="AF7" s="268" t="n"/>
      <c r="AG7" s="235">
        <f>SUM(B7:AF7)</f>
        <v/>
      </c>
    </row>
    <row r="8">
      <c r="A8" s="237" t="inlineStr">
        <is>
          <t>Wolverhampton - Daycare</t>
        </is>
      </c>
      <c r="B8" s="268" t="n"/>
      <c r="C8" s="268" t="n"/>
      <c r="D8" s="268" t="n"/>
      <c r="E8" s="268" t="n"/>
      <c r="F8" s="275" t="n">
        <v>5606.3</v>
      </c>
      <c r="G8" s="268" t="n"/>
      <c r="H8" s="268" t="n"/>
      <c r="I8" s="268" t="n"/>
      <c r="J8" s="268" t="n"/>
      <c r="K8" s="268" t="n"/>
      <c r="L8" s="268" t="n"/>
      <c r="M8" s="275" t="n">
        <v>5606.3</v>
      </c>
      <c r="N8" s="268" t="n"/>
      <c r="O8" s="268" t="n"/>
      <c r="P8" s="268" t="n"/>
      <c r="Q8" s="268" t="n"/>
      <c r="R8" s="268" t="n"/>
      <c r="S8" s="268" t="n"/>
      <c r="T8" s="275" t="n">
        <v>5606.3</v>
      </c>
      <c r="U8" s="268" t="n"/>
      <c r="V8" s="268" t="n"/>
      <c r="W8" s="268" t="n"/>
      <c r="X8" s="268" t="n"/>
      <c r="Y8" s="268" t="n"/>
      <c r="Z8" s="268" t="n"/>
      <c r="AA8" s="275" t="n">
        <v>5606.3</v>
      </c>
      <c r="AB8" s="268" t="n"/>
      <c r="AC8" s="268" t="n"/>
      <c r="AD8" s="268" t="n"/>
      <c r="AE8" s="268" t="n"/>
      <c r="AF8" s="268" t="n"/>
      <c r="AG8" s="235">
        <f>SUM(B8:AF8)</f>
        <v/>
      </c>
    </row>
    <row r="9">
      <c r="A9" s="237" t="inlineStr">
        <is>
          <t>Walsall - Respite</t>
        </is>
      </c>
      <c r="B9" s="268" t="n"/>
      <c r="C9" s="268" t="n"/>
      <c r="D9" s="268" t="n"/>
      <c r="E9" s="268" t="n"/>
      <c r="F9" s="268" t="n"/>
      <c r="G9" s="268" t="n"/>
      <c r="H9" s="268" t="n"/>
      <c r="I9" s="268" t="n"/>
      <c r="J9" s="268" t="n"/>
      <c r="K9" s="275" t="n"/>
      <c r="L9" s="268" t="n"/>
      <c r="M9" s="268" t="n"/>
      <c r="N9" s="268" t="n"/>
      <c r="O9" s="268" t="n"/>
      <c r="P9" s="268" t="n"/>
      <c r="Q9" s="268" t="n"/>
      <c r="R9" s="268" t="n"/>
      <c r="S9" s="268" t="n"/>
      <c r="T9" s="268" t="n"/>
      <c r="U9" s="268" t="n"/>
      <c r="V9" s="268" t="n"/>
      <c r="W9" s="268" t="n"/>
      <c r="X9" s="268" t="n"/>
      <c r="Y9" s="268" t="n"/>
      <c r="Z9" s="268" t="n"/>
      <c r="AA9" s="268" t="n"/>
      <c r="AB9" s="268" t="n"/>
      <c r="AC9" s="268" t="n"/>
      <c r="AD9" s="268" t="n"/>
      <c r="AE9" s="268" t="n"/>
      <c r="AF9" s="268" t="n"/>
      <c r="AG9" s="235">
        <f>SUM(B9:AF9)</f>
        <v/>
      </c>
    </row>
    <row r="10">
      <c r="A10" s="237" t="inlineStr">
        <is>
          <t>Walsall - Daycare</t>
        </is>
      </c>
      <c r="B10" s="268" t="n"/>
      <c r="C10" s="268" t="n"/>
      <c r="D10" s="268" t="n"/>
      <c r="E10" s="268" t="n"/>
      <c r="F10" s="268" t="n"/>
      <c r="G10" s="268" t="n"/>
      <c r="H10" s="268" t="n"/>
      <c r="I10" s="268" t="n"/>
      <c r="J10" s="268" t="n"/>
      <c r="K10" s="268" t="n"/>
      <c r="L10" s="268" t="n"/>
      <c r="M10" s="268" t="n"/>
      <c r="N10" s="268" t="n"/>
      <c r="O10" s="268" t="n"/>
      <c r="P10" s="268" t="n"/>
      <c r="Q10" s="268" t="n"/>
      <c r="R10" s="268" t="n"/>
      <c r="S10" s="268" t="n"/>
      <c r="T10" s="268" t="n"/>
      <c r="U10" s="268" t="n"/>
      <c r="V10" s="268" t="n"/>
      <c r="W10" s="268" t="n"/>
      <c r="X10" s="268" t="n"/>
      <c r="Y10" s="268" t="n"/>
      <c r="Z10" s="268" t="n"/>
      <c r="AA10" s="268" t="n"/>
      <c r="AB10" s="268" t="n"/>
      <c r="AC10" s="268" t="n"/>
      <c r="AD10" s="268" t="n"/>
      <c r="AE10" s="268" t="n"/>
      <c r="AF10" s="268" t="n"/>
      <c r="AG10" s="235">
        <f>SUM(B10:AF10)</f>
        <v/>
      </c>
    </row>
    <row r="11">
      <c r="A11" s="237" t="inlineStr">
        <is>
          <t>Ideal for All Ltd - Direct Payments</t>
        </is>
      </c>
      <c r="B11" s="268" t="n"/>
      <c r="C11" s="268" t="n"/>
      <c r="D11" s="268" t="n"/>
      <c r="E11" s="268" t="n"/>
      <c r="F11" s="268" t="n"/>
      <c r="G11" s="275" t="n"/>
      <c r="H11" s="268" t="n"/>
      <c r="I11" s="268" t="n"/>
      <c r="J11" s="268" t="n"/>
      <c r="K11" s="268" t="n"/>
      <c r="L11" s="268" t="n"/>
      <c r="M11" s="268" t="n"/>
      <c r="N11" s="268" t="n"/>
      <c r="O11" s="268" t="n"/>
      <c r="P11" s="268" t="n"/>
      <c r="Q11" s="268" t="n"/>
      <c r="R11" s="268" t="n"/>
      <c r="S11" s="268" t="n"/>
      <c r="T11" s="268" t="n"/>
      <c r="U11" s="268" t="n"/>
      <c r="V11" s="268" t="n"/>
      <c r="W11" s="268" t="n"/>
      <c r="X11" s="268" t="n"/>
      <c r="Y11" s="268" t="n"/>
      <c r="Z11" s="268" t="n"/>
      <c r="AA11" s="268" t="n"/>
      <c r="AB11" s="268" t="n"/>
      <c r="AC11" s="268" t="n"/>
      <c r="AD11" s="268" t="n"/>
      <c r="AE11" s="268" t="n"/>
      <c r="AF11" s="268" t="n"/>
      <c r="AG11" s="235">
        <f>SUM(B11:AF11)</f>
        <v/>
      </c>
    </row>
    <row r="12">
      <c r="A12" s="237" t="inlineStr">
        <is>
          <t>Kirklees - Supported Living</t>
        </is>
      </c>
      <c r="B12" s="268" t="n"/>
      <c r="C12" s="268" t="n"/>
      <c r="D12" s="268" t="n"/>
      <c r="E12" s="268" t="n"/>
      <c r="F12" s="268" t="n"/>
      <c r="G12" s="275" t="n"/>
      <c r="H12" s="268" t="n"/>
      <c r="I12" s="268" t="n"/>
      <c r="J12" s="268" t="n"/>
      <c r="K12" s="268" t="n"/>
      <c r="L12" s="268" t="n"/>
      <c r="M12" s="268" t="n"/>
      <c r="N12" s="268" t="n"/>
      <c r="O12" s="268" t="n"/>
      <c r="P12" s="268" t="n"/>
      <c r="Q12" s="268" t="n"/>
      <c r="R12" s="268" t="n"/>
      <c r="S12" s="268" t="n"/>
      <c r="T12" s="268" t="n">
        <v>5637.52</v>
      </c>
      <c r="U12" s="268" t="n"/>
      <c r="V12" s="268" t="n"/>
      <c r="W12" s="268" t="n"/>
      <c r="X12" s="268" t="n"/>
      <c r="Y12" s="268" t="n">
        <v>6241.54</v>
      </c>
      <c r="Z12" s="268" t="n"/>
      <c r="AA12" s="268" t="n"/>
      <c r="AB12" s="268" t="n"/>
      <c r="AC12" s="268" t="n"/>
      <c r="AD12" s="268" t="n"/>
      <c r="AE12" s="268" t="n"/>
      <c r="AF12" s="268" t="n"/>
      <c r="AG12" s="235">
        <f>SUM(B12:AF12)</f>
        <v/>
      </c>
    </row>
    <row r="13">
      <c r="A13" s="237" t="inlineStr">
        <is>
          <t>LB Hillingdon - Supported Living</t>
        </is>
      </c>
      <c r="B13" s="268" t="n"/>
      <c r="C13" s="268" t="n"/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75" t="n"/>
      <c r="R13" s="268" t="n"/>
      <c r="S13" s="268" t="n"/>
      <c r="T13" s="268" t="n">
        <v>5203.8</v>
      </c>
      <c r="U13" s="268" t="n"/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35">
        <f>SUM(B13:AF13)</f>
        <v/>
      </c>
    </row>
    <row r="14">
      <c r="A14" s="237" t="inlineStr">
        <is>
          <t>NHS Birmingham &amp; Solihull ICB</t>
        </is>
      </c>
      <c r="B14" s="268" t="n"/>
      <c r="C14" s="268" t="n"/>
      <c r="D14" s="268" t="n"/>
      <c r="E14" s="268" t="n"/>
      <c r="F14" s="268" t="n"/>
      <c r="G14" s="275" t="n"/>
      <c r="H14" s="268" t="n"/>
      <c r="I14" s="268" t="n"/>
      <c r="J14" s="268" t="n"/>
      <c r="K14" s="268" t="n"/>
      <c r="L14" s="268" t="n">
        <v>1889.24</v>
      </c>
      <c r="M14" s="268" t="n"/>
      <c r="N14" s="268" t="n">
        <v>7057.96</v>
      </c>
      <c r="O14" s="268" t="n"/>
      <c r="P14" s="268" t="n"/>
      <c r="Q14" s="268" t="n"/>
      <c r="R14" s="268" t="n"/>
      <c r="S14" s="268" t="n"/>
      <c r="T14" s="268" t="n"/>
      <c r="U14" s="268" t="n"/>
      <c r="V14" s="268" t="n"/>
      <c r="W14" s="268" t="n"/>
      <c r="X14" s="268" t="n"/>
      <c r="Y14" s="268" t="n"/>
      <c r="Z14" s="268" t="n"/>
      <c r="AA14" s="268" t="n"/>
      <c r="AB14" s="268" t="n"/>
      <c r="AC14" s="268" t="n"/>
      <c r="AD14" s="268" t="n"/>
      <c r="AE14" s="268" t="n"/>
      <c r="AF14" s="268" t="n"/>
      <c r="AG14" s="235">
        <f>SUM(B14:AF14)</f>
        <v/>
      </c>
    </row>
    <row r="15">
      <c r="A15" s="237" t="inlineStr">
        <is>
          <t>NHS Black Country ICB</t>
        </is>
      </c>
      <c r="B15" s="268" t="n"/>
      <c r="C15" s="268" t="n"/>
      <c r="D15" s="268" t="n"/>
      <c r="E15" s="268" t="n"/>
      <c r="F15" s="268" t="n"/>
      <c r="G15" s="268" t="n"/>
      <c r="H15" s="268" t="n"/>
      <c r="I15" s="268" t="n"/>
      <c r="J15" s="268" t="n"/>
      <c r="K15" s="268" t="n"/>
      <c r="L15" s="268" t="n"/>
      <c r="M15" s="268" t="n"/>
      <c r="N15" s="268" t="n">
        <v>6125.87</v>
      </c>
      <c r="O15" s="268" t="n"/>
      <c r="P15" s="268" t="n"/>
      <c r="Q15" s="268" t="n"/>
      <c r="R15" s="268" t="n"/>
      <c r="S15" s="268" t="n"/>
      <c r="T15" s="268" t="n">
        <v>2042.88</v>
      </c>
      <c r="U15" s="268" t="n"/>
      <c r="V15" s="268" t="n"/>
      <c r="W15" s="268" t="n"/>
      <c r="X15" s="275" t="n"/>
      <c r="Y15" s="268" t="n"/>
      <c r="Z15" s="268" t="n"/>
      <c r="AA15" s="268" t="n"/>
      <c r="AB15" s="268" t="n"/>
      <c r="AC15" s="268" t="n"/>
      <c r="AD15" s="268" t="n"/>
      <c r="AE15" s="268" t="n"/>
      <c r="AF15" s="268" t="n"/>
      <c r="AG15" s="235">
        <f>SUM(B15:AF15)</f>
        <v/>
      </c>
    </row>
    <row r="16">
      <c r="A16" s="237" t="inlineStr">
        <is>
          <t>Sandwell - HB</t>
        </is>
      </c>
      <c r="B16" s="268" t="n"/>
      <c r="C16" s="268" t="n">
        <v>380</v>
      </c>
      <c r="D16" s="268" t="n"/>
      <c r="E16" s="268" t="n"/>
      <c r="F16" s="268" t="n"/>
      <c r="G16" s="268" t="n"/>
      <c r="H16" s="268" t="n"/>
      <c r="I16" s="268" t="n"/>
      <c r="J16" s="268" t="n"/>
      <c r="K16" s="268" t="n"/>
      <c r="L16" s="268" t="n"/>
      <c r="M16" s="268" t="n"/>
      <c r="N16" s="268" t="n"/>
      <c r="O16" s="268" t="n"/>
      <c r="P16" s="268" t="n"/>
      <c r="Q16" s="268" t="n"/>
      <c r="R16" s="268" t="n"/>
      <c r="S16" s="268" t="n"/>
      <c r="T16" s="268" t="n"/>
      <c r="U16" s="268" t="n"/>
      <c r="V16" s="268" t="n"/>
      <c r="W16" s="268" t="n"/>
      <c r="X16" s="268" t="n"/>
      <c r="Y16" s="268" t="n"/>
      <c r="Z16" s="268" t="n"/>
      <c r="AA16" s="268" t="n"/>
      <c r="AB16" s="268" t="n"/>
      <c r="AC16" s="268" t="n"/>
      <c r="AD16" s="268" t="n"/>
      <c r="AE16" s="268" t="n">
        <v>380</v>
      </c>
      <c r="AF16" s="268" t="n"/>
      <c r="AG16" s="235">
        <f>SUM(B16:AF16)</f>
        <v/>
      </c>
    </row>
    <row r="17">
      <c r="A17" s="237" t="inlineStr">
        <is>
          <t>Sandwell MBC - Supported Living</t>
        </is>
      </c>
      <c r="B17" s="268" t="n"/>
      <c r="C17" s="275" t="n">
        <v>25</v>
      </c>
      <c r="D17" s="268" t="n">
        <v>12699.76</v>
      </c>
      <c r="E17" s="268" t="n"/>
      <c r="F17" s="268" t="n"/>
      <c r="G17" s="268" t="n"/>
      <c r="H17" s="268" t="n"/>
      <c r="I17" s="268" t="n"/>
      <c r="J17" s="268" t="n"/>
      <c r="K17" s="268" t="n"/>
      <c r="L17" s="268" t="n"/>
      <c r="M17" s="268" t="n"/>
      <c r="N17" s="268" t="n"/>
      <c r="O17" s="268" t="n"/>
      <c r="P17" s="268" t="n"/>
      <c r="Q17" s="275" t="n"/>
      <c r="R17" s="268" t="n">
        <v>131304.4</v>
      </c>
      <c r="S17" s="268" t="n"/>
      <c r="T17" s="268" t="n"/>
      <c r="U17" s="268" t="n"/>
      <c r="V17" s="268" t="n"/>
      <c r="W17" s="268" t="n"/>
      <c r="X17" s="268" t="n"/>
      <c r="Y17" s="268" t="n"/>
      <c r="Z17" s="268" t="n"/>
      <c r="AA17" s="268" t="n">
        <v>3891.2</v>
      </c>
      <c r="AB17" s="268" t="n"/>
      <c r="AC17" s="268" t="n"/>
      <c r="AD17" s="268" t="n"/>
      <c r="AE17" s="275" t="n"/>
      <c r="AF17" s="268" t="n">
        <v>131304.4</v>
      </c>
      <c r="AG17" s="235">
        <f>SUM(B17:AF17)</f>
        <v/>
      </c>
    </row>
    <row r="18">
      <c r="A18" s="237" t="inlineStr">
        <is>
          <t>Solihull MBC - Supported Living</t>
        </is>
      </c>
      <c r="B18" s="268" t="n"/>
      <c r="C18" s="268" t="n"/>
      <c r="D18" s="268" t="n"/>
      <c r="E18" s="268" t="n"/>
      <c r="F18" s="268" t="n"/>
      <c r="G18" s="268" t="n"/>
      <c r="H18" s="268" t="n"/>
      <c r="I18" s="268" t="n"/>
      <c r="J18" s="268" t="n"/>
      <c r="K18" s="268" t="n"/>
      <c r="L18" s="268" t="n"/>
      <c r="M18" s="268" t="n"/>
      <c r="N18" s="268" t="n"/>
      <c r="O18" s="268" t="n"/>
      <c r="P18" s="268" t="n"/>
      <c r="Q18" s="268" t="n"/>
      <c r="R18" s="268" t="n"/>
      <c r="S18" s="268" t="n"/>
      <c r="T18" s="268" t="n"/>
      <c r="U18" s="268" t="n"/>
      <c r="V18" s="268" t="n"/>
      <c r="W18" s="268" t="n"/>
      <c r="X18" s="275" t="n">
        <v>33031.6</v>
      </c>
      <c r="Y18" s="268" t="n"/>
      <c r="Z18" s="268" t="n"/>
      <c r="AA18" s="268" t="n"/>
      <c r="AB18" s="268" t="n"/>
      <c r="AC18" s="268" t="n"/>
      <c r="AD18" s="268" t="n"/>
      <c r="AE18" s="268" t="n"/>
      <c r="AF18" s="268" t="n"/>
      <c r="AG18" s="235">
        <f>SUM(B18:AF18)</f>
        <v/>
      </c>
    </row>
    <row r="19">
      <c r="A19" s="237" t="inlineStr">
        <is>
          <t>Walsall - Supported Living</t>
        </is>
      </c>
      <c r="B19" s="268" t="n"/>
      <c r="C19" s="268" t="n">
        <v>1178.06</v>
      </c>
      <c r="D19" s="268" t="n">
        <v>150</v>
      </c>
      <c r="E19" s="268" t="n"/>
      <c r="F19" s="268" t="n"/>
      <c r="G19" s="268" t="n">
        <v>430</v>
      </c>
      <c r="H19" s="268" t="n"/>
      <c r="I19" s="268" t="n"/>
      <c r="J19" s="268" t="n">
        <v>1461.67</v>
      </c>
      <c r="K19" s="275" t="n">
        <v>344306.72</v>
      </c>
      <c r="L19" s="268" t="n"/>
      <c r="M19" s="268" t="n"/>
      <c r="N19" s="268" t="n">
        <v>430</v>
      </c>
      <c r="O19" s="268" t="n"/>
      <c r="P19" s="268" t="n"/>
      <c r="Q19" s="268" t="n">
        <v>1050</v>
      </c>
      <c r="R19" s="268" t="n">
        <v>150</v>
      </c>
      <c r="S19" s="268" t="n"/>
      <c r="T19" s="268" t="n"/>
      <c r="U19" s="268" t="n">
        <v>1010</v>
      </c>
      <c r="V19" s="268" t="n"/>
      <c r="W19" s="268" t="n"/>
      <c r="X19" s="268" t="n">
        <v>1890</v>
      </c>
      <c r="Y19" s="268" t="n">
        <v>150</v>
      </c>
      <c r="Z19" s="268" t="n"/>
      <c r="AA19" s="268" t="n">
        <v>520</v>
      </c>
      <c r="AB19" s="268" t="n">
        <v>430</v>
      </c>
      <c r="AC19" s="268" t="n"/>
      <c r="AD19" s="268" t="n"/>
      <c r="AE19" s="268" t="n">
        <v>1050</v>
      </c>
      <c r="AF19" s="268" t="n">
        <v>150</v>
      </c>
      <c r="AG19" s="235">
        <f>SUM(B19:AF19)</f>
        <v/>
      </c>
    </row>
    <row r="20">
      <c r="A20" s="237" t="inlineStr">
        <is>
          <t>Wolverhampton - Supported Living</t>
        </is>
      </c>
      <c r="B20" s="268" t="n"/>
      <c r="C20" s="268" t="n">
        <v>1375.96</v>
      </c>
      <c r="D20" s="268" t="n"/>
      <c r="E20" s="268" t="n"/>
      <c r="F20" s="275" t="n">
        <v>132264.95</v>
      </c>
      <c r="G20" s="268" t="n"/>
      <c r="H20" s="268" t="n"/>
      <c r="I20" s="268" t="n"/>
      <c r="J20" s="268" t="n"/>
      <c r="K20" s="268" t="n"/>
      <c r="L20" s="268" t="n"/>
      <c r="M20" s="275" t="n">
        <v>132264.95</v>
      </c>
      <c r="N20" s="268" t="n"/>
      <c r="O20" s="268" t="n"/>
      <c r="P20" s="268" t="n"/>
      <c r="Q20" s="268" t="n">
        <v>84.59999999999999</v>
      </c>
      <c r="R20" s="268" t="n"/>
      <c r="S20" s="268" t="n"/>
      <c r="T20" s="275" t="n">
        <v>132264.95</v>
      </c>
      <c r="U20" s="268" t="n"/>
      <c r="V20" s="268" t="n"/>
      <c r="W20" s="268" t="n"/>
      <c r="X20" s="268" t="n"/>
      <c r="Y20" s="268" t="n"/>
      <c r="Z20" s="268" t="n"/>
      <c r="AA20" s="275" t="n">
        <v>132264.95</v>
      </c>
      <c r="AB20" s="268" t="n"/>
      <c r="AC20" s="268" t="n"/>
      <c r="AD20" s="268" t="n"/>
      <c r="AE20" s="268" t="n">
        <v>4357.88</v>
      </c>
      <c r="AF20" s="268" t="n"/>
      <c r="AG20" s="235">
        <f>SUM(B20:AF20)</f>
        <v/>
      </c>
    </row>
    <row r="21">
      <c r="A21" s="237" t="inlineStr">
        <is>
          <t>People Plus - Direct Payments</t>
        </is>
      </c>
      <c r="B21" s="268" t="n"/>
      <c r="C21" s="268" t="n"/>
      <c r="D21" s="268" t="n"/>
      <c r="E21" s="268" t="n"/>
      <c r="F21" s="268" t="n"/>
      <c r="G21" s="268" t="n">
        <v>10552</v>
      </c>
      <c r="H21" s="268" t="n"/>
      <c r="I21" s="268" t="n"/>
      <c r="J21" s="275" t="n"/>
      <c r="K21" s="268" t="n"/>
      <c r="L21" s="268" t="n">
        <v>723.2</v>
      </c>
      <c r="M21" s="268" t="n">
        <v>2760</v>
      </c>
      <c r="N21" s="268" t="n"/>
      <c r="O21" s="268" t="n"/>
      <c r="P21" s="268" t="n"/>
      <c r="Q21" s="268" t="n"/>
      <c r="R21" s="268" t="n"/>
      <c r="S21" s="268" t="n"/>
      <c r="T21" s="268" t="n"/>
      <c r="U21" s="268" t="n"/>
      <c r="V21" s="268" t="n"/>
      <c r="W21" s="268" t="n"/>
      <c r="X21" s="268" t="n"/>
      <c r="Y21" s="268" t="n"/>
      <c r="Z21" s="268" t="n"/>
      <c r="AA21" s="268" t="n"/>
      <c r="AB21" s="268" t="n"/>
      <c r="AC21" s="268" t="n"/>
      <c r="AD21" s="268" t="n"/>
      <c r="AE21" s="268" t="n"/>
      <c r="AF21" s="268" t="n"/>
      <c r="AG21" s="235">
        <f>SUM(B21:AF21)</f>
        <v/>
      </c>
    </row>
    <row r="22">
      <c r="A22" s="237" t="inlineStr">
        <is>
          <t>Middlesbrough - Supported Living</t>
        </is>
      </c>
      <c r="B22" s="268" t="n"/>
      <c r="C22" s="268" t="n"/>
      <c r="D22" s="268" t="n"/>
      <c r="E22" s="268" t="n"/>
      <c r="F22" s="268" t="n"/>
      <c r="G22" s="268" t="n"/>
      <c r="H22" s="268" t="n"/>
      <c r="I22" s="268" t="n"/>
      <c r="J22" s="268" t="n"/>
      <c r="K22" s="268" t="n"/>
      <c r="L22" s="268" t="n"/>
      <c r="M22" s="268" t="n"/>
      <c r="N22" s="268" t="n"/>
      <c r="O22" s="268" t="n"/>
      <c r="P22" s="268" t="n"/>
      <c r="Q22" s="268" t="n"/>
      <c r="R22" s="268" t="n"/>
      <c r="S22" s="268" t="n"/>
      <c r="T22" s="268" t="n"/>
      <c r="U22" s="268" t="n">
        <v>6115.4</v>
      </c>
      <c r="V22" s="268" t="n"/>
      <c r="W22" s="268" t="n"/>
      <c r="X22" s="268" t="n"/>
      <c r="Y22" s="268" t="n"/>
      <c r="Z22" s="268" t="n"/>
      <c r="AA22" s="268" t="n"/>
      <c r="AB22" s="275" t="n"/>
      <c r="AC22" s="268" t="n"/>
      <c r="AD22" s="268" t="n"/>
      <c r="AE22" s="268" t="n"/>
      <c r="AF22" s="268" t="n"/>
      <c r="AG22" s="235">
        <f>SUM(B22:AF22)</f>
        <v/>
      </c>
    </row>
    <row r="23">
      <c r="A23" s="237" t="inlineStr">
        <is>
          <t>Other HB and SC</t>
        </is>
      </c>
      <c r="B23" s="278" t="n">
        <v>0</v>
      </c>
      <c r="C23" s="278" t="n">
        <v>11516.41</v>
      </c>
      <c r="D23" s="278" t="n">
        <v>4144.84</v>
      </c>
      <c r="E23" s="278" t="n">
        <v>4270.92</v>
      </c>
      <c r="F23" s="278" t="n">
        <v>3382.37</v>
      </c>
      <c r="G23" s="278" t="n">
        <v>3700.88</v>
      </c>
      <c r="H23" s="278" t="n">
        <v>0</v>
      </c>
      <c r="I23" s="278" t="n">
        <v>300</v>
      </c>
      <c r="J23" s="278" t="n">
        <v>7754.7</v>
      </c>
      <c r="K23" s="278" t="n">
        <v>6630.35</v>
      </c>
      <c r="L23" s="278" t="n">
        <v>3389.87</v>
      </c>
      <c r="M23" s="278" t="n">
        <v>467.08</v>
      </c>
      <c r="N23" s="278" t="n">
        <v>6365.03</v>
      </c>
      <c r="O23" s="278" t="n">
        <v>0</v>
      </c>
      <c r="P23" s="278" t="n">
        <v>200</v>
      </c>
      <c r="Q23" s="278" t="n">
        <v>7419.44</v>
      </c>
      <c r="R23" s="278" t="n">
        <v>5123.38</v>
      </c>
      <c r="S23" s="278" t="n">
        <v>4407.48</v>
      </c>
      <c r="T23" s="278" t="n">
        <v>4088.81</v>
      </c>
      <c r="U23" s="278" t="n">
        <v>3840.01</v>
      </c>
      <c r="V23" s="278" t="n">
        <v>0</v>
      </c>
      <c r="W23" s="278" t="n">
        <v>0</v>
      </c>
      <c r="X23" s="278" t="n">
        <v>21938.68</v>
      </c>
      <c r="Y23" s="278" t="n">
        <v>1325.01</v>
      </c>
      <c r="Z23" s="278" t="n">
        <v>6386.76</v>
      </c>
      <c r="AA23" s="278" t="n">
        <v>2326.99</v>
      </c>
      <c r="AB23" s="278" t="n">
        <v>5003.35</v>
      </c>
      <c r="AC23" s="278" t="n">
        <v>552.84</v>
      </c>
      <c r="AD23" s="278" t="n">
        <v>0</v>
      </c>
      <c r="AE23" s="278" t="n">
        <v>8062.33</v>
      </c>
      <c r="AF23" s="278" t="n">
        <v>1430.01</v>
      </c>
      <c r="AG23" s="235">
        <f>SUM(B23:AF23)</f>
        <v/>
      </c>
    </row>
    <row r="24" hidden="1">
      <c r="AG24" s="235">
        <f>SUM(AG3:AG23)</f>
        <v/>
      </c>
    </row>
    <row r="25" hidden="1">
      <c r="AG25" s="235">
        <f>SUM(B25:AF25)</f>
        <v/>
      </c>
    </row>
    <row r="26" hidden="1">
      <c r="AG26" s="235">
        <f>SUM(B26:AF26)</f>
        <v/>
      </c>
    </row>
    <row r="27">
      <c r="A27" s="242" t="inlineStr">
        <is>
          <t>TOTAL</t>
        </is>
      </c>
      <c r="B27" s="276">
        <f>SUM(B3:B26)</f>
        <v/>
      </c>
      <c r="C27" s="276">
        <f>SUM(C3:C26)</f>
        <v/>
      </c>
      <c r="D27" s="276">
        <f>SUM(D3:D26)</f>
        <v/>
      </c>
      <c r="E27" s="276">
        <f>SUM(E3:E26)</f>
        <v/>
      </c>
      <c r="F27" s="276">
        <f>SUM(F3:F26)</f>
        <v/>
      </c>
      <c r="G27" s="276">
        <f>SUM(G3:G26)</f>
        <v/>
      </c>
      <c r="H27" s="276">
        <f>SUM(H3:H26)</f>
        <v/>
      </c>
      <c r="I27" s="276">
        <f>SUM(I3:I26)</f>
        <v/>
      </c>
      <c r="J27" s="276">
        <f>SUM(J3:J26)</f>
        <v/>
      </c>
      <c r="K27" s="276">
        <f>SUM(K3:K26)</f>
        <v/>
      </c>
      <c r="L27" s="276">
        <f>SUM(L3:L26)</f>
        <v/>
      </c>
      <c r="M27" s="276">
        <f>SUM(M3:M26)</f>
        <v/>
      </c>
      <c r="N27" s="276">
        <f>SUM(N3:N26)</f>
        <v/>
      </c>
      <c r="O27" s="276">
        <f>SUM(O3:O26)</f>
        <v/>
      </c>
      <c r="P27" s="276">
        <f>SUM(P3:P26)</f>
        <v/>
      </c>
      <c r="Q27" s="276">
        <f>SUM(Q3:Q26)</f>
        <v/>
      </c>
      <c r="R27" s="276">
        <f>SUM(R3:R26)</f>
        <v/>
      </c>
      <c r="S27" s="276">
        <f>SUM(S3:S26)</f>
        <v/>
      </c>
      <c r="T27" s="276">
        <f>SUM(T3:T26)</f>
        <v/>
      </c>
      <c r="U27" s="276">
        <f>SUM(U3:U26)</f>
        <v/>
      </c>
      <c r="V27" s="276">
        <f>SUM(V3:V26)</f>
        <v/>
      </c>
      <c r="W27" s="276">
        <f>SUM(W3:W26)</f>
        <v/>
      </c>
      <c r="X27" s="276">
        <f>SUM(X3:X26)</f>
        <v/>
      </c>
      <c r="Y27" s="276">
        <f>SUM(Y3:Y26)</f>
        <v/>
      </c>
      <c r="Z27" s="276">
        <f>SUM(Z3:Z26)</f>
        <v/>
      </c>
      <c r="AA27" s="276">
        <f>SUM(AA3:AA26)</f>
        <v/>
      </c>
      <c r="AB27" s="276">
        <f>SUM(AB3:AB26)</f>
        <v/>
      </c>
      <c r="AC27" s="276">
        <f>SUM(AC3:AC26)</f>
        <v/>
      </c>
      <c r="AD27" s="276">
        <f>SUM(AD3:AD26)</f>
        <v/>
      </c>
      <c r="AE27" s="276">
        <f>SUM(AE3:AE26)</f>
        <v/>
      </c>
      <c r="AF27" s="276">
        <f>SUM(AF3:AF26)</f>
        <v/>
      </c>
      <c r="AG27" s="235">
        <f>SUM(B27:AF27)</f>
        <v/>
      </c>
    </row>
  </sheetData>
  <pageMargins left="0.75" right="0.75" top="1" bottom="1" header="0.5" footer="0.5"/>
  <pageSetup orientation="portrait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3:F9"/>
  <sheetViews>
    <sheetView topLeftCell="A91" workbookViewId="0">
      <selection activeCell="A121" sqref="A121:XFD123"/>
    </sheetView>
  </sheetViews>
  <sheetFormatPr baseColWidth="8" defaultRowHeight="15"/>
  <cols>
    <col width="38.140625" bestFit="1" customWidth="1" min="1" max="1"/>
    <col width="16.28515625" bestFit="1" customWidth="1" min="2" max="2"/>
    <col width="10.7109375" bestFit="1" customWidth="1" min="3" max="5"/>
    <col width="11.28515625" bestFit="1" customWidth="1" min="6" max="6"/>
    <col width="10.42578125" bestFit="1" customWidth="1" min="7" max="26"/>
    <col width="11.28515625" bestFit="1" customWidth="1" min="27" max="27"/>
  </cols>
  <sheetData>
    <row r="3">
      <c r="A3" s="248" t="inlineStr">
        <is>
          <t>Sum of m</t>
        </is>
      </c>
      <c r="B3" s="248" t="inlineStr">
        <is>
          <t>Column Labels</t>
        </is>
      </c>
    </row>
    <row r="4">
      <c r="A4" s="248" t="inlineStr">
        <is>
          <t>Row Labels</t>
        </is>
      </c>
      <c r="B4" s="193" t="n">
        <v>46087</v>
      </c>
      <c r="C4" s="193" t="n">
        <v>46092</v>
      </c>
      <c r="D4" s="193" t="n">
        <v>46094</v>
      </c>
      <c r="E4" s="193" t="n">
        <v>46104</v>
      </c>
      <c r="F4" s="193" t="inlineStr">
        <is>
          <t>Grand Total</t>
        </is>
      </c>
    </row>
    <row r="5">
      <c r="A5" s="247" t="inlineStr">
        <is>
          <t>BIRMINGHAM   SOLIH-607080-10033610</t>
        </is>
      </c>
      <c r="C5" t="n">
        <v>1889.24</v>
      </c>
      <c r="F5" t="n">
        <v>1889.24</v>
      </c>
    </row>
    <row r="6">
      <c r="A6" s="247" t="inlineStr">
        <is>
          <t>BIRMINGHAM CITY CO</t>
        </is>
      </c>
      <c r="E6" t="n">
        <v>0</v>
      </c>
      <c r="F6" t="n">
        <v>0</v>
      </c>
    </row>
    <row r="7">
      <c r="A7" s="247" t="inlineStr">
        <is>
          <t>Birmingham City Council</t>
        </is>
      </c>
      <c r="B7" t="n">
        <v>0</v>
      </c>
      <c r="F7" t="n">
        <v>0</v>
      </c>
    </row>
    <row r="8">
      <c r="A8" s="247" t="inlineStr">
        <is>
          <t>NHS BIRMINGHAM AND-607080-10017097</t>
        </is>
      </c>
      <c r="D8" t="n">
        <v>7057.96</v>
      </c>
      <c r="F8" t="n">
        <v>7057.96</v>
      </c>
    </row>
    <row r="9">
      <c r="A9" s="247" t="inlineStr">
        <is>
          <t>Grand Total</t>
        </is>
      </c>
      <c r="B9" t="n">
        <v>0</v>
      </c>
      <c r="C9" t="n">
        <v>1889.24</v>
      </c>
      <c r="D9" t="n">
        <v>7057.96</v>
      </c>
      <c r="E9" t="n">
        <v>0</v>
      </c>
      <c r="F9" t="n">
        <v>8947.200000000001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>
  <sheetPr codeName="Sheet37">
    <outlinePr summaryBelow="1" summaryRight="1"/>
    <pageSetUpPr/>
  </sheetPr>
  <dimension ref="A1:AF47"/>
  <sheetViews>
    <sheetView workbookViewId="0">
      <selection activeCell="A20" sqref="A20:XFD20"/>
    </sheetView>
  </sheetViews>
  <sheetFormatPr baseColWidth="8" defaultRowHeight="15"/>
  <cols>
    <col width="45" customWidth="1" min="1" max="1"/>
    <col width="12" customWidth="1" min="2" max="31"/>
    <col width="10.42578125" bestFit="1" customWidth="1" min="32" max="32"/>
  </cols>
  <sheetData>
    <row r="1">
      <c r="B1" s="238" t="inlineStr">
        <is>
          <t>Wednesday</t>
        </is>
      </c>
      <c r="C1" s="238" t="inlineStr">
        <is>
          <t>Thursday</t>
        </is>
      </c>
      <c r="D1" s="238" t="inlineStr">
        <is>
          <t>Friday</t>
        </is>
      </c>
      <c r="E1" s="238" t="inlineStr">
        <is>
          <t>Saturday</t>
        </is>
      </c>
      <c r="F1" s="238" t="inlineStr">
        <is>
          <t>Sunday</t>
        </is>
      </c>
      <c r="G1" s="238" t="inlineStr">
        <is>
          <t>Monday</t>
        </is>
      </c>
      <c r="H1" s="238" t="inlineStr">
        <is>
          <t>Tuesday</t>
        </is>
      </c>
      <c r="I1" s="238" t="inlineStr">
        <is>
          <t>Wednesday</t>
        </is>
      </c>
      <c r="J1" s="238" t="inlineStr">
        <is>
          <t>Thursday</t>
        </is>
      </c>
      <c r="K1" s="238" t="inlineStr">
        <is>
          <t>Friday</t>
        </is>
      </c>
      <c r="L1" s="238" t="inlineStr">
        <is>
          <t>Saturday</t>
        </is>
      </c>
      <c r="M1" s="238" t="inlineStr">
        <is>
          <t>Sunday</t>
        </is>
      </c>
      <c r="N1" s="238" t="inlineStr">
        <is>
          <t>Monday</t>
        </is>
      </c>
      <c r="O1" s="238" t="inlineStr">
        <is>
          <t>Tuesday</t>
        </is>
      </c>
      <c r="P1" s="238" t="inlineStr">
        <is>
          <t>Wednesday</t>
        </is>
      </c>
      <c r="Q1" s="238" t="inlineStr">
        <is>
          <t>Thursday</t>
        </is>
      </c>
      <c r="R1" s="238" t="inlineStr">
        <is>
          <t>Friday</t>
        </is>
      </c>
      <c r="S1" s="238" t="inlineStr">
        <is>
          <t>Saturday</t>
        </is>
      </c>
      <c r="T1" s="238" t="inlineStr">
        <is>
          <t>Sunday</t>
        </is>
      </c>
      <c r="U1" s="238" t="inlineStr">
        <is>
          <t>Monday</t>
        </is>
      </c>
      <c r="V1" s="238" t="inlineStr">
        <is>
          <t>Tuesday</t>
        </is>
      </c>
      <c r="W1" s="238" t="inlineStr">
        <is>
          <t>Wednesday</t>
        </is>
      </c>
      <c r="X1" s="238" t="inlineStr">
        <is>
          <t>Thursday</t>
        </is>
      </c>
      <c r="Y1" s="238" t="inlineStr">
        <is>
          <t>Friday</t>
        </is>
      </c>
      <c r="Z1" s="238" t="inlineStr">
        <is>
          <t>Saturday</t>
        </is>
      </c>
      <c r="AA1" s="238" t="inlineStr">
        <is>
          <t>Sunday</t>
        </is>
      </c>
      <c r="AB1" s="238" t="inlineStr">
        <is>
          <t>Monday</t>
        </is>
      </c>
      <c r="AC1" s="238" t="inlineStr">
        <is>
          <t>Tuesday</t>
        </is>
      </c>
      <c r="AD1" s="238" t="inlineStr">
        <is>
          <t>Wednesday</t>
        </is>
      </c>
      <c r="AE1" s="238" t="inlineStr">
        <is>
          <t>Thursday</t>
        </is>
      </c>
      <c r="AF1" s="237" t="inlineStr">
        <is>
          <t>Total</t>
        </is>
      </c>
    </row>
    <row r="2">
      <c r="B2" s="277" t="n">
        <v>46113</v>
      </c>
      <c r="C2" s="277" t="n">
        <v>46114</v>
      </c>
      <c r="D2" s="277" t="n">
        <v>46115</v>
      </c>
      <c r="E2" s="277" t="n">
        <v>46116</v>
      </c>
      <c r="F2" s="277" t="n">
        <v>46117</v>
      </c>
      <c r="G2" s="277" t="n">
        <v>46118</v>
      </c>
      <c r="H2" s="277" t="n">
        <v>46119</v>
      </c>
      <c r="I2" s="277" t="n">
        <v>46120</v>
      </c>
      <c r="J2" s="277" t="n">
        <v>46121</v>
      </c>
      <c r="K2" s="277" t="n">
        <v>46122</v>
      </c>
      <c r="L2" s="277" t="n">
        <v>46123</v>
      </c>
      <c r="M2" s="277" t="n">
        <v>46124</v>
      </c>
      <c r="N2" s="277" t="n">
        <v>46125</v>
      </c>
      <c r="O2" s="277" t="n">
        <v>46126</v>
      </c>
      <c r="P2" s="277" t="n">
        <v>46127</v>
      </c>
      <c r="Q2" s="277" t="n">
        <v>46128</v>
      </c>
      <c r="R2" s="277" t="n">
        <v>46129</v>
      </c>
      <c r="S2" s="277" t="n">
        <v>46130</v>
      </c>
      <c r="T2" s="277" t="n">
        <v>46131</v>
      </c>
      <c r="U2" s="277" t="n">
        <v>46132</v>
      </c>
      <c r="V2" s="277" t="n">
        <v>46133</v>
      </c>
      <c r="W2" s="277" t="n">
        <v>46134</v>
      </c>
      <c r="X2" s="277" t="n">
        <v>46135</v>
      </c>
      <c r="Y2" s="277" t="n">
        <v>46136</v>
      </c>
      <c r="Z2" s="277" t="n">
        <v>46137</v>
      </c>
      <c r="AA2" s="277" t="n">
        <v>46138</v>
      </c>
      <c r="AB2" s="277" t="n">
        <v>46139</v>
      </c>
      <c r="AC2" s="277" t="n">
        <v>46140</v>
      </c>
      <c r="AD2" s="277" t="n">
        <v>46141</v>
      </c>
      <c r="AE2" s="277" t="n">
        <v>46142</v>
      </c>
    </row>
    <row r="3">
      <c r="A3" s="237" t="inlineStr">
        <is>
          <t>Birmingham City Council - Supported Living</t>
        </is>
      </c>
      <c r="B3" s="268" t="n"/>
      <c r="C3" s="268" t="n"/>
      <c r="D3" s="268" t="n"/>
      <c r="E3" s="268" t="n"/>
      <c r="F3" s="268" t="n"/>
      <c r="G3" s="275" t="n"/>
      <c r="H3" s="268" t="n"/>
      <c r="I3" s="268" t="n"/>
      <c r="J3" s="268" t="n"/>
      <c r="K3" s="268" t="n"/>
      <c r="L3" s="268" t="n"/>
      <c r="M3" s="268" t="n"/>
      <c r="N3" s="268" t="n"/>
      <c r="O3" s="268" t="n"/>
      <c r="P3" s="268" t="n"/>
      <c r="Q3" s="268" t="n"/>
      <c r="R3" s="268" t="n"/>
      <c r="S3" s="268" t="n"/>
      <c r="T3" s="268" t="n"/>
      <c r="U3" s="268" t="n"/>
      <c r="V3" s="268" t="n"/>
      <c r="W3" s="268" t="n"/>
      <c r="X3" s="268" t="n"/>
      <c r="Y3" s="268" t="n"/>
      <c r="Z3" s="268" t="n"/>
      <c r="AA3" s="268" t="n"/>
      <c r="AB3" s="268" t="n"/>
      <c r="AC3" s="268" t="n"/>
      <c r="AD3" s="268" t="n"/>
      <c r="AE3" s="268" t="n"/>
      <c r="AF3" s="235">
        <f>SUM(B3:AE3)</f>
        <v/>
      </c>
    </row>
    <row r="4">
      <c r="A4" s="237" t="inlineStr">
        <is>
          <t>Haringey</t>
        </is>
      </c>
      <c r="B4" s="268" t="n">
        <v>0</v>
      </c>
      <c r="C4" s="268" t="n">
        <v>0</v>
      </c>
      <c r="D4" s="268" t="n">
        <v>0</v>
      </c>
      <c r="E4" s="268" t="n">
        <v>0</v>
      </c>
      <c r="F4" s="268" t="n">
        <v>0</v>
      </c>
      <c r="G4" s="268" t="n">
        <v>0</v>
      </c>
      <c r="H4" s="268" t="n">
        <v>0</v>
      </c>
      <c r="I4" s="268" t="n">
        <v>0</v>
      </c>
      <c r="J4" s="268" t="n">
        <v>0</v>
      </c>
      <c r="K4" s="268" t="n">
        <v>0</v>
      </c>
      <c r="L4" s="268" t="n">
        <v>0</v>
      </c>
      <c r="M4" s="268" t="n">
        <v>0</v>
      </c>
      <c r="N4" s="268" t="n">
        <v>0</v>
      </c>
      <c r="O4" s="268" t="n">
        <v>0</v>
      </c>
      <c r="P4" s="268" t="n">
        <v>18645.12</v>
      </c>
      <c r="Q4" s="268" t="n">
        <v>0</v>
      </c>
      <c r="R4" s="268" t="n">
        <v>0</v>
      </c>
      <c r="S4" s="268" t="n">
        <v>0</v>
      </c>
      <c r="T4" s="268" t="n">
        <v>740</v>
      </c>
      <c r="U4" s="275" t="n">
        <v>0</v>
      </c>
      <c r="V4" s="268" t="n">
        <v>0</v>
      </c>
      <c r="W4" s="268" t="n">
        <v>0</v>
      </c>
      <c r="X4" s="268" t="n">
        <v>0</v>
      </c>
      <c r="Y4" s="268" t="n">
        <v>0</v>
      </c>
      <c r="Z4" s="268" t="n">
        <v>0</v>
      </c>
      <c r="AA4" s="268" t="n">
        <v>0</v>
      </c>
      <c r="AB4" s="268" t="n">
        <v>0</v>
      </c>
      <c r="AC4" s="268" t="n">
        <v>0</v>
      </c>
      <c r="AD4" s="268" t="n">
        <v>0</v>
      </c>
      <c r="AE4" s="268" t="n">
        <v>0</v>
      </c>
      <c r="AF4" s="235">
        <f>SUM(B4:AE4)</f>
        <v/>
      </c>
    </row>
    <row r="5">
      <c r="A5" s="237" t="inlineStr">
        <is>
          <t>Sandwell MBC - Respite</t>
        </is>
      </c>
      <c r="B5" s="268" t="n"/>
      <c r="C5" s="268" t="n"/>
      <c r="D5" s="268" t="n"/>
      <c r="E5" s="268" t="n"/>
      <c r="F5" s="268" t="n"/>
      <c r="G5" s="268" t="n"/>
      <c r="H5" s="268" t="n"/>
      <c r="I5" s="268" t="n"/>
      <c r="J5" s="268" t="n"/>
      <c r="K5" s="268" t="n"/>
      <c r="L5" s="268" t="n"/>
      <c r="M5" s="268" t="n"/>
      <c r="N5" s="275" t="n"/>
      <c r="O5" s="268" t="n"/>
      <c r="P5" s="268" t="n"/>
      <c r="Q5" s="268" t="n"/>
      <c r="R5" s="268" t="n"/>
      <c r="S5" s="268" t="n"/>
      <c r="T5" s="268" t="n"/>
      <c r="U5" s="268" t="n"/>
      <c r="V5" s="268" t="n"/>
      <c r="W5" s="268" t="n"/>
      <c r="X5" s="268" t="n"/>
      <c r="Y5" s="268" t="n"/>
      <c r="Z5" s="268" t="n"/>
      <c r="AA5" s="268" t="n"/>
      <c r="AB5" s="275" t="n"/>
      <c r="AC5" s="268" t="n"/>
      <c r="AD5" s="268" t="n"/>
      <c r="AE5" s="268" t="n"/>
      <c r="AF5" s="235">
        <f>SUM(B5:AE5)</f>
        <v/>
      </c>
    </row>
    <row r="6">
      <c r="A6" s="237" t="inlineStr">
        <is>
          <t>Sandwell MBC - Daycare</t>
        </is>
      </c>
      <c r="B6" s="268" t="n"/>
      <c r="C6" s="268" t="n"/>
      <c r="D6" s="275" t="n"/>
      <c r="E6" s="268" t="n"/>
      <c r="F6" s="268" t="n"/>
      <c r="G6" s="268" t="n"/>
      <c r="H6" s="268" t="n"/>
      <c r="I6" s="268" t="n"/>
      <c r="J6" s="268" t="n"/>
      <c r="K6" s="268" t="n"/>
      <c r="L6" s="268" t="n"/>
      <c r="M6" s="268" t="n"/>
      <c r="N6" s="268" t="n"/>
      <c r="O6" s="268" t="n"/>
      <c r="P6" s="268" t="n"/>
      <c r="Q6" s="268" t="n"/>
      <c r="R6" s="275" t="n"/>
      <c r="S6" s="268" t="n"/>
      <c r="T6" s="268" t="n"/>
      <c r="U6" s="268" t="n"/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68" t="n"/>
      <c r="AE6" s="268" t="n"/>
      <c r="AF6" s="235">
        <f>SUM(B6:AE6)</f>
        <v/>
      </c>
    </row>
    <row r="7">
      <c r="A7" s="237" t="inlineStr">
        <is>
          <t xml:space="preserve">Wolverhampton - Respite </t>
        </is>
      </c>
      <c r="B7" s="268" t="n"/>
      <c r="C7" s="268" t="n"/>
      <c r="D7" s="268" t="n"/>
      <c r="E7" s="268" t="n"/>
      <c r="F7" s="268" t="n"/>
      <c r="G7" s="268" t="n"/>
      <c r="H7" s="268" t="n"/>
      <c r="I7" s="268" t="n"/>
      <c r="J7" s="268" t="n"/>
      <c r="K7" s="268" t="n"/>
      <c r="L7" s="268" t="n"/>
      <c r="M7" s="268" t="n"/>
      <c r="N7" s="268" t="n"/>
      <c r="O7" s="268" t="n"/>
      <c r="P7" s="268" t="n"/>
      <c r="Q7" s="268" t="n"/>
      <c r="R7" s="268" t="n"/>
      <c r="S7" s="268" t="n"/>
      <c r="T7" s="268" t="n"/>
      <c r="U7" s="268" t="n"/>
      <c r="V7" s="268" t="n"/>
      <c r="W7" s="268" t="n"/>
      <c r="X7" s="268" t="n"/>
      <c r="Y7" s="268" t="n"/>
      <c r="Z7" s="268" t="n"/>
      <c r="AA7" s="268" t="n"/>
      <c r="AB7" s="268" t="n"/>
      <c r="AC7" s="268" t="n"/>
      <c r="AD7" s="268" t="n"/>
      <c r="AE7" s="268" t="n"/>
      <c r="AF7" s="235">
        <f>SUM(B7:AE7)</f>
        <v/>
      </c>
    </row>
    <row r="8">
      <c r="A8" s="237" t="inlineStr">
        <is>
          <t>Wolverhampton - Daycare</t>
        </is>
      </c>
      <c r="B8" s="268" t="n"/>
      <c r="C8" s="275" t="n">
        <v>5606.3</v>
      </c>
      <c r="D8" s="268" t="n"/>
      <c r="E8" s="268" t="n"/>
      <c r="F8" s="268" t="n"/>
      <c r="G8" s="268" t="n"/>
      <c r="H8" s="268" t="n"/>
      <c r="I8" s="268" t="n"/>
      <c r="J8" s="275" t="n">
        <v>5606.3</v>
      </c>
      <c r="K8" s="268" t="n"/>
      <c r="L8" s="268" t="n"/>
      <c r="M8" s="268" t="n"/>
      <c r="N8" s="268" t="n"/>
      <c r="O8" s="268" t="n"/>
      <c r="P8" s="268" t="n"/>
      <c r="Q8" s="275" t="n">
        <v>5606.3</v>
      </c>
      <c r="R8" s="268" t="n"/>
      <c r="S8" s="268" t="n"/>
      <c r="T8" s="268" t="n"/>
      <c r="U8" s="268" t="n"/>
      <c r="V8" s="268" t="n"/>
      <c r="W8" s="268" t="n"/>
      <c r="X8" s="275" t="n">
        <v>5606.3</v>
      </c>
      <c r="Y8" s="268" t="n"/>
      <c r="Z8" s="268" t="n"/>
      <c r="AA8" s="268" t="n"/>
      <c r="AB8" s="268" t="n"/>
      <c r="AC8" s="268" t="n"/>
      <c r="AD8" s="268" t="n"/>
      <c r="AE8" s="275" t="n">
        <v>5606.3</v>
      </c>
      <c r="AF8" s="235">
        <f>SUM(B8:AE8)</f>
        <v/>
      </c>
    </row>
    <row r="9">
      <c r="A9" s="237" t="inlineStr">
        <is>
          <t>Walsall - Respite</t>
        </is>
      </c>
      <c r="B9" s="268" t="n"/>
      <c r="C9" s="268" t="n"/>
      <c r="D9" s="268" t="n"/>
      <c r="E9" s="268" t="n"/>
      <c r="F9" s="268" t="n"/>
      <c r="G9" s="268" t="n"/>
      <c r="H9" s="275" t="n"/>
      <c r="I9" s="268" t="n"/>
      <c r="J9" s="268" t="n"/>
      <c r="K9" s="268" t="n"/>
      <c r="L9" s="268" t="n"/>
      <c r="M9" s="268" t="n"/>
      <c r="N9" s="268" t="n"/>
      <c r="O9" s="268" t="n"/>
      <c r="P9" s="268" t="n"/>
      <c r="Q9" s="268" t="n"/>
      <c r="R9" s="268" t="n"/>
      <c r="S9" s="268" t="n"/>
      <c r="T9" s="268" t="n"/>
      <c r="U9" s="268" t="n"/>
      <c r="V9" s="268" t="n"/>
      <c r="W9" s="268" t="n"/>
      <c r="X9" s="268" t="n"/>
      <c r="Y9" s="268" t="n"/>
      <c r="Z9" s="268" t="n"/>
      <c r="AA9" s="268" t="n"/>
      <c r="AB9" s="268" t="n"/>
      <c r="AC9" s="268" t="n"/>
      <c r="AD9" s="268" t="n"/>
      <c r="AE9" s="268" t="n"/>
      <c r="AF9" s="235">
        <f>SUM(B9:AE9)</f>
        <v/>
      </c>
    </row>
    <row r="10">
      <c r="A10" s="237" t="inlineStr">
        <is>
          <t>Walsall - Daycare</t>
        </is>
      </c>
      <c r="B10" s="268" t="n"/>
      <c r="C10" s="268" t="n"/>
      <c r="D10" s="268" t="n"/>
      <c r="E10" s="268" t="n"/>
      <c r="F10" s="268" t="n"/>
      <c r="G10" s="268" t="n"/>
      <c r="H10" s="268" t="n"/>
      <c r="I10" s="268" t="n"/>
      <c r="J10" s="268" t="n"/>
      <c r="K10" s="268" t="n"/>
      <c r="L10" s="268" t="n"/>
      <c r="M10" s="268" t="n"/>
      <c r="N10" s="268" t="n"/>
      <c r="O10" s="268" t="n"/>
      <c r="P10" s="268" t="n"/>
      <c r="Q10" s="268" t="n"/>
      <c r="R10" s="268" t="n"/>
      <c r="S10" s="268" t="n"/>
      <c r="T10" s="268" t="n"/>
      <c r="U10" s="268" t="n"/>
      <c r="V10" s="268" t="n"/>
      <c r="W10" s="268" t="n"/>
      <c r="X10" s="268" t="n"/>
      <c r="Y10" s="268" t="n"/>
      <c r="Z10" s="268" t="n"/>
      <c r="AA10" s="268" t="n"/>
      <c r="AB10" s="268" t="n"/>
      <c r="AC10" s="268" t="n"/>
      <c r="AD10" s="268" t="n"/>
      <c r="AE10" s="268" t="n"/>
      <c r="AF10" s="235">
        <f>SUM(B10:AE10)</f>
        <v/>
      </c>
    </row>
    <row r="11">
      <c r="A11" s="237" t="inlineStr">
        <is>
          <t>Ideal for All Ltd - Direct Payments</t>
        </is>
      </c>
      <c r="B11" s="268" t="n"/>
      <c r="C11" s="268" t="n">
        <v>7664.06</v>
      </c>
      <c r="D11" s="275" t="n"/>
      <c r="E11" s="268" t="n"/>
      <c r="F11" s="268" t="n"/>
      <c r="G11" s="268" t="n"/>
      <c r="H11" s="268" t="n"/>
      <c r="I11" s="268" t="n"/>
      <c r="J11" s="268" t="n"/>
      <c r="K11" s="268" t="n"/>
      <c r="L11" s="268" t="n"/>
      <c r="M11" s="268" t="n"/>
      <c r="N11" s="268" t="n"/>
      <c r="O11" s="268" t="n"/>
      <c r="P11" s="268" t="n"/>
      <c r="Q11" s="268" t="n"/>
      <c r="R11" s="268" t="n"/>
      <c r="S11" s="268" t="n"/>
      <c r="T11" s="268" t="n"/>
      <c r="U11" s="268" t="n"/>
      <c r="V11" s="268" t="n"/>
      <c r="W11" s="268" t="n"/>
      <c r="X11" s="268" t="n"/>
      <c r="Y11" s="268" t="n"/>
      <c r="Z11" s="268" t="n"/>
      <c r="AA11" s="268" t="n"/>
      <c r="AB11" s="268" t="n"/>
      <c r="AC11" s="268" t="n"/>
      <c r="AD11" s="268" t="n"/>
      <c r="AE11" s="268" t="n"/>
      <c r="AF11" s="235">
        <f>SUM(B11:AE11)</f>
        <v/>
      </c>
    </row>
    <row r="12">
      <c r="A12" s="237" t="inlineStr">
        <is>
          <t>Kirklees - Supported Living</t>
        </is>
      </c>
      <c r="B12" s="268" t="n"/>
      <c r="C12" s="268" t="n"/>
      <c r="D12" s="275" t="n"/>
      <c r="E12" s="268" t="n"/>
      <c r="F12" s="268" t="n"/>
      <c r="G12" s="268" t="n"/>
      <c r="H12" s="268" t="n"/>
      <c r="I12" s="268" t="n"/>
      <c r="J12" s="268" t="n"/>
      <c r="K12" s="268" t="n"/>
      <c r="L12" s="268" t="n"/>
      <c r="M12" s="268" t="n"/>
      <c r="N12" s="268" t="n"/>
      <c r="O12" s="268" t="n"/>
      <c r="P12" s="268" t="n">
        <v>6221.4</v>
      </c>
      <c r="Q12" s="268" t="n"/>
      <c r="R12" s="268" t="n"/>
      <c r="S12" s="268" t="n"/>
      <c r="T12" s="268" t="n"/>
      <c r="U12" s="268" t="n"/>
      <c r="V12" s="268" t="n"/>
      <c r="W12" s="268" t="n"/>
      <c r="X12" s="268" t="n"/>
      <c r="Y12" s="268" t="n"/>
      <c r="Z12" s="268" t="n"/>
      <c r="AA12" s="268" t="n"/>
      <c r="AB12" s="268" t="n"/>
      <c r="AC12" s="268" t="n"/>
      <c r="AD12" s="268" t="n"/>
      <c r="AE12" s="268" t="n"/>
      <c r="AF12" s="235">
        <f>SUM(B12:AE12)</f>
        <v/>
      </c>
    </row>
    <row r="13">
      <c r="A13" s="237" t="inlineStr">
        <is>
          <t>LB Hillingdon - Supported Living</t>
        </is>
      </c>
      <c r="B13" s="268" t="n"/>
      <c r="C13" s="268" t="n"/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75" t="n"/>
      <c r="O13" s="268" t="n"/>
      <c r="P13" s="268" t="n">
        <v>5203.8</v>
      </c>
      <c r="Q13" s="268" t="n"/>
      <c r="R13" s="268" t="n"/>
      <c r="S13" s="268" t="n"/>
      <c r="T13" s="268" t="n"/>
      <c r="U13" s="268" t="n"/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35">
        <f>SUM(B13:AE13)</f>
        <v/>
      </c>
    </row>
    <row r="14">
      <c r="A14" s="237" t="inlineStr">
        <is>
          <t>NHS Birmingham &amp; Solihull ICB</t>
        </is>
      </c>
      <c r="B14" s="268" t="n"/>
      <c r="C14" s="268" t="n"/>
      <c r="D14" s="275" t="n"/>
      <c r="E14" s="268" t="n"/>
      <c r="F14" s="268" t="n"/>
      <c r="G14" s="268" t="n"/>
      <c r="H14" s="268" t="n"/>
      <c r="I14" s="268" t="n">
        <v>7814.17</v>
      </c>
      <c r="J14" s="268" t="n"/>
      <c r="K14" s="268" t="n"/>
      <c r="L14" s="268" t="n"/>
      <c r="M14" s="268" t="n">
        <v>2091.66</v>
      </c>
      <c r="N14" s="268" t="n"/>
      <c r="O14" s="268" t="n"/>
      <c r="P14" s="268" t="n"/>
      <c r="Q14" s="268" t="n"/>
      <c r="R14" s="268" t="n"/>
      <c r="S14" s="268" t="n"/>
      <c r="T14" s="268" t="n"/>
      <c r="U14" s="268" t="n"/>
      <c r="V14" s="268" t="n"/>
      <c r="W14" s="268" t="n"/>
      <c r="X14" s="268" t="n"/>
      <c r="Y14" s="268" t="n"/>
      <c r="Z14" s="268" t="n"/>
      <c r="AA14" s="268" t="n"/>
      <c r="AB14" s="268" t="n"/>
      <c r="AC14" s="268" t="n"/>
      <c r="AD14" s="268" t="n"/>
      <c r="AE14" s="268" t="n"/>
      <c r="AF14" s="235">
        <f>SUM(B14:AE14)</f>
        <v/>
      </c>
    </row>
    <row r="15">
      <c r="A15" s="237" t="inlineStr">
        <is>
          <t>NHS Black Country ICB</t>
        </is>
      </c>
      <c r="B15" s="268" t="n"/>
      <c r="C15" s="268" t="n"/>
      <c r="D15" s="268" t="n"/>
      <c r="E15" s="268" t="n"/>
      <c r="F15" s="268" t="n"/>
      <c r="G15" s="268" t="n"/>
      <c r="H15" s="268" t="n"/>
      <c r="I15" s="268" t="n"/>
      <c r="J15" s="268" t="n"/>
      <c r="K15" s="268" t="n"/>
      <c r="L15" s="268" t="n"/>
      <c r="M15" s="268" t="n"/>
      <c r="N15" s="268" t="n"/>
      <c r="O15" s="268" t="n">
        <v>5928.26</v>
      </c>
      <c r="P15" s="268" t="n"/>
      <c r="Q15" s="268" t="n"/>
      <c r="R15" s="268" t="n"/>
      <c r="S15" s="268" t="n"/>
      <c r="T15" s="268" t="n"/>
      <c r="U15" s="275" t="n"/>
      <c r="V15" s="268" t="n"/>
      <c r="W15" s="268" t="n"/>
      <c r="X15" s="268" t="n"/>
      <c r="Y15" s="268" t="n"/>
      <c r="Z15" s="268" t="n"/>
      <c r="AA15" s="268" t="n"/>
      <c r="AB15" s="268" t="n"/>
      <c r="AC15" s="268" t="n"/>
      <c r="AD15" s="268" t="n"/>
      <c r="AE15" s="268" t="n">
        <v>3363.36</v>
      </c>
      <c r="AF15" s="235">
        <f>SUM(B15:AE15)</f>
        <v/>
      </c>
    </row>
    <row r="16">
      <c r="A16" s="237" t="inlineStr">
        <is>
          <t>Sandwell - HB</t>
        </is>
      </c>
      <c r="B16" s="268" t="n"/>
      <c r="C16" s="268" t="n"/>
      <c r="D16" s="268" t="n"/>
      <c r="E16" s="268" t="n"/>
      <c r="F16" s="268" t="n"/>
      <c r="G16" s="268" t="n"/>
      <c r="H16" s="268" t="n"/>
      <c r="I16" s="268" t="n"/>
      <c r="J16" s="268" t="n"/>
      <c r="K16" s="268" t="n"/>
      <c r="L16" s="268" t="n"/>
      <c r="M16" s="268" t="n"/>
      <c r="N16" s="268" t="n"/>
      <c r="O16" s="268" t="n"/>
      <c r="P16" s="268" t="n"/>
      <c r="Q16" s="268" t="n"/>
      <c r="R16" s="268" t="n"/>
      <c r="S16" s="268" t="n"/>
      <c r="T16" s="268" t="n"/>
      <c r="U16" s="268" t="n"/>
      <c r="V16" s="268" t="n"/>
      <c r="W16" s="268" t="n"/>
      <c r="X16" s="268" t="n"/>
      <c r="Y16" s="268" t="n"/>
      <c r="Z16" s="268" t="n"/>
      <c r="AA16" s="268" t="n"/>
      <c r="AB16" s="268" t="n">
        <v>380</v>
      </c>
      <c r="AC16" s="268" t="n"/>
      <c r="AD16" s="268" t="n"/>
      <c r="AE16" s="268" t="n"/>
      <c r="AF16" s="235">
        <f>SUM(B16:AE16)</f>
        <v/>
      </c>
    </row>
    <row r="17">
      <c r="A17" s="237" t="inlineStr">
        <is>
          <t>Sandwell MBC - Supported Living</t>
        </is>
      </c>
      <c r="B17" s="268" t="n">
        <v>12724.76</v>
      </c>
      <c r="C17" s="268" t="n"/>
      <c r="D17" s="268" t="n"/>
      <c r="E17" s="268" t="n"/>
      <c r="F17" s="268" t="n"/>
      <c r="G17" s="268" t="n"/>
      <c r="H17" s="268" t="n"/>
      <c r="I17" s="268" t="n"/>
      <c r="J17" s="268" t="n"/>
      <c r="K17" s="268" t="n"/>
      <c r="L17" s="268" t="n"/>
      <c r="M17" s="268" t="n">
        <v>50</v>
      </c>
      <c r="N17" s="275" t="n">
        <v>131304.4</v>
      </c>
      <c r="O17" s="268" t="n"/>
      <c r="P17" s="268" t="n"/>
      <c r="Q17" s="268" t="n"/>
      <c r="R17" s="268" t="n"/>
      <c r="S17" s="268" t="n"/>
      <c r="T17" s="268" t="n">
        <v>50</v>
      </c>
      <c r="U17" s="268" t="n"/>
      <c r="V17" s="268" t="n"/>
      <c r="W17" s="268" t="n">
        <v>6794.4</v>
      </c>
      <c r="X17" s="268" t="n">
        <v>158792.17</v>
      </c>
      <c r="Y17" s="268" t="n"/>
      <c r="Z17" s="268" t="n"/>
      <c r="AA17" s="268" t="n"/>
      <c r="AB17" s="275" t="n">
        <v>50</v>
      </c>
      <c r="AC17" s="268" t="n"/>
      <c r="AD17" s="268" t="n"/>
      <c r="AE17" s="268" t="n"/>
      <c r="AF17" s="235">
        <f>SUM(B17:AE17)</f>
        <v/>
      </c>
    </row>
    <row r="18">
      <c r="A18" s="237" t="inlineStr">
        <is>
          <t>Solihull MBC - Supported Living</t>
        </is>
      </c>
      <c r="B18" s="268" t="n"/>
      <c r="C18" s="268" t="n"/>
      <c r="D18" s="268" t="n"/>
      <c r="E18" s="268" t="n"/>
      <c r="F18" s="268" t="n"/>
      <c r="G18" s="268" t="n"/>
      <c r="H18" s="268" t="n"/>
      <c r="I18" s="268" t="n"/>
      <c r="J18" s="268" t="n"/>
      <c r="K18" s="268" t="n"/>
      <c r="L18" s="268" t="n"/>
      <c r="M18" s="268" t="n"/>
      <c r="N18" s="268" t="n"/>
      <c r="O18" s="268" t="n"/>
      <c r="P18" s="268" t="n"/>
      <c r="Q18" s="268" t="n"/>
      <c r="R18" s="268" t="n"/>
      <c r="S18" s="268" t="n"/>
      <c r="T18" s="268" t="n">
        <v>33639.34</v>
      </c>
      <c r="U18" s="275" t="n"/>
      <c r="V18" s="268" t="n"/>
      <c r="W18" s="268" t="n"/>
      <c r="X18" s="268" t="n"/>
      <c r="Y18" s="268" t="n"/>
      <c r="Z18" s="268" t="n"/>
      <c r="AA18" s="268" t="n"/>
      <c r="AB18" s="268" t="n"/>
      <c r="AC18" s="268" t="n"/>
      <c r="AD18" s="268" t="n"/>
      <c r="AE18" s="268" t="n"/>
      <c r="AF18" s="235">
        <f>SUM(B18:AE18)</f>
        <v/>
      </c>
    </row>
    <row r="19">
      <c r="A19" s="237" t="inlineStr">
        <is>
          <t>Walsall - Supported Living</t>
        </is>
      </c>
      <c r="B19" s="268" t="n"/>
      <c r="C19" s="268" t="n">
        <v>245.09</v>
      </c>
      <c r="D19" s="268" t="n"/>
      <c r="E19" s="268" t="n"/>
      <c r="F19" s="268" t="n"/>
      <c r="G19" s="268" t="n">
        <v>343077.42</v>
      </c>
      <c r="H19" s="275" t="n">
        <v>1050</v>
      </c>
      <c r="I19" s="268" t="n">
        <v>561.67</v>
      </c>
      <c r="J19" s="268" t="n">
        <v>430</v>
      </c>
      <c r="K19" s="268" t="n"/>
      <c r="L19" s="268" t="n"/>
      <c r="M19" s="268" t="n">
        <v>1050</v>
      </c>
      <c r="N19" s="268" t="n">
        <v>150</v>
      </c>
      <c r="O19" s="268" t="n"/>
      <c r="P19" s="268" t="n"/>
      <c r="Q19" s="268" t="n">
        <v>1010</v>
      </c>
      <c r="R19" s="268" t="n"/>
      <c r="S19" s="268" t="n"/>
      <c r="T19" s="268" t="n">
        <v>1890</v>
      </c>
      <c r="U19" s="268" t="n">
        <v>150</v>
      </c>
      <c r="V19" s="268" t="n"/>
      <c r="W19" s="268" t="n"/>
      <c r="X19" s="268" t="n">
        <v>430</v>
      </c>
      <c r="Y19" s="268" t="n"/>
      <c r="Z19" s="268" t="n"/>
      <c r="AA19" s="268" t="n"/>
      <c r="AB19" s="268" t="n">
        <v>1050</v>
      </c>
      <c r="AC19" s="268" t="n">
        <v>670</v>
      </c>
      <c r="AD19" s="268" t="n"/>
      <c r="AE19" s="268" t="n"/>
      <c r="AF19" s="235">
        <f>SUM(B19:AE19)</f>
        <v/>
      </c>
    </row>
    <row r="20">
      <c r="A20" s="237" t="inlineStr">
        <is>
          <t>Wolverhampton - Supported Living</t>
        </is>
      </c>
      <c r="B20" s="268" t="n"/>
      <c r="C20" s="275" t="n"/>
      <c r="D20" s="268" t="n"/>
      <c r="E20" s="268" t="n"/>
      <c r="F20" s="268" t="n"/>
      <c r="G20" s="268" t="n"/>
      <c r="H20" s="268" t="n">
        <v>137871.25</v>
      </c>
      <c r="I20" s="268" t="n"/>
      <c r="J20" s="275" t="n">
        <v>136113.02</v>
      </c>
      <c r="K20" s="268" t="n"/>
      <c r="L20" s="268" t="n"/>
      <c r="M20" s="268" t="n">
        <v>973.16</v>
      </c>
      <c r="N20" s="268" t="n"/>
      <c r="O20" s="268" t="n"/>
      <c r="P20" s="268" t="n">
        <v>141270.76</v>
      </c>
      <c r="Q20" s="275" t="n"/>
      <c r="R20" s="268" t="n"/>
      <c r="S20" s="268" t="n"/>
      <c r="T20" s="268" t="n"/>
      <c r="U20" s="268" t="n"/>
      <c r="V20" s="268" t="n"/>
      <c r="W20" s="268" t="n">
        <v>139121.2</v>
      </c>
      <c r="X20" s="275" t="n"/>
      <c r="Y20" s="268" t="n"/>
      <c r="Z20" s="268" t="n"/>
      <c r="AA20" s="268" t="n"/>
      <c r="AB20" s="268" t="n">
        <v>914.24</v>
      </c>
      <c r="AC20" s="268" t="n"/>
      <c r="AD20" s="268" t="n"/>
      <c r="AE20" s="275" t="n">
        <v>135194.54</v>
      </c>
      <c r="AF20" s="235">
        <f>SUM(B20:AE20)</f>
        <v/>
      </c>
    </row>
    <row r="21">
      <c r="A21" s="237" t="inlineStr">
        <is>
          <t>People Plus - Direct Payments</t>
        </is>
      </c>
      <c r="B21" s="268" t="n"/>
      <c r="C21" s="268" t="n"/>
      <c r="D21" s="268" t="n"/>
      <c r="E21" s="268" t="n"/>
      <c r="F21" s="268" t="n"/>
      <c r="G21" s="275" t="n"/>
      <c r="H21" s="268" t="n"/>
      <c r="I21" s="268" t="n"/>
      <c r="J21" s="268" t="n">
        <v>14051.2</v>
      </c>
      <c r="K21" s="268" t="n"/>
      <c r="L21" s="268" t="n"/>
      <c r="M21" s="268" t="n"/>
      <c r="N21" s="268" t="n"/>
      <c r="O21" s="268" t="n">
        <v>2870</v>
      </c>
      <c r="P21" s="268" t="n"/>
      <c r="Q21" s="268" t="n"/>
      <c r="R21" s="268" t="n"/>
      <c r="S21" s="268" t="n"/>
      <c r="T21" s="268" t="n"/>
      <c r="U21" s="268" t="n"/>
      <c r="V21" s="268" t="n"/>
      <c r="W21" s="268" t="n"/>
      <c r="X21" s="268" t="n"/>
      <c r="Y21" s="268" t="n"/>
      <c r="Z21" s="268" t="n"/>
      <c r="AA21" s="268" t="n"/>
      <c r="AB21" s="268" t="n"/>
      <c r="AC21" s="268" t="n"/>
      <c r="AD21" s="268" t="n"/>
      <c r="AE21" s="268" t="n"/>
      <c r="AF21" s="235">
        <f>SUM(B21:AE21)</f>
        <v/>
      </c>
    </row>
    <row r="22">
      <c r="A22" s="237" t="inlineStr">
        <is>
          <t>Middlesbrough - Supported Living</t>
        </is>
      </c>
      <c r="B22" s="268" t="n"/>
      <c r="C22" s="268" t="n"/>
      <c r="D22" s="268" t="n"/>
      <c r="E22" s="268" t="n"/>
      <c r="F22" s="268" t="n"/>
      <c r="G22" s="268" t="n"/>
      <c r="H22" s="268" t="n"/>
      <c r="I22" s="268" t="n"/>
      <c r="J22" s="268" t="n"/>
      <c r="K22" s="268" t="n"/>
      <c r="L22" s="268" t="n"/>
      <c r="M22" s="268" t="n"/>
      <c r="N22" s="268" t="n"/>
      <c r="O22" s="268" t="n"/>
      <c r="P22" s="268" t="n"/>
      <c r="Q22" s="268" t="n"/>
      <c r="R22" s="268" t="n"/>
      <c r="S22" s="268" t="n"/>
      <c r="T22" s="268" t="n"/>
      <c r="U22" s="268" t="n"/>
      <c r="V22" s="268" t="n"/>
      <c r="W22" s="268" t="n"/>
      <c r="X22" s="268" t="n"/>
      <c r="Y22" s="275" t="n"/>
      <c r="Z22" s="268" t="n"/>
      <c r="AA22" s="268" t="n"/>
      <c r="AB22" s="268" t="n"/>
      <c r="AC22" s="268" t="n"/>
      <c r="AD22" s="268" t="n"/>
      <c r="AE22" s="268" t="n"/>
      <c r="AF22" s="235">
        <f>SUM(B22:AE22)</f>
        <v/>
      </c>
    </row>
    <row r="23">
      <c r="A23" s="237" t="inlineStr">
        <is>
          <t>Other HB and SC</t>
        </is>
      </c>
      <c r="B23" s="278" t="n">
        <v>5350.6</v>
      </c>
      <c r="C23" s="278" t="n">
        <v>7266.99</v>
      </c>
      <c r="D23" s="278" t="n">
        <v>0</v>
      </c>
      <c r="E23" s="278" t="n">
        <v>996.67</v>
      </c>
      <c r="F23" s="278" t="n">
        <v>445</v>
      </c>
      <c r="G23" s="278" t="n">
        <v>16578.67</v>
      </c>
      <c r="H23" s="278" t="n">
        <v>4467.03</v>
      </c>
      <c r="I23" s="278" t="n">
        <v>2029.42</v>
      </c>
      <c r="J23" s="278" t="n">
        <v>4151.68</v>
      </c>
      <c r="K23" s="278" t="n">
        <v>50</v>
      </c>
      <c r="L23" s="278" t="n">
        <v>200</v>
      </c>
      <c r="M23" s="278" t="n">
        <v>9453.200000000001</v>
      </c>
      <c r="N23" s="278" t="n">
        <v>2844.29</v>
      </c>
      <c r="O23" s="278" t="n">
        <v>5559.74</v>
      </c>
      <c r="P23" s="278" t="n">
        <v>3575.5</v>
      </c>
      <c r="Q23" s="278" t="n">
        <v>13314.05</v>
      </c>
      <c r="R23" s="278" t="n">
        <v>706.53</v>
      </c>
      <c r="S23" s="278" t="n">
        <v>0</v>
      </c>
      <c r="T23" s="278" t="n">
        <v>16920.78</v>
      </c>
      <c r="U23" s="278" t="n">
        <v>2647.52</v>
      </c>
      <c r="V23" s="278" t="n">
        <v>4400.89</v>
      </c>
      <c r="W23" s="278" t="n">
        <v>77884.42999999999</v>
      </c>
      <c r="X23" s="278" t="n">
        <v>-10040.29</v>
      </c>
      <c r="Y23" s="278" t="n">
        <v>216.67</v>
      </c>
      <c r="Z23" s="278" t="n">
        <v>200</v>
      </c>
      <c r="AA23" s="278" t="n">
        <v>0</v>
      </c>
      <c r="AB23" s="278" t="n">
        <v>9742.76</v>
      </c>
      <c r="AC23" s="278" t="n">
        <v>5947.71</v>
      </c>
      <c r="AD23" s="278" t="n">
        <v>5761.53</v>
      </c>
      <c r="AE23" s="278" t="n">
        <v>14960.56</v>
      </c>
      <c r="AF23" s="235">
        <f>SUM(B23:AE23)</f>
        <v/>
      </c>
    </row>
    <row r="24">
      <c r="A24" s="237" t="inlineStr">
        <is>
          <t>TOTAL</t>
        </is>
      </c>
      <c r="B24" s="276">
        <f>SUM(B3:B26)</f>
        <v/>
      </c>
      <c r="C24" s="276">
        <f>SUM(C3:C26)</f>
        <v/>
      </c>
      <c r="D24" s="276">
        <f>SUM(D3:D26)</f>
        <v/>
      </c>
      <c r="E24" s="276">
        <f>SUM(E3:E26)</f>
        <v/>
      </c>
      <c r="F24" s="276">
        <f>SUM(F3:F26)</f>
        <v/>
      </c>
      <c r="G24" s="276">
        <f>SUM(G3:G26)</f>
        <v/>
      </c>
      <c r="H24" s="276">
        <f>SUM(H3:H26)</f>
        <v/>
      </c>
      <c r="I24" s="276">
        <f>SUM(I3:I26)</f>
        <v/>
      </c>
      <c r="J24" s="276">
        <f>SUM(J3:J26)</f>
        <v/>
      </c>
      <c r="K24" s="276">
        <f>SUM(K3:K26)</f>
        <v/>
      </c>
      <c r="L24" s="276">
        <f>SUM(L3:L26)</f>
        <v/>
      </c>
      <c r="M24" s="276">
        <f>SUM(M3:M26)</f>
        <v/>
      </c>
      <c r="N24" s="276">
        <f>SUM(N3:N26)</f>
        <v/>
      </c>
      <c r="O24" s="276">
        <f>SUM(O3:O26)</f>
        <v/>
      </c>
      <c r="P24" s="276">
        <f>SUM(P3:P26)</f>
        <v/>
      </c>
      <c r="Q24" s="276">
        <f>SUM(Q3:Q26)</f>
        <v/>
      </c>
      <c r="R24" s="276">
        <f>SUM(R3:R26)</f>
        <v/>
      </c>
      <c r="S24" s="276">
        <f>SUM(S3:S26)</f>
        <v/>
      </c>
      <c r="T24" s="276">
        <f>SUM(T3:T26)</f>
        <v/>
      </c>
      <c r="U24" s="276">
        <f>SUM(U3:U26)</f>
        <v/>
      </c>
      <c r="V24" s="276">
        <f>SUM(V3:V26)</f>
        <v/>
      </c>
      <c r="W24" s="276">
        <f>SUM(W3:W26)</f>
        <v/>
      </c>
      <c r="X24" s="276">
        <f>SUM(X3:X26)</f>
        <v/>
      </c>
      <c r="Y24" s="276">
        <f>SUM(Y3:Y26)</f>
        <v/>
      </c>
      <c r="Z24" s="276">
        <f>SUM(Z3:Z26)</f>
        <v/>
      </c>
      <c r="AA24" s="276">
        <f>SUM(AA3:AA26)</f>
        <v/>
      </c>
      <c r="AB24" s="276">
        <f>SUM(AB3:AB26)</f>
        <v/>
      </c>
      <c r="AC24" s="276">
        <f>SUM(AC3:AC26)</f>
        <v/>
      </c>
      <c r="AD24" s="276">
        <f>SUM(AD3:AD26)</f>
        <v/>
      </c>
      <c r="AE24" s="276">
        <f>SUM(AE3:AE26)</f>
        <v/>
      </c>
      <c r="AF24" s="235">
        <f>SUM(AF3:AF23)</f>
        <v/>
      </c>
    </row>
    <row r="26">
      <c r="A26" s="237" t="n"/>
      <c r="AF26" s="235" t="n"/>
    </row>
    <row r="27">
      <c r="AF27" s="235" t="n"/>
    </row>
    <row r="28">
      <c r="A28" s="237" t="n"/>
      <c r="AF28" s="235" t="n"/>
    </row>
    <row r="29">
      <c r="A29" s="237" t="n"/>
      <c r="AF29" s="235" t="n"/>
    </row>
    <row r="30">
      <c r="A30" s="237" t="n"/>
      <c r="AF30" s="235" t="n"/>
    </row>
    <row r="31">
      <c r="A31" s="237" t="n"/>
      <c r="AF31" s="235" t="n"/>
    </row>
    <row r="32">
      <c r="A32" s="237" t="n"/>
      <c r="AF32" s="235" t="n"/>
    </row>
    <row r="33">
      <c r="A33" s="237" t="n"/>
      <c r="AF33" s="235" t="n"/>
    </row>
    <row r="34">
      <c r="A34" s="237" t="n"/>
      <c r="AF34" s="235" t="n"/>
    </row>
    <row r="35">
      <c r="A35" s="237" t="n"/>
      <c r="AF35" s="235" t="n"/>
    </row>
    <row r="36">
      <c r="A36" s="237" t="n"/>
      <c r="AF36" s="235" t="n"/>
    </row>
    <row r="37">
      <c r="A37" s="237" t="n"/>
      <c r="AF37" s="235" t="n"/>
    </row>
    <row r="38">
      <c r="A38" s="237" t="n"/>
      <c r="AF38" s="235" t="n"/>
    </row>
    <row r="39">
      <c r="A39" s="237" t="n"/>
      <c r="AF39" s="235" t="n"/>
    </row>
    <row r="40">
      <c r="A40" s="237" t="n"/>
      <c r="AF40" s="235" t="n"/>
    </row>
    <row r="41">
      <c r="A41" s="237" t="n"/>
      <c r="AF41" s="235" t="n"/>
    </row>
    <row r="42">
      <c r="A42" s="237" t="n"/>
      <c r="AF42" s="235" t="n"/>
    </row>
    <row r="43">
      <c r="A43" s="237" t="n"/>
      <c r="AF43" s="235" t="n"/>
    </row>
    <row r="44">
      <c r="A44" s="237" t="n"/>
      <c r="AF44" s="235" t="n"/>
    </row>
    <row r="45">
      <c r="A45" s="237" t="n"/>
      <c r="AF45" s="235" t="n"/>
    </row>
    <row r="46">
      <c r="A46" s="237" t="n"/>
      <c r="AF46" s="235" t="n"/>
    </row>
    <row r="47">
      <c r="A47" s="237" t="n"/>
      <c r="AF47" s="235" t="n"/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3:F9"/>
  <sheetViews>
    <sheetView workbookViewId="0">
      <selection activeCell="AA408" sqref="AA408"/>
    </sheetView>
  </sheetViews>
  <sheetFormatPr baseColWidth="8" defaultRowHeight="15"/>
  <cols>
    <col width="38.140625" bestFit="1" customWidth="1" min="1" max="1"/>
    <col width="16.28515625" bestFit="1" customWidth="1" min="2" max="2"/>
    <col width="10.7109375" bestFit="1" customWidth="1" min="3" max="5"/>
    <col width="11.28515625" bestFit="1" customWidth="1" min="6" max="6"/>
    <col width="10.42578125" bestFit="1" customWidth="1" min="7" max="28"/>
    <col width="11.28515625" bestFit="1" customWidth="1" min="29" max="29"/>
  </cols>
  <sheetData>
    <row r="3">
      <c r="A3" s="248" t="inlineStr">
        <is>
          <t>Sum of m</t>
        </is>
      </c>
      <c r="B3" s="248" t="inlineStr">
        <is>
          <t>Column Labels</t>
        </is>
      </c>
    </row>
    <row r="4">
      <c r="A4" s="248" t="inlineStr">
        <is>
          <t>Row Labels</t>
        </is>
      </c>
      <c r="B4" s="193" t="n">
        <v>46121</v>
      </c>
      <c r="C4" s="193" t="n">
        <v>46122</v>
      </c>
      <c r="D4" s="193" t="n">
        <v>46125</v>
      </c>
      <c r="E4" s="193" t="n">
        <v>46133</v>
      </c>
      <c r="F4" s="193" t="inlineStr">
        <is>
          <t>Grand Total</t>
        </is>
      </c>
    </row>
    <row r="5">
      <c r="A5" s="247" t="inlineStr">
        <is>
          <t>BIRMINGHAM   SOLIH-607080-10033610</t>
        </is>
      </c>
      <c r="D5" t="n">
        <v>2091.66</v>
      </c>
      <c r="F5" t="n">
        <v>2091.66</v>
      </c>
    </row>
    <row r="6">
      <c r="A6" s="247" t="inlineStr">
        <is>
          <t>BIRMINGHAM CITY CO</t>
        </is>
      </c>
      <c r="E6" t="n">
        <v>0</v>
      </c>
      <c r="F6" t="n">
        <v>0</v>
      </c>
    </row>
    <row r="7">
      <c r="A7" s="247" t="inlineStr">
        <is>
          <t>Birmingham City Council</t>
        </is>
      </c>
      <c r="C7" t="n">
        <v>0</v>
      </c>
      <c r="F7" t="n">
        <v>0</v>
      </c>
    </row>
    <row r="8">
      <c r="A8" s="247" t="inlineStr">
        <is>
          <t>NHS BIRMINGHAM AND-607080-10017097</t>
        </is>
      </c>
      <c r="B8" t="n">
        <v>7814.17</v>
      </c>
      <c r="F8" t="n">
        <v>7814.17</v>
      </c>
    </row>
    <row r="9">
      <c r="A9" s="247" t="inlineStr">
        <is>
          <t>Grand Total</t>
        </is>
      </c>
      <c r="B9" t="n">
        <v>7814.17</v>
      </c>
      <c r="C9" t="n">
        <v>0</v>
      </c>
      <c r="D9" t="n">
        <v>2091.66</v>
      </c>
      <c r="E9" t="n">
        <v>0</v>
      </c>
      <c r="F9" t="n">
        <v>9905.83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>
  <sheetPr codeName="Sheet38">
    <outlinePr summaryBelow="1" summaryRight="1"/>
    <pageSetUpPr/>
  </sheetPr>
  <dimension ref="A1:AG44"/>
  <sheetViews>
    <sheetView tabSelected="1" workbookViewId="0">
      <selection activeCell="A1" sqref="A1:XFD24"/>
    </sheetView>
  </sheetViews>
  <sheetFormatPr baseColWidth="8" defaultRowHeight="15"/>
  <cols>
    <col width="45" customWidth="1" min="1" max="1"/>
    <col width="12" customWidth="1" min="2" max="32"/>
    <col width="10.5703125" bestFit="1" customWidth="1" min="33" max="33"/>
  </cols>
  <sheetData>
    <row r="1">
      <c r="B1" s="238" t="inlineStr">
        <is>
          <t>Friday</t>
        </is>
      </c>
      <c r="C1" s="238" t="inlineStr">
        <is>
          <t>Saturday</t>
        </is>
      </c>
      <c r="D1" s="238" t="inlineStr">
        <is>
          <t>Sunday</t>
        </is>
      </c>
      <c r="E1" s="238" t="inlineStr">
        <is>
          <t>Monday</t>
        </is>
      </c>
      <c r="F1" s="238" t="inlineStr">
        <is>
          <t>Tuesday</t>
        </is>
      </c>
      <c r="G1" s="238" t="inlineStr">
        <is>
          <t>Wednesday</t>
        </is>
      </c>
      <c r="H1" s="238" t="inlineStr">
        <is>
          <t>Thursday</t>
        </is>
      </c>
      <c r="I1" s="238" t="inlineStr">
        <is>
          <t>Friday</t>
        </is>
      </c>
      <c r="J1" s="238" t="inlineStr">
        <is>
          <t>Saturday</t>
        </is>
      </c>
      <c r="K1" s="238" t="inlineStr">
        <is>
          <t>Sunday</t>
        </is>
      </c>
      <c r="L1" s="238" t="inlineStr">
        <is>
          <t>Monday</t>
        </is>
      </c>
      <c r="M1" s="238" t="inlineStr">
        <is>
          <t>Tuesday</t>
        </is>
      </c>
      <c r="N1" s="238" t="inlineStr">
        <is>
          <t>Wednesday</t>
        </is>
      </c>
      <c r="O1" s="238" t="inlineStr">
        <is>
          <t>Thursday</t>
        </is>
      </c>
      <c r="P1" s="238" t="inlineStr">
        <is>
          <t>Friday</t>
        </is>
      </c>
      <c r="Q1" s="238" t="inlineStr">
        <is>
          <t>Saturday</t>
        </is>
      </c>
      <c r="R1" s="238" t="inlineStr">
        <is>
          <t>Sunday</t>
        </is>
      </c>
      <c r="S1" s="238" t="inlineStr">
        <is>
          <t>Monday</t>
        </is>
      </c>
      <c r="T1" s="238" t="inlineStr">
        <is>
          <t>Tuesday</t>
        </is>
      </c>
      <c r="U1" s="238" t="inlineStr">
        <is>
          <t>Wednesday</t>
        </is>
      </c>
      <c r="V1" s="238" t="inlineStr">
        <is>
          <t>Thursday</t>
        </is>
      </c>
      <c r="W1" s="238" t="inlineStr">
        <is>
          <t>Friday</t>
        </is>
      </c>
      <c r="X1" s="238" t="inlineStr">
        <is>
          <t>Saturday</t>
        </is>
      </c>
      <c r="Y1" s="238" t="inlineStr">
        <is>
          <t>Sunday</t>
        </is>
      </c>
      <c r="Z1" s="238" t="inlineStr">
        <is>
          <t>Monday</t>
        </is>
      </c>
      <c r="AA1" s="238" t="inlineStr">
        <is>
          <t>Tuesday</t>
        </is>
      </c>
      <c r="AB1" s="238" t="inlineStr">
        <is>
          <t>Wednesday</t>
        </is>
      </c>
      <c r="AC1" s="238" t="inlineStr">
        <is>
          <t>Thursday</t>
        </is>
      </c>
      <c r="AD1" s="238" t="inlineStr">
        <is>
          <t>Friday</t>
        </is>
      </c>
      <c r="AE1" s="238" t="inlineStr">
        <is>
          <t>Saturday</t>
        </is>
      </c>
      <c r="AF1" s="238" t="inlineStr">
        <is>
          <t>Sunday</t>
        </is>
      </c>
      <c r="AG1" s="237" t="inlineStr">
        <is>
          <t>Total</t>
        </is>
      </c>
    </row>
    <row r="2">
      <c r="B2" s="277" t="n">
        <v>46143</v>
      </c>
      <c r="C2" s="277" t="n">
        <v>46144</v>
      </c>
      <c r="D2" s="277" t="n">
        <v>46145</v>
      </c>
      <c r="E2" s="277" t="n">
        <v>46146</v>
      </c>
      <c r="F2" s="277" t="n">
        <v>46147</v>
      </c>
      <c r="G2" s="277" t="n">
        <v>46148</v>
      </c>
      <c r="H2" s="277" t="n">
        <v>46149</v>
      </c>
      <c r="I2" s="277" t="n">
        <v>46150</v>
      </c>
      <c r="J2" s="277" t="n">
        <v>46151</v>
      </c>
      <c r="K2" s="277" t="n">
        <v>46152</v>
      </c>
      <c r="L2" s="277" t="n">
        <v>46153</v>
      </c>
      <c r="M2" s="277" t="n">
        <v>46154</v>
      </c>
      <c r="N2" s="277" t="n">
        <v>46155</v>
      </c>
      <c r="O2" s="277" t="n">
        <v>46156</v>
      </c>
      <c r="P2" s="277" t="n">
        <v>46157</v>
      </c>
      <c r="Q2" s="277" t="n">
        <v>46158</v>
      </c>
      <c r="R2" s="277" t="n">
        <v>46159</v>
      </c>
      <c r="S2" s="277" t="n">
        <v>46160</v>
      </c>
      <c r="T2" s="277" t="n">
        <v>46161</v>
      </c>
      <c r="U2" s="277" t="n">
        <v>46162</v>
      </c>
      <c r="V2" s="277" t="n">
        <v>46163</v>
      </c>
      <c r="W2" s="277" t="n">
        <v>46164</v>
      </c>
      <c r="X2" s="277" t="n">
        <v>46165</v>
      </c>
      <c r="Y2" s="277" t="n">
        <v>46166</v>
      </c>
      <c r="Z2" s="277" t="n">
        <v>46167</v>
      </c>
      <c r="AA2" s="277" t="n">
        <v>46168</v>
      </c>
      <c r="AB2" s="277" t="n">
        <v>46169</v>
      </c>
      <c r="AC2" s="277" t="n">
        <v>46170</v>
      </c>
      <c r="AD2" s="277" t="n">
        <v>46171</v>
      </c>
      <c r="AE2" s="277" t="n">
        <v>46172</v>
      </c>
      <c r="AF2" s="277" t="n">
        <v>46173</v>
      </c>
    </row>
    <row r="3">
      <c r="A3" s="237" t="inlineStr">
        <is>
          <t>Birmingham City Council - Supported Living</t>
        </is>
      </c>
      <c r="B3" s="268" t="n"/>
      <c r="C3" s="268" t="n"/>
      <c r="D3" s="268" t="n"/>
      <c r="E3" s="275" t="n"/>
      <c r="F3" s="268" t="n"/>
      <c r="G3" s="268" t="n"/>
      <c r="H3" s="268" t="n"/>
      <c r="I3" t="n">
        <v>9591.879999999999</v>
      </c>
      <c r="J3" s="268" t="n"/>
      <c r="K3" s="268" t="n"/>
      <c r="L3" s="268" t="n"/>
      <c r="M3" s="268" t="n"/>
      <c r="N3" s="268" t="n"/>
      <c r="O3" s="268" t="n"/>
      <c r="P3" s="268" t="n"/>
      <c r="Q3" s="268" t="n"/>
      <c r="R3" s="268" t="n"/>
      <c r="S3" s="268" t="n"/>
      <c r="T3" s="268" t="n"/>
      <c r="U3" s="268" t="n"/>
      <c r="V3" s="268" t="n">
        <v>59419.08</v>
      </c>
      <c r="W3" s="268" t="n"/>
      <c r="X3" s="268" t="n"/>
      <c r="Y3" s="268" t="n"/>
      <c r="Z3" s="268" t="n"/>
      <c r="AA3" s="268" t="n"/>
      <c r="AB3" s="268" t="n"/>
      <c r="AC3" s="268" t="n"/>
      <c r="AD3" s="268" t="n"/>
      <c r="AE3" s="268" t="n"/>
      <c r="AF3" s="268" t="n"/>
      <c r="AG3" s="235">
        <f>SUM(B3:AF3)</f>
        <v/>
      </c>
    </row>
    <row r="4">
      <c r="A4" s="237" t="inlineStr">
        <is>
          <t>Haringey</t>
        </is>
      </c>
      <c r="B4" s="268" t="n"/>
      <c r="C4" s="268" t="n"/>
      <c r="D4" s="268" t="n"/>
      <c r="E4" s="268" t="n"/>
      <c r="F4" s="268" t="n"/>
      <c r="G4" s="268" t="n"/>
      <c r="H4" s="268" t="n"/>
      <c r="I4" s="268" t="n"/>
      <c r="J4" s="268" t="n"/>
      <c r="K4" s="268" t="n"/>
      <c r="L4" s="268" t="n"/>
      <c r="M4" s="268" t="n"/>
      <c r="N4" s="268" t="n"/>
      <c r="O4" s="268" t="n">
        <v>6000</v>
      </c>
      <c r="P4" s="268" t="n"/>
      <c r="Q4" s="268" t="n"/>
      <c r="R4" s="268" t="n"/>
      <c r="S4" s="275" t="n"/>
      <c r="T4" s="268" t="n"/>
      <c r="U4" s="268" t="n"/>
      <c r="V4" s="268" t="n"/>
      <c r="W4" s="268" t="n"/>
      <c r="X4" s="268" t="n"/>
      <c r="Y4" s="268" t="n"/>
      <c r="Z4" s="268" t="n"/>
      <c r="AA4" s="268" t="n"/>
      <c r="AB4" s="268" t="n"/>
      <c r="AC4" s="268" t="n"/>
      <c r="AD4" s="268" t="n"/>
      <c r="AE4" s="268" t="n"/>
      <c r="AF4" s="268" t="n"/>
      <c r="AG4" s="235">
        <f>SUM(B4:AF4)</f>
        <v/>
      </c>
    </row>
    <row r="5">
      <c r="A5" s="237" t="inlineStr">
        <is>
          <t>Sandwell MBC - Respite</t>
        </is>
      </c>
      <c r="B5" s="268" t="n">
        <v>3419.08</v>
      </c>
      <c r="C5" s="268" t="n"/>
      <c r="D5" s="268" t="n"/>
      <c r="E5" s="268" t="n"/>
      <c r="F5" s="268" t="n"/>
      <c r="G5" s="268" t="n"/>
      <c r="H5" s="268" t="n"/>
      <c r="I5" s="268" t="n"/>
      <c r="J5" s="268" t="n"/>
      <c r="K5" s="268" t="n"/>
      <c r="L5" s="275" t="n"/>
      <c r="M5" s="268" t="n"/>
      <c r="N5" s="268" t="n"/>
      <c r="O5" s="268" t="n"/>
      <c r="P5" s="268" t="n"/>
      <c r="Q5" s="268" t="n"/>
      <c r="R5" s="268" t="n"/>
      <c r="S5" s="268" t="n"/>
      <c r="T5" s="268" t="n"/>
      <c r="U5" s="268" t="n"/>
      <c r="V5" s="268" t="n"/>
      <c r="W5" s="268" t="n"/>
      <c r="X5" s="268" t="n"/>
      <c r="Y5" s="268" t="n"/>
      <c r="Z5" s="275" t="n"/>
      <c r="AA5" s="268" t="n"/>
      <c r="AB5" s="268" t="n"/>
      <c r="AC5" s="268" t="n"/>
      <c r="AD5" s="268" t="n"/>
      <c r="AE5" s="268" t="n"/>
      <c r="AF5" s="268" t="n"/>
      <c r="AG5" s="235">
        <f>SUM(B5:AF5)</f>
        <v/>
      </c>
    </row>
    <row r="6">
      <c r="A6" s="237" t="inlineStr">
        <is>
          <t>Sandwell MBC - Daycare</t>
        </is>
      </c>
      <c r="B6" s="275" t="n"/>
      <c r="C6" s="268" t="n"/>
      <c r="D6" s="268" t="n"/>
      <c r="E6" s="268" t="n"/>
      <c r="F6" s="268" t="n"/>
      <c r="G6" s="268" t="n"/>
      <c r="H6" s="268" t="n"/>
      <c r="I6" s="268" t="n">
        <v>6866.4</v>
      </c>
      <c r="J6" s="268" t="n"/>
      <c r="K6" s="268" t="n"/>
      <c r="L6" s="268" t="n"/>
      <c r="M6" s="268" t="n"/>
      <c r="N6" s="268" t="n"/>
      <c r="O6" s="268" t="n"/>
      <c r="P6" s="275" t="n"/>
      <c r="Q6" s="268" t="n"/>
      <c r="R6" s="268" t="n"/>
      <c r="S6" s="268" t="n"/>
      <c r="T6" s="268" t="n"/>
      <c r="U6" s="268" t="n"/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75" t="n"/>
      <c r="AE6" s="268" t="n"/>
      <c r="AF6" s="268" t="n"/>
      <c r="AG6" s="235">
        <f>SUM(B6:AF6)</f>
        <v/>
      </c>
    </row>
    <row r="7">
      <c r="A7" s="237" t="inlineStr">
        <is>
          <t xml:space="preserve">Wolverhampton - Respite </t>
        </is>
      </c>
      <c r="B7" s="268" t="n"/>
      <c r="C7" s="268" t="n"/>
      <c r="D7" s="268" t="n"/>
      <c r="E7" s="268" t="n"/>
      <c r="F7" s="268" t="n"/>
      <c r="G7" s="268" t="n"/>
      <c r="H7" s="268" t="n">
        <v>930.65</v>
      </c>
      <c r="I7" s="268" t="n"/>
      <c r="J7" s="268" t="n"/>
      <c r="K7" s="268" t="n"/>
      <c r="L7" s="268" t="n"/>
      <c r="M7" s="268" t="n"/>
      <c r="N7" s="268" t="n"/>
      <c r="O7" s="268" t="n">
        <v>930.65</v>
      </c>
      <c r="P7" s="268" t="n"/>
      <c r="Q7" s="268" t="n"/>
      <c r="R7" s="268" t="n"/>
      <c r="S7" s="268" t="n"/>
      <c r="T7" s="268" t="n"/>
      <c r="U7" s="268" t="n"/>
      <c r="V7" s="268" t="n">
        <v>930.65</v>
      </c>
      <c r="W7" s="268" t="n"/>
      <c r="X7" s="268" t="n"/>
      <c r="Y7" s="268" t="n"/>
      <c r="Z7" s="268" t="n"/>
      <c r="AA7" s="268" t="n"/>
      <c r="AB7" s="268" t="n"/>
      <c r="AC7" s="268" t="n">
        <v>930.65</v>
      </c>
      <c r="AD7" s="268" t="n"/>
      <c r="AE7" s="268" t="n"/>
      <c r="AF7" s="268" t="n"/>
      <c r="AG7" s="235">
        <f>SUM(B7:AF7)</f>
        <v/>
      </c>
    </row>
    <row r="8">
      <c r="A8" s="237" t="inlineStr">
        <is>
          <t>Wolverhampton - Daycare</t>
        </is>
      </c>
      <c r="B8" s="268" t="n"/>
      <c r="C8" s="268" t="n"/>
      <c r="D8" s="268" t="n"/>
      <c r="E8" s="268" t="n"/>
      <c r="F8" s="268" t="n"/>
      <c r="G8" s="268" t="n"/>
      <c r="H8" s="275" t="n">
        <v>5606.3</v>
      </c>
      <c r="I8" s="268" t="n"/>
      <c r="J8" s="268" t="n"/>
      <c r="K8" s="268" t="n"/>
      <c r="L8" s="268" t="n"/>
      <c r="M8" s="268" t="n"/>
      <c r="N8" s="268" t="n"/>
      <c r="O8" s="275" t="n">
        <v>5606.3</v>
      </c>
      <c r="P8" s="268" t="n"/>
      <c r="Q8" s="268" t="n"/>
      <c r="R8" s="268" t="n"/>
      <c r="S8" s="268" t="n"/>
      <c r="T8" s="268" t="n"/>
      <c r="U8" s="268" t="n"/>
      <c r="V8" s="275" t="n">
        <v>5606.3</v>
      </c>
      <c r="W8" s="268" t="n"/>
      <c r="X8" s="268" t="n"/>
      <c r="Y8" s="268" t="n"/>
      <c r="Z8" s="268" t="n"/>
      <c r="AA8" s="268" t="n"/>
      <c r="AB8" s="268" t="n"/>
      <c r="AC8" s="275" t="n">
        <v>5606.3</v>
      </c>
      <c r="AD8" s="268" t="n"/>
      <c r="AE8" s="268" t="n"/>
      <c r="AF8" s="268" t="n"/>
      <c r="AG8" s="235">
        <f>SUM(B8:AF8)</f>
        <v/>
      </c>
    </row>
    <row r="9">
      <c r="A9" s="237" t="inlineStr">
        <is>
          <t>Walsall - Respite</t>
        </is>
      </c>
      <c r="B9" s="268" t="n"/>
      <c r="C9" s="268" t="n"/>
      <c r="D9" s="268" t="n"/>
      <c r="E9" s="268" t="n"/>
      <c r="F9" s="275" t="n">
        <v>18171.66</v>
      </c>
      <c r="G9" s="268" t="n"/>
      <c r="H9" s="268" t="n"/>
      <c r="I9" s="268" t="n"/>
      <c r="J9" s="268" t="n"/>
      <c r="K9" s="268" t="n"/>
      <c r="L9" s="268" t="n"/>
      <c r="M9" s="268" t="n"/>
      <c r="N9" s="268" t="n"/>
      <c r="O9" s="268" t="n"/>
      <c r="P9" s="268" t="n"/>
      <c r="Q9" s="268" t="n"/>
      <c r="R9" s="268" t="n"/>
      <c r="S9" s="268" t="n"/>
      <c r="T9" s="268" t="n"/>
      <c r="U9" s="268" t="n"/>
      <c r="V9" s="268" t="n"/>
      <c r="W9" s="268" t="n"/>
      <c r="X9" s="268" t="n"/>
      <c r="Y9" s="268" t="n"/>
      <c r="Z9" s="268" t="n"/>
      <c r="AA9" s="268" t="n"/>
      <c r="AB9" s="268" t="n"/>
      <c r="AC9" s="268" t="n"/>
      <c r="AD9" s="268" t="n"/>
      <c r="AE9" s="268" t="n"/>
      <c r="AF9" s="268" t="n"/>
      <c r="AG9" s="235">
        <f>SUM(B9:AF9)</f>
        <v/>
      </c>
    </row>
    <row r="10">
      <c r="A10" s="237" t="inlineStr">
        <is>
          <t>Walsall - Daycare</t>
        </is>
      </c>
      <c r="B10" s="268" t="n"/>
      <c r="C10" s="268" t="n"/>
      <c r="D10" s="268" t="n"/>
      <c r="E10" s="268" t="n"/>
      <c r="F10" s="268" t="n"/>
      <c r="G10" s="268" t="n"/>
      <c r="H10" s="268" t="n"/>
      <c r="I10" s="268" t="n"/>
      <c r="J10" s="268" t="n"/>
      <c r="K10" s="268" t="n"/>
      <c r="L10" s="268" t="n"/>
      <c r="M10" s="268" t="n"/>
      <c r="N10" s="268" t="n"/>
      <c r="O10" s="268" t="n"/>
      <c r="P10" s="268" t="n"/>
      <c r="Q10" s="268" t="n"/>
      <c r="R10" s="268" t="n"/>
      <c r="S10" s="268" t="n"/>
      <c r="T10" s="268" t="n"/>
      <c r="U10" s="268" t="n"/>
      <c r="V10" s="268" t="n"/>
      <c r="W10" s="268" t="n"/>
      <c r="X10" s="268" t="n"/>
      <c r="Y10" s="268" t="n"/>
      <c r="Z10" s="268" t="n"/>
      <c r="AA10" s="268" t="n"/>
      <c r="AB10" s="268" t="n"/>
      <c r="AC10" s="268" t="n"/>
      <c r="AD10" s="268" t="n"/>
      <c r="AE10" s="268" t="n"/>
      <c r="AF10" s="268" t="n"/>
      <c r="AG10" s="235">
        <f>SUM(B10:AF10)</f>
        <v/>
      </c>
    </row>
    <row r="11">
      <c r="A11" s="237" t="inlineStr">
        <is>
          <t>Ideal for All Ltd - Direct Payments</t>
        </is>
      </c>
      <c r="B11" s="275" t="n"/>
      <c r="C11" s="268" t="n"/>
      <c r="D11" s="268" t="n"/>
      <c r="E11" s="268" t="n"/>
      <c r="F11" s="268" t="n"/>
      <c r="G11" s="268" t="n"/>
      <c r="H11" s="268" t="n"/>
      <c r="I11" s="268" t="n"/>
      <c r="J11" s="268" t="n"/>
      <c r="K11" s="268" t="n"/>
      <c r="L11" s="268" t="n"/>
      <c r="M11" s="268" t="n"/>
      <c r="N11" s="268" t="n"/>
      <c r="O11" s="268" t="n"/>
      <c r="P11" s="268" t="n"/>
      <c r="Q11" s="268" t="n"/>
      <c r="R11" s="268" t="n"/>
      <c r="S11" s="268" t="n"/>
      <c r="T11" s="268" t="n"/>
      <c r="U11" s="268" t="n"/>
      <c r="V11" s="268" t="n"/>
      <c r="W11" s="268" t="n"/>
      <c r="X11" s="268" t="n"/>
      <c r="Y11" s="268" t="n"/>
      <c r="Z11" s="268" t="n"/>
      <c r="AA11" s="268" t="n"/>
      <c r="AB11" s="268" t="n"/>
      <c r="AC11" s="268" t="n">
        <v>7664.06</v>
      </c>
      <c r="AD11" s="275" t="n"/>
      <c r="AE11" s="268" t="n"/>
      <c r="AF11" s="268" t="n"/>
      <c r="AG11" s="235">
        <f>SUM(B11:AF11)</f>
        <v/>
      </c>
    </row>
    <row r="12">
      <c r="A12" s="237" t="inlineStr">
        <is>
          <t>Kirklees - Supported Living</t>
        </is>
      </c>
      <c r="B12" s="275" t="n"/>
      <c r="C12" s="268" t="n"/>
      <c r="D12" s="268" t="n"/>
      <c r="E12" s="268" t="n"/>
      <c r="F12" s="268" t="n"/>
      <c r="G12" s="268" t="n"/>
      <c r="H12" s="268" t="n"/>
      <c r="I12" s="268" t="n"/>
      <c r="J12" s="268" t="n"/>
      <c r="K12" s="268" t="n"/>
      <c r="L12" s="268" t="n"/>
      <c r="M12" s="268" t="n"/>
      <c r="N12" s="268" t="n"/>
      <c r="O12" s="268" t="n">
        <v>6221.4</v>
      </c>
      <c r="P12" s="268" t="n"/>
      <c r="Q12" s="268" t="n"/>
      <c r="R12" s="268" t="n"/>
      <c r="S12" s="268" t="n"/>
      <c r="T12" s="268" t="n"/>
      <c r="U12" s="268" t="n"/>
      <c r="V12" s="268" t="n"/>
      <c r="W12" s="268" t="n"/>
      <c r="X12" s="268" t="n"/>
      <c r="Y12" s="268" t="n"/>
      <c r="Z12" s="268" t="n"/>
      <c r="AA12" s="268" t="n"/>
      <c r="AB12" s="268" t="n"/>
      <c r="AC12" s="268" t="n"/>
      <c r="AD12" s="275" t="n"/>
      <c r="AE12" s="268" t="n"/>
      <c r="AF12" s="268" t="n"/>
      <c r="AG12" s="235">
        <f>SUM(B12:AF12)</f>
        <v/>
      </c>
    </row>
    <row r="13">
      <c r="A13" s="237" t="inlineStr">
        <is>
          <t>LB Hillingdon - Supported Living</t>
        </is>
      </c>
      <c r="B13" s="268" t="n"/>
      <c r="C13" s="268" t="n"/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75" t="n"/>
      <c r="M13" s="268" t="n"/>
      <c r="N13" s="268" t="n"/>
      <c r="O13" s="268" t="n">
        <v>5203.8</v>
      </c>
      <c r="P13" s="268" t="n"/>
      <c r="Q13" s="268" t="n"/>
      <c r="R13" s="268" t="n"/>
      <c r="S13" s="268" t="n"/>
      <c r="T13" s="268" t="n"/>
      <c r="U13" s="268" t="n"/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35">
        <f>SUM(B13:AF13)</f>
        <v/>
      </c>
    </row>
    <row r="14">
      <c r="A14" s="237" t="inlineStr">
        <is>
          <t>NHS Birmingham &amp; Solihull ICB</t>
        </is>
      </c>
      <c r="B14" s="275" t="n"/>
      <c r="C14" s="268" t="n"/>
      <c r="D14" s="268" t="n"/>
      <c r="E14" s="268" t="n"/>
      <c r="F14" s="268" t="n"/>
      <c r="G14" s="268" t="n"/>
      <c r="H14" s="268" t="n">
        <v>7562.1</v>
      </c>
      <c r="I14" s="268" t="n"/>
      <c r="J14" s="268" t="n"/>
      <c r="K14" s="268" t="n"/>
      <c r="L14" s="268" t="n">
        <v>2091.66</v>
      </c>
      <c r="M14" s="268" t="n"/>
      <c r="N14" s="268" t="n"/>
      <c r="O14" s="268" t="n"/>
      <c r="P14" s="268" t="n"/>
      <c r="Q14" s="268" t="n"/>
      <c r="R14" s="268" t="n"/>
      <c r="S14" s="268" t="n"/>
      <c r="T14" s="268" t="n"/>
      <c r="U14" s="268" t="n"/>
      <c r="V14" s="268" t="n"/>
      <c r="W14" s="268" t="n"/>
      <c r="X14" s="268" t="n"/>
      <c r="Y14" s="268" t="n"/>
      <c r="Z14" s="268" t="n"/>
      <c r="AA14" s="268" t="n"/>
      <c r="AB14" s="268" t="n"/>
      <c r="AC14" s="268" t="n"/>
      <c r="AD14" s="275" t="n"/>
      <c r="AE14" s="268" t="n"/>
      <c r="AF14" s="268" t="n"/>
      <c r="AG14" s="235">
        <f>SUM(B14:AF14)</f>
        <v/>
      </c>
    </row>
    <row r="15">
      <c r="A15" s="237" t="inlineStr">
        <is>
          <t>NHS Black Country ICB</t>
        </is>
      </c>
      <c r="B15" s="268" t="n"/>
      <c r="C15" s="268" t="n"/>
      <c r="D15" s="268" t="n"/>
      <c r="E15" s="268" t="n"/>
      <c r="F15" s="268" t="n"/>
      <c r="G15" s="268" t="n">
        <v>3789.84</v>
      </c>
      <c r="H15" s="268" t="n"/>
      <c r="I15" s="268" t="n"/>
      <c r="J15" s="268" t="n"/>
      <c r="K15" s="268" t="n"/>
      <c r="L15" s="268" t="n"/>
      <c r="M15" s="268" t="n"/>
      <c r="N15" s="268" t="n">
        <v>5928.26</v>
      </c>
      <c r="O15" s="268" t="n"/>
      <c r="P15" s="268" t="n"/>
      <c r="Q15" s="268" t="n"/>
      <c r="R15" s="268" t="n"/>
      <c r="S15" s="275" t="n"/>
      <c r="T15" s="268" t="n"/>
      <c r="U15" s="268" t="n"/>
      <c r="V15" s="268" t="n"/>
      <c r="W15" s="268" t="n"/>
      <c r="X15" s="268" t="n"/>
      <c r="Y15" s="268" t="n"/>
      <c r="Z15" s="268" t="n"/>
      <c r="AA15" s="268" t="n"/>
      <c r="AB15" s="268" t="n"/>
      <c r="AC15" s="268" t="n">
        <v>3363.36</v>
      </c>
      <c r="AD15" s="268" t="n"/>
      <c r="AE15" s="268" t="n"/>
      <c r="AF15" s="268" t="n"/>
      <c r="AG15" s="235">
        <f>SUM(B15:AF15)</f>
        <v/>
      </c>
    </row>
    <row r="16">
      <c r="A16" s="237" t="inlineStr">
        <is>
          <t>Sandwell - HB</t>
        </is>
      </c>
      <c r="B16" s="268" t="n"/>
      <c r="C16" s="268" t="n"/>
      <c r="D16" s="268" t="n"/>
      <c r="E16" s="268" t="n"/>
      <c r="F16" s="268" t="n"/>
      <c r="G16" s="268" t="n"/>
      <c r="H16" s="268" t="n"/>
      <c r="J16" s="268" t="n"/>
      <c r="K16" s="268" t="n"/>
      <c r="L16" s="268" t="n"/>
      <c r="M16" s="268" t="n"/>
      <c r="N16" s="268" t="n"/>
      <c r="O16" s="268" t="n"/>
      <c r="P16" s="268" t="n"/>
      <c r="Q16" s="268" t="n"/>
      <c r="R16" s="268" t="n"/>
      <c r="S16" s="268" t="n"/>
      <c r="T16" s="268" t="n"/>
      <c r="U16" s="268" t="n"/>
      <c r="V16" s="268" t="n"/>
      <c r="W16" s="268" t="n"/>
      <c r="X16" s="268" t="n"/>
      <c r="Y16" s="268" t="n"/>
      <c r="Z16" s="268" t="n">
        <v>380</v>
      </c>
      <c r="AA16" s="268" t="n"/>
      <c r="AB16" s="268" t="n"/>
      <c r="AC16" s="268" t="n"/>
      <c r="AD16" s="268" t="n"/>
      <c r="AE16" s="268" t="n"/>
      <c r="AF16" s="268" t="n"/>
      <c r="AG16" s="235">
        <f>SUM(B16:AF16)</f>
        <v/>
      </c>
    </row>
    <row r="17">
      <c r="A17" s="237" t="inlineStr">
        <is>
          <t>Sandwell MBC - Supported Living</t>
        </is>
      </c>
      <c r="B17" s="268" t="n"/>
      <c r="C17" s="268" t="n"/>
      <c r="D17" s="268" t="n"/>
      <c r="E17" s="268" t="n"/>
      <c r="F17" s="268" t="n">
        <v>50</v>
      </c>
      <c r="G17" s="268" t="n"/>
      <c r="H17" s="268" t="n">
        <v>11212.58</v>
      </c>
      <c r="I17" s="268" t="n">
        <v>6866.4</v>
      </c>
      <c r="J17" s="268" t="n"/>
      <c r="K17" s="268" t="n"/>
      <c r="L17" s="275" t="n"/>
      <c r="M17" s="268" t="n">
        <v>131304.4</v>
      </c>
      <c r="N17" s="268" t="n"/>
      <c r="O17" s="268" t="n"/>
      <c r="P17" s="268" t="n"/>
      <c r="Q17" s="268" t="n"/>
      <c r="R17" s="268" t="n"/>
      <c r="S17" s="268" t="n"/>
      <c r="T17" s="268" t="n"/>
      <c r="U17" s="268" t="n"/>
      <c r="V17" s="268" t="n"/>
      <c r="W17" s="268" t="n"/>
      <c r="X17" s="268" t="n"/>
      <c r="Y17" s="268" t="n"/>
      <c r="Z17" s="275" t="n"/>
      <c r="AA17" s="268" t="n">
        <v>131304.4</v>
      </c>
      <c r="AB17" s="268" t="n"/>
      <c r="AC17" s="268" t="n"/>
      <c r="AD17" s="268" t="n"/>
      <c r="AE17" s="268" t="n"/>
      <c r="AF17" s="268" t="n"/>
      <c r="AG17" s="235">
        <f>SUM(B17:AF17)</f>
        <v/>
      </c>
    </row>
    <row r="18">
      <c r="A18" s="237" t="inlineStr">
        <is>
          <t>Solihull MBC - Supported Living</t>
        </is>
      </c>
      <c r="B18" s="268" t="n"/>
      <c r="C18" s="268" t="n"/>
      <c r="D18" s="268" t="n"/>
      <c r="E18" s="268" t="n"/>
      <c r="F18" s="268" t="n"/>
      <c r="G18" s="268" t="n"/>
      <c r="H18" s="268" t="n"/>
      <c r="I18" s="268" t="n"/>
      <c r="J18" s="268" t="n"/>
      <c r="K18" s="268" t="n"/>
      <c r="L18" s="268" t="n"/>
      <c r="M18" s="268" t="n"/>
      <c r="N18" s="268" t="n"/>
      <c r="O18" s="268" t="n"/>
      <c r="P18" s="268" t="n"/>
      <c r="Q18" s="268" t="n"/>
      <c r="R18" s="268" t="n"/>
      <c r="S18" s="275" t="n">
        <v>33639.34</v>
      </c>
      <c r="T18" s="268" t="n"/>
      <c r="U18" s="268" t="n"/>
      <c r="V18" s="268" t="n"/>
      <c r="W18" s="268" t="n"/>
      <c r="X18" s="268" t="n"/>
      <c r="Y18" s="268" t="n"/>
      <c r="Z18" s="268" t="n"/>
      <c r="AA18" s="268" t="n"/>
      <c r="AB18" s="268" t="n"/>
      <c r="AC18" s="268" t="n"/>
      <c r="AD18" s="268" t="n"/>
      <c r="AE18" s="268" t="n"/>
      <c r="AF18" s="268" t="n"/>
      <c r="AG18" s="235">
        <f>SUM(B18:AF18)</f>
        <v/>
      </c>
    </row>
    <row r="19">
      <c r="A19" s="237" t="inlineStr">
        <is>
          <t>Walsall - Supported Living</t>
        </is>
      </c>
      <c r="B19" s="268" t="n">
        <v>1030</v>
      </c>
      <c r="C19" s="268" t="n"/>
      <c r="D19" s="268" t="n"/>
      <c r="E19" s="268" t="n"/>
      <c r="F19" s="275" t="n">
        <v>351231.98</v>
      </c>
      <c r="G19" s="268" t="n">
        <v>350</v>
      </c>
      <c r="H19" s="268" t="n">
        <v>411.67</v>
      </c>
      <c r="I19" s="268" t="n">
        <v>430</v>
      </c>
      <c r="J19" s="268" t="n"/>
      <c r="K19" s="268" t="n"/>
      <c r="L19" s="268" t="n"/>
      <c r="M19" s="268" t="n"/>
      <c r="N19" s="268" t="n"/>
      <c r="O19" s="268" t="n"/>
      <c r="P19" s="268" t="n"/>
      <c r="Q19" s="268" t="n"/>
      <c r="R19" s="268" t="n"/>
      <c r="S19" s="268" t="n"/>
      <c r="T19" s="268" t="n"/>
      <c r="U19" s="268" t="n"/>
      <c r="V19" s="268" t="n"/>
      <c r="W19" s="268" t="n"/>
      <c r="X19" s="268" t="n"/>
      <c r="Y19" s="268" t="n"/>
      <c r="Z19" s="268" t="n"/>
      <c r="AA19" s="268" t="n"/>
      <c r="AB19" s="268" t="n"/>
      <c r="AC19" s="268" t="n"/>
      <c r="AD19" s="268" t="n"/>
      <c r="AE19" s="268" t="n"/>
      <c r="AF19" s="268" t="n"/>
      <c r="AG19" s="235">
        <f>SUM(B19:AF19)</f>
        <v/>
      </c>
    </row>
    <row r="20">
      <c r="A20" s="237" t="inlineStr">
        <is>
          <t>Wolverhampton - Supported Living</t>
        </is>
      </c>
      <c r="B20" s="268" t="n">
        <v>2780</v>
      </c>
      <c r="C20" s="268" t="n"/>
      <c r="D20" s="268" t="n"/>
      <c r="E20" s="268" t="n"/>
      <c r="F20" s="268" t="n"/>
      <c r="G20" s="268" t="n"/>
      <c r="H20" s="275" t="n">
        <v>138055</v>
      </c>
      <c r="I20" s="268" t="n"/>
      <c r="J20" s="268" t="n"/>
      <c r="K20" s="268" t="n"/>
      <c r="L20" s="268" t="n"/>
      <c r="M20" s="268" t="n"/>
      <c r="N20" s="268" t="n"/>
      <c r="O20" s="275" t="n">
        <v>138055</v>
      </c>
      <c r="P20" s="268" t="n"/>
      <c r="Q20" s="268" t="n"/>
      <c r="R20" s="268" t="n"/>
      <c r="S20" s="268" t="n"/>
      <c r="T20" s="268" t="n"/>
      <c r="U20" s="268" t="n"/>
      <c r="V20" s="275" t="n">
        <v>138055</v>
      </c>
      <c r="W20" s="268" t="n"/>
      <c r="X20" s="268" t="n"/>
      <c r="Y20" s="268" t="n"/>
      <c r="Z20" s="268" t="n"/>
      <c r="AA20" s="268" t="n"/>
      <c r="AB20" s="268" t="n"/>
      <c r="AC20" s="275" t="n">
        <v>138055</v>
      </c>
      <c r="AD20" s="268" t="n"/>
      <c r="AE20" s="268" t="n"/>
      <c r="AF20" s="268" t="n"/>
      <c r="AG20" s="235">
        <f>SUM(B20:AF20)</f>
        <v/>
      </c>
    </row>
    <row r="21">
      <c r="A21" s="237" t="inlineStr">
        <is>
          <t>People Plus - Direct Payments</t>
        </is>
      </c>
      <c r="B21" s="268" t="n"/>
      <c r="C21" s="268" t="n"/>
      <c r="D21" s="268" t="n"/>
      <c r="E21" s="275" t="n"/>
      <c r="F21" s="268" t="n"/>
      <c r="G21" s="268" t="n"/>
      <c r="H21" s="268" t="n"/>
      <c r="I21" s="268" t="n"/>
      <c r="J21" s="268" t="n"/>
      <c r="K21" s="268" t="n"/>
      <c r="L21" s="268" t="n"/>
      <c r="M21" s="268" t="n"/>
      <c r="N21" s="268" t="n">
        <v>2870</v>
      </c>
      <c r="O21" s="268" t="n">
        <v>12334.2</v>
      </c>
      <c r="P21" s="268" t="n"/>
      <c r="Q21" s="268" t="n"/>
      <c r="R21" s="268" t="n"/>
      <c r="S21" s="268" t="n"/>
      <c r="T21" s="268" t="n"/>
      <c r="U21" s="268" t="n"/>
      <c r="V21" s="268" t="n"/>
      <c r="W21" s="268" t="n"/>
      <c r="X21" s="268" t="n"/>
      <c r="Y21" s="268" t="n"/>
      <c r="Z21" s="268" t="n"/>
      <c r="AA21" s="268" t="n"/>
      <c r="AB21" s="268" t="n"/>
      <c r="AC21" s="268" t="n"/>
      <c r="AD21" s="268" t="n"/>
      <c r="AE21" s="268" t="n"/>
      <c r="AF21" s="268" t="n"/>
      <c r="AG21" s="235">
        <f>SUM(B21:AF21)</f>
        <v/>
      </c>
    </row>
    <row r="22">
      <c r="A22" s="237" t="inlineStr">
        <is>
          <t>Middlesbrough - Supported Living</t>
        </is>
      </c>
      <c r="B22" s="268" t="n"/>
      <c r="C22" s="268" t="n"/>
      <c r="D22" s="268" t="n"/>
      <c r="E22" s="268" t="n"/>
      <c r="F22" s="268" t="n"/>
      <c r="G22" s="268" t="n">
        <v>6116.04</v>
      </c>
      <c r="H22" s="268" t="n"/>
      <c r="I22" s="268" t="n"/>
      <c r="J22" s="268" t="n"/>
      <c r="K22" s="268" t="n"/>
      <c r="L22" s="268" t="n"/>
      <c r="M22" s="268" t="n"/>
      <c r="N22" s="268" t="n"/>
      <c r="O22" s="268" t="n"/>
      <c r="P22" s="268" t="n"/>
      <c r="Q22" s="268" t="n"/>
      <c r="R22" s="268" t="n"/>
      <c r="S22" s="268" t="n"/>
      <c r="T22" s="268" t="n"/>
      <c r="U22" s="268" t="n"/>
      <c r="V22" s="268" t="n"/>
      <c r="W22" s="275" t="n"/>
      <c r="X22" s="268" t="n"/>
      <c r="Y22" s="268" t="n"/>
      <c r="Z22" s="268" t="n"/>
      <c r="AA22" s="268" t="n"/>
      <c r="AB22" s="268" t="n"/>
      <c r="AC22" s="268" t="n"/>
      <c r="AD22" s="268" t="n"/>
      <c r="AE22" s="268" t="n"/>
      <c r="AF22" s="268" t="n"/>
      <c r="AG22" s="235">
        <f>SUM(B22:AF22)</f>
        <v/>
      </c>
    </row>
    <row r="23">
      <c r="A23" s="237" t="inlineStr">
        <is>
          <t>Other HB and SC</t>
        </is>
      </c>
      <c r="B23" s="278" t="n">
        <v>5997.96</v>
      </c>
      <c r="C23" s="278" t="n">
        <v>332.84</v>
      </c>
      <c r="D23" s="278" t="n">
        <v>300</v>
      </c>
      <c r="E23" s="278" t="n">
        <v>145</v>
      </c>
      <c r="F23" s="278" t="n">
        <v>11525.01</v>
      </c>
      <c r="G23" s="278" t="n">
        <v>2309.07</v>
      </c>
      <c r="H23" s="278" t="n">
        <v>692.75</v>
      </c>
      <c r="I23" s="278" t="n">
        <v>6181.69</v>
      </c>
      <c r="J23" s="278" t="n">
        <v>4000</v>
      </c>
      <c r="K23" s="278" t="n">
        <v>4000</v>
      </c>
      <c r="L23" s="278" t="n">
        <v>4000</v>
      </c>
      <c r="M23" s="278" t="n">
        <v>4000</v>
      </c>
      <c r="N23" s="278" t="n">
        <v>4000</v>
      </c>
      <c r="O23" s="278" t="n">
        <v>4000</v>
      </c>
      <c r="P23" s="278" t="n">
        <v>4000</v>
      </c>
      <c r="Q23" s="278" t="n">
        <v>4000</v>
      </c>
      <c r="R23" s="278" t="n">
        <v>4000</v>
      </c>
      <c r="S23" s="278" t="n">
        <v>4000</v>
      </c>
      <c r="T23" s="278" t="n">
        <v>4000</v>
      </c>
      <c r="U23" s="278" t="n">
        <v>4000</v>
      </c>
      <c r="V23" s="278" t="n">
        <v>4000</v>
      </c>
      <c r="W23" s="278" t="n">
        <v>4000</v>
      </c>
      <c r="X23" s="278" t="n">
        <v>4000</v>
      </c>
      <c r="Y23" s="278" t="n">
        <v>4000</v>
      </c>
      <c r="Z23" s="278" t="n">
        <v>4000</v>
      </c>
      <c r="AA23" s="278" t="n">
        <v>4000</v>
      </c>
      <c r="AB23" s="278" t="n">
        <v>4000</v>
      </c>
      <c r="AC23" s="278" t="n">
        <v>4000</v>
      </c>
      <c r="AD23" s="278" t="n">
        <v>4000</v>
      </c>
      <c r="AE23" s="278" t="n">
        <v>4000</v>
      </c>
      <c r="AF23" s="278" t="n">
        <v>4000</v>
      </c>
      <c r="AG23" s="235">
        <f>SUM(B23:AF23)</f>
        <v/>
      </c>
    </row>
    <row r="24">
      <c r="A24" s="237" t="inlineStr">
        <is>
          <t>TOTAL</t>
        </is>
      </c>
      <c r="B24" s="276">
        <f>SUM(B3:B23)</f>
        <v/>
      </c>
      <c r="C24" s="276">
        <f>SUM(C3:C23)</f>
        <v/>
      </c>
      <c r="D24" s="276">
        <f>SUM(D3:D23)</f>
        <v/>
      </c>
      <c r="E24" s="276">
        <f>SUM(E3:E23)</f>
        <v/>
      </c>
      <c r="F24" s="276">
        <f>SUM(F3:F23)</f>
        <v/>
      </c>
      <c r="G24" s="276">
        <f>SUM(G3:G23)</f>
        <v/>
      </c>
      <c r="H24" s="276">
        <f>SUM(H3:H23)</f>
        <v/>
      </c>
      <c r="I24" s="276">
        <f>SUM(I3:I23)</f>
        <v/>
      </c>
      <c r="J24" s="276">
        <f>SUM(J3:J23)</f>
        <v/>
      </c>
      <c r="K24" s="276">
        <f>SUM(K3:K23)</f>
        <v/>
      </c>
      <c r="L24" s="276">
        <f>SUM(L3:L23)</f>
        <v/>
      </c>
      <c r="M24" s="276">
        <f>SUM(M3:M23)</f>
        <v/>
      </c>
      <c r="N24" s="276">
        <f>SUM(N3:N23)</f>
        <v/>
      </c>
      <c r="O24" s="276">
        <f>SUM(O3:O23)</f>
        <v/>
      </c>
      <c r="P24" s="276">
        <f>SUM(P3:P23)</f>
        <v/>
      </c>
      <c r="Q24" s="276">
        <f>SUM(Q3:Q23)</f>
        <v/>
      </c>
      <c r="R24" s="276">
        <f>SUM(R3:R23)</f>
        <v/>
      </c>
      <c r="S24" s="276">
        <f>SUM(S3:S23)</f>
        <v/>
      </c>
      <c r="T24" s="276">
        <f>SUM(T3:T23)</f>
        <v/>
      </c>
      <c r="U24" s="276">
        <f>SUM(U3:U23)</f>
        <v/>
      </c>
      <c r="V24" s="276">
        <f>SUM(V3:V23)</f>
        <v/>
      </c>
      <c r="W24" s="276">
        <f>SUM(W3:W23)</f>
        <v/>
      </c>
      <c r="X24" s="276">
        <f>SUM(X3:X23)</f>
        <v/>
      </c>
      <c r="Y24" s="276">
        <f>SUM(Y3:Y23)</f>
        <v/>
      </c>
      <c r="Z24" s="276">
        <f>SUM(Z3:Z23)</f>
        <v/>
      </c>
      <c r="AA24" s="276">
        <f>SUM(AA3:AA23)</f>
        <v/>
      </c>
      <c r="AB24" s="276">
        <f>SUM(AB3:AB23)</f>
        <v/>
      </c>
      <c r="AC24" s="276">
        <f>SUM(AC3:AC23)</f>
        <v/>
      </c>
      <c r="AD24" s="276">
        <f>SUM(AD3:AD23)</f>
        <v/>
      </c>
      <c r="AE24" s="276">
        <f>SUM(AE3:AE23)</f>
        <v/>
      </c>
      <c r="AF24" s="276">
        <f>SUM(AF3:AF23)</f>
        <v/>
      </c>
      <c r="AG24" s="235">
        <f>SUM(AG3:AG23)</f>
        <v/>
      </c>
    </row>
    <row r="25">
      <c r="A25" s="237" t="n"/>
      <c r="AG25" s="235" t="n"/>
    </row>
    <row r="26">
      <c r="A26" s="237" t="n"/>
      <c r="AG26" s="235" t="n"/>
    </row>
    <row r="27">
      <c r="A27" s="237" t="n"/>
      <c r="AG27" s="235" t="n"/>
    </row>
    <row r="28">
      <c r="A28" s="237" t="n"/>
      <c r="AG28" s="235" t="n"/>
    </row>
    <row r="29">
      <c r="A29" s="237" t="n"/>
      <c r="AG29" s="235" t="n"/>
    </row>
    <row r="30">
      <c r="A30" s="237" t="n"/>
      <c r="AG30" s="235" t="n"/>
    </row>
    <row r="31">
      <c r="A31" s="237" t="n"/>
      <c r="AG31" s="235" t="n"/>
    </row>
    <row r="32">
      <c r="A32" s="237" t="n"/>
      <c r="AG32" s="235" t="n"/>
    </row>
    <row r="33">
      <c r="A33" s="237" t="n"/>
      <c r="AG33" s="235" t="n"/>
    </row>
    <row r="34">
      <c r="A34" s="237" t="n"/>
      <c r="AG34" s="235" t="n"/>
    </row>
    <row r="35">
      <c r="A35" s="237" t="n"/>
      <c r="AG35" s="235" t="n"/>
    </row>
    <row r="36">
      <c r="A36" s="237" t="n"/>
      <c r="AG36" s="235" t="n"/>
    </row>
    <row r="37">
      <c r="A37" s="237" t="n"/>
      <c r="AG37" s="235" t="n"/>
    </row>
    <row r="38">
      <c r="A38" s="237" t="n"/>
      <c r="AG38" s="235" t="n"/>
    </row>
    <row r="39">
      <c r="A39" s="237" t="n"/>
      <c r="AG39" s="235" t="n"/>
    </row>
    <row r="40">
      <c r="A40" s="237" t="n"/>
      <c r="AG40" s="235" t="n"/>
    </row>
    <row r="41">
      <c r="A41" s="237" t="n"/>
      <c r="AG41" s="235" t="n"/>
    </row>
    <row r="42">
      <c r="A42" s="237" t="n"/>
      <c r="AG42" s="235" t="n"/>
    </row>
    <row r="43">
      <c r="A43" s="237" t="n"/>
      <c r="AG43" s="235" t="n"/>
    </row>
    <row r="44">
      <c r="A44" s="237" t="n"/>
      <c r="AG44" s="235" t="n"/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3:J185"/>
  <sheetViews>
    <sheetView workbookViewId="0">
      <selection activeCell="N21" sqref="N21"/>
    </sheetView>
  </sheetViews>
  <sheetFormatPr baseColWidth="8" defaultRowHeight="15"/>
  <cols>
    <col width="37.42578125" bestFit="1" customWidth="1" min="1" max="1"/>
    <col width="16.85546875" bestFit="1" customWidth="1" min="2" max="2"/>
    <col width="10.42578125" bestFit="1" customWidth="1" min="3" max="9"/>
    <col width="11.28515625" bestFit="1" customWidth="1" min="10" max="10"/>
  </cols>
  <sheetData>
    <row r="3">
      <c r="A3" t="inlineStr">
        <is>
          <t>Sum of m</t>
        </is>
      </c>
      <c r="B3" t="inlineStr">
        <is>
          <t>Column Labels</t>
        </is>
      </c>
    </row>
    <row r="4">
      <c r="A4" t="inlineStr">
        <is>
          <t>Row Labels</t>
        </is>
      </c>
      <c r="B4" s="193" t="n">
        <v>46143</v>
      </c>
      <c r="C4" s="193" t="n">
        <v>46144</v>
      </c>
      <c r="D4" s="193" t="n">
        <v>46145</v>
      </c>
      <c r="E4" s="193" t="n">
        <v>46146</v>
      </c>
      <c r="F4" s="193" t="n">
        <v>46147</v>
      </c>
      <c r="G4" s="193" t="n">
        <v>46148</v>
      </c>
      <c r="H4" s="193" t="n">
        <v>46149</v>
      </c>
      <c r="I4" s="193" t="n">
        <v>46150</v>
      </c>
      <c r="J4" s="193" t="inlineStr">
        <is>
          <t>Grand Total</t>
        </is>
      </c>
    </row>
    <row r="5">
      <c r="A5" s="247" t="inlineStr">
        <is>
          <t>A ELWELL</t>
        </is>
      </c>
      <c r="F5" t="n">
        <v>50</v>
      </c>
      <c r="J5" t="n">
        <v>50</v>
      </c>
    </row>
    <row r="6">
      <c r="A6" s="247" t="inlineStr">
        <is>
          <t>A MORGAN</t>
        </is>
      </c>
      <c r="B6" t="n">
        <v>195</v>
      </c>
      <c r="J6" t="n">
        <v>195</v>
      </c>
    </row>
    <row r="7">
      <c r="A7" s="247" t="inlineStr">
        <is>
          <t>A PATEL</t>
        </is>
      </c>
      <c r="B7" t="n">
        <v>563.3399999999999</v>
      </c>
      <c r="J7" t="n">
        <v>563.3399999999999</v>
      </c>
    </row>
    <row r="8">
      <c r="A8" s="247" t="inlineStr">
        <is>
          <t>AB Tyres</t>
        </is>
      </c>
      <c r="F8" t="n">
        <v>0</v>
      </c>
      <c r="J8" t="n">
        <v>0</v>
      </c>
    </row>
    <row r="9">
      <c r="A9" s="247" t="inlineStr">
        <is>
          <t>Access 2 Growth</t>
        </is>
      </c>
      <c r="F9" t="n">
        <v>0</v>
      </c>
      <c r="J9" t="n">
        <v>0</v>
      </c>
    </row>
    <row r="10">
      <c r="A10" s="247" t="inlineStr">
        <is>
          <t>ADAM PEILE</t>
        </is>
      </c>
      <c r="B10" t="n">
        <v>100</v>
      </c>
      <c r="J10" t="n">
        <v>100</v>
      </c>
    </row>
    <row r="11">
      <c r="A11" s="247" t="inlineStr">
        <is>
          <t>Adobe</t>
        </is>
      </c>
      <c r="F11" t="n">
        <v>0</v>
      </c>
      <c r="J11" t="n">
        <v>0</v>
      </c>
    </row>
    <row r="12">
      <c r="A12" s="247" t="inlineStr">
        <is>
          <t>ALLSTAR</t>
        </is>
      </c>
      <c r="H12" t="n">
        <v>0</v>
      </c>
      <c r="J12" t="n">
        <v>0</v>
      </c>
    </row>
    <row r="13">
      <c r="A13" s="247" t="inlineStr">
        <is>
          <t>Amazon Payments UK Limited</t>
        </is>
      </c>
      <c r="F13" t="n">
        <v>0</v>
      </c>
      <c r="J13" t="n">
        <v>0</v>
      </c>
    </row>
    <row r="14">
      <c r="A14" s="247" t="inlineStr">
        <is>
          <t>ANDREW HANDS-607080-10025863</t>
        </is>
      </c>
      <c r="B14" t="n">
        <v>411.67</v>
      </c>
      <c r="J14" t="n">
        <v>411.67</v>
      </c>
    </row>
    <row r="15">
      <c r="A15" s="247" t="inlineStr">
        <is>
          <t>ANTHONY MEACHIN</t>
        </is>
      </c>
      <c r="F15" t="n">
        <v>145</v>
      </c>
      <c r="J15" t="n">
        <v>145</v>
      </c>
    </row>
    <row r="16">
      <c r="A16" s="247" t="inlineStr">
        <is>
          <t>APPOINTR LTD SW</t>
        </is>
      </c>
      <c r="F16" t="n">
        <v>145</v>
      </c>
      <c r="H16" t="n">
        <v>50</v>
      </c>
      <c r="J16" t="n">
        <v>195</v>
      </c>
    </row>
    <row r="17">
      <c r="A17" s="247" t="inlineStr">
        <is>
          <t>ASJ LTD</t>
        </is>
      </c>
      <c r="F17" t="n">
        <v>0</v>
      </c>
      <c r="J17" t="n">
        <v>0</v>
      </c>
    </row>
    <row r="18">
      <c r="A18" s="247" t="inlineStr">
        <is>
          <t>ASTLEY M</t>
        </is>
      </c>
      <c r="F18" t="n">
        <v>50</v>
      </c>
      <c r="J18" t="n">
        <v>50</v>
      </c>
    </row>
    <row r="19">
      <c r="A19" s="247" t="inlineStr">
        <is>
          <t>AVIVA</t>
        </is>
      </c>
      <c r="B19" t="n">
        <v>0</v>
      </c>
      <c r="J19" t="n">
        <v>0</v>
      </c>
    </row>
    <row r="20">
      <c r="A20" s="247" t="inlineStr">
        <is>
          <t>AVIVA PENSION</t>
        </is>
      </c>
      <c r="F20" t="n">
        <v>0</v>
      </c>
      <c r="J20" t="n">
        <v>0</v>
      </c>
    </row>
    <row r="21">
      <c r="A21" s="247" t="inlineStr">
        <is>
          <t>B LUCAS</t>
        </is>
      </c>
      <c r="I21" t="n">
        <v>50</v>
      </c>
      <c r="J21" t="n">
        <v>50</v>
      </c>
    </row>
    <row r="22">
      <c r="A22" s="247" t="inlineStr">
        <is>
          <t>B VEGHAL</t>
        </is>
      </c>
      <c r="F22" t="n">
        <v>216.67</v>
      </c>
      <c r="J22" t="n">
        <v>216.67</v>
      </c>
    </row>
    <row r="23">
      <c r="A23" s="247" t="inlineStr">
        <is>
          <t>B711NS VEGHAL JAGJ-607080-10025863</t>
        </is>
      </c>
      <c r="H23" t="n">
        <v>411.67</v>
      </c>
      <c r="I23" t="n">
        <v>411.67</v>
      </c>
      <c r="J23" t="n">
        <v>823.34</v>
      </c>
    </row>
    <row r="24">
      <c r="A24" s="247" t="inlineStr">
        <is>
          <t>Beaucare Medical Limited</t>
        </is>
      </c>
      <c r="F24" t="n">
        <v>0</v>
      </c>
      <c r="J24" t="n">
        <v>0</v>
      </c>
    </row>
    <row r="25">
      <c r="A25" s="247" t="inlineStr">
        <is>
          <t>BEVERLEY RICHARDS</t>
        </is>
      </c>
      <c r="F25" t="n">
        <v>25</v>
      </c>
      <c r="I25" t="n">
        <v>260</v>
      </c>
      <c r="J25" t="n">
        <v>285</v>
      </c>
    </row>
    <row r="26">
      <c r="A26" s="247" t="inlineStr">
        <is>
          <t>B-HAM CITY COUNCIL-200790-70489166</t>
        </is>
      </c>
      <c r="I26" t="n">
        <v>9591.879999999999</v>
      </c>
      <c r="J26" t="n">
        <v>9591.879999999999</v>
      </c>
    </row>
    <row r="27">
      <c r="A27" s="247" t="inlineStr">
        <is>
          <t>BHOULDEN-607080-10025863</t>
        </is>
      </c>
      <c r="B27" t="n">
        <v>411.67</v>
      </c>
      <c r="J27" t="n">
        <v>411.67</v>
      </c>
    </row>
    <row r="28">
      <c r="A28" s="247" t="inlineStr">
        <is>
          <t>BIZLEND LTD GBP AC</t>
        </is>
      </c>
      <c r="B28" t="n">
        <v>0</v>
      </c>
      <c r="I28" t="n">
        <v>0</v>
      </c>
      <c r="J28" t="n">
        <v>0</v>
      </c>
    </row>
    <row r="29">
      <c r="A29" s="247" t="inlineStr">
        <is>
          <t>Blackacres</t>
        </is>
      </c>
      <c r="B29" t="n">
        <v>0</v>
      </c>
      <c r="J29" t="n">
        <v>0</v>
      </c>
    </row>
    <row r="30">
      <c r="A30" s="247" t="inlineStr">
        <is>
          <t>BLUCAS-607080-10025863</t>
        </is>
      </c>
      <c r="I30" t="n">
        <v>411.67</v>
      </c>
      <c r="J30" t="n">
        <v>411.67</v>
      </c>
    </row>
    <row r="31">
      <c r="A31" s="247" t="inlineStr">
        <is>
          <t>BM Limited</t>
        </is>
      </c>
      <c r="B31" t="n">
        <v>0</v>
      </c>
      <c r="J31" t="n">
        <v>0</v>
      </c>
    </row>
    <row r="32">
      <c r="A32" s="247" t="inlineStr">
        <is>
          <t>BMCS Limited</t>
        </is>
      </c>
      <c r="B32" t="n">
        <v>0</v>
      </c>
      <c r="J32" t="n">
        <v>0</v>
      </c>
    </row>
    <row r="33">
      <c r="A33" s="247" t="inlineStr">
        <is>
          <t>BOBBY SPEARS</t>
        </is>
      </c>
      <c r="D33" t="n">
        <v>300</v>
      </c>
      <c r="J33" t="n">
        <v>300</v>
      </c>
    </row>
    <row r="34">
      <c r="A34" s="247" t="inlineStr">
        <is>
          <t>Brannigans Cleaning Services Ltd</t>
        </is>
      </c>
      <c r="B34" t="n">
        <v>0</v>
      </c>
      <c r="J34" t="n">
        <v>0</v>
      </c>
    </row>
    <row r="35">
      <c r="A35" s="247" t="inlineStr">
        <is>
          <t>BRITISH GAS</t>
        </is>
      </c>
      <c r="G35" t="n">
        <v>0</v>
      </c>
      <c r="J35" t="n">
        <v>0</v>
      </c>
    </row>
    <row r="36">
      <c r="A36" s="247" t="inlineStr">
        <is>
          <t>BRITISH GAS BUSINE</t>
        </is>
      </c>
      <c r="F36" t="n">
        <v>0</v>
      </c>
      <c r="H36" t="n">
        <v>0</v>
      </c>
      <c r="J36" t="n">
        <v>0</v>
      </c>
    </row>
    <row r="37">
      <c r="A37" s="247" t="inlineStr">
        <is>
          <t>C BENNETT</t>
        </is>
      </c>
      <c r="H37" t="n">
        <v>71.08</v>
      </c>
      <c r="J37" t="n">
        <v>71.08</v>
      </c>
    </row>
    <row r="38">
      <c r="A38" s="247" t="inlineStr">
        <is>
          <t>C BERRINGTON</t>
        </is>
      </c>
      <c r="B38" t="n">
        <v>411.67</v>
      </c>
      <c r="F38" t="n">
        <v>250</v>
      </c>
      <c r="J38" t="n">
        <v>661.6700000000001</v>
      </c>
    </row>
    <row r="39">
      <c r="A39" s="247" t="inlineStr">
        <is>
          <t>CAMERON SANJAY</t>
        </is>
      </c>
      <c r="B39" t="n">
        <v>281.67</v>
      </c>
      <c r="F39" t="n">
        <v>120</v>
      </c>
      <c r="J39" t="n">
        <v>401.67</v>
      </c>
    </row>
    <row r="40">
      <c r="A40" s="247" t="inlineStr">
        <is>
          <t>CAMPBELL P A</t>
        </is>
      </c>
      <c r="F40" t="n">
        <v>100</v>
      </c>
      <c r="J40" t="n">
        <v>100</v>
      </c>
    </row>
    <row r="41">
      <c r="A41" s="247" t="inlineStr">
        <is>
          <t>Carbon Law</t>
        </is>
      </c>
      <c r="B41" t="n">
        <v>0</v>
      </c>
      <c r="H41" t="n">
        <v>0</v>
      </c>
      <c r="J41" t="n">
        <v>0</v>
      </c>
    </row>
    <row r="42">
      <c r="A42" s="247" t="inlineStr">
        <is>
          <t>CARE QUALITY COMMI</t>
        </is>
      </c>
      <c r="F42" t="n">
        <v>0</v>
      </c>
      <c r="J42" t="n">
        <v>0</v>
      </c>
    </row>
    <row r="43">
      <c r="A43" s="247" t="inlineStr">
        <is>
          <t>Cheema Manjit</t>
        </is>
      </c>
      <c r="B43" t="n">
        <v>100</v>
      </c>
      <c r="J43" t="n">
        <v>100</v>
      </c>
    </row>
    <row r="44">
      <c r="A44" s="247" t="inlineStr">
        <is>
          <t>Child Maintenance Centre</t>
        </is>
      </c>
      <c r="I44" t="n">
        <v>0</v>
      </c>
      <c r="J44" t="n">
        <v>0</v>
      </c>
    </row>
    <row r="45">
      <c r="A45" s="247" t="inlineStr">
        <is>
          <t>CHLOE SKELDON-607080-10025863</t>
        </is>
      </c>
      <c r="I45" t="n">
        <v>411.67</v>
      </c>
      <c r="J45" t="n">
        <v>411.67</v>
      </c>
    </row>
    <row r="46">
      <c r="A46" s="247" t="inlineStr">
        <is>
          <t>CHRISTOPHER MILLINGTON</t>
        </is>
      </c>
      <c r="F46" t="n">
        <v>50</v>
      </c>
      <c r="J46" t="n">
        <v>50</v>
      </c>
    </row>
    <row r="47">
      <c r="A47" s="247" t="inlineStr">
        <is>
          <t>City Electrical Factors Limited</t>
        </is>
      </c>
      <c r="F47" t="n">
        <v>0</v>
      </c>
      <c r="J47" t="n">
        <v>0</v>
      </c>
    </row>
    <row r="48">
      <c r="A48" s="247" t="inlineStr">
        <is>
          <t>City Plumbing Supplies</t>
        </is>
      </c>
      <c r="B48" t="n">
        <v>0</v>
      </c>
      <c r="J48" t="n">
        <v>0</v>
      </c>
    </row>
    <row r="49">
      <c r="A49" s="247" t="inlineStr">
        <is>
          <t>CLBROWN-607080-10025863</t>
        </is>
      </c>
      <c r="I49" t="n">
        <v>495</v>
      </c>
      <c r="J49" t="n">
        <v>495</v>
      </c>
    </row>
    <row r="50">
      <c r="A50" s="247" t="inlineStr">
        <is>
          <t>Creative Engraving Ltd</t>
        </is>
      </c>
      <c r="B50" t="n">
        <v>0</v>
      </c>
      <c r="J50" t="n">
        <v>0</v>
      </c>
    </row>
    <row r="51">
      <c r="A51" s="247" t="inlineStr">
        <is>
          <t>Crowe UK LLP</t>
        </is>
      </c>
      <c r="F51" t="n">
        <v>0</v>
      </c>
      <c r="J51" t="n">
        <v>0</v>
      </c>
    </row>
    <row r="52">
      <c r="A52" s="247" t="inlineStr">
        <is>
          <t>Culligan UK Limited</t>
        </is>
      </c>
      <c r="B52" t="n">
        <v>0</v>
      </c>
      <c r="J52" t="n">
        <v>0</v>
      </c>
    </row>
    <row r="53">
      <c r="A53" s="247" t="inlineStr">
        <is>
          <t>D MEHMI</t>
        </is>
      </c>
      <c r="F53" t="n">
        <v>95</v>
      </c>
      <c r="G53" t="n">
        <v>69.86</v>
      </c>
      <c r="J53" t="n">
        <v>164.86</v>
      </c>
    </row>
    <row r="54">
      <c r="A54" s="247" t="inlineStr">
        <is>
          <t>DAVID MORRIS</t>
        </is>
      </c>
      <c r="F54" t="n">
        <v>145</v>
      </c>
      <c r="J54" t="n">
        <v>145</v>
      </c>
    </row>
    <row r="55">
      <c r="A55" s="247" t="inlineStr">
        <is>
          <t>Department for Work and Pensions</t>
        </is>
      </c>
      <c r="I55" t="n">
        <v>0</v>
      </c>
      <c r="J55" t="n">
        <v>0</v>
      </c>
    </row>
    <row r="56">
      <c r="A56" s="247" t="inlineStr">
        <is>
          <t>DOMINIQUE MORRISSEY-LIMB</t>
        </is>
      </c>
      <c r="F56" t="n">
        <v>190</v>
      </c>
      <c r="J56" t="n">
        <v>190</v>
      </c>
    </row>
    <row r="57">
      <c r="A57" s="247" t="inlineStr">
        <is>
          <t>DPILLINGER-607080-10025863</t>
        </is>
      </c>
      <c r="G57" t="n">
        <v>495</v>
      </c>
      <c r="J57" t="n">
        <v>495</v>
      </c>
    </row>
    <row r="58">
      <c r="A58" s="247" t="inlineStr">
        <is>
          <t>DVLA-OX23SOH</t>
        </is>
      </c>
      <c r="F58" t="n">
        <v>0</v>
      </c>
      <c r="J58" t="n">
        <v>0</v>
      </c>
    </row>
    <row r="59">
      <c r="A59" s="247" t="inlineStr">
        <is>
          <t>E DAWSON</t>
        </is>
      </c>
      <c r="B59" t="n">
        <v>50</v>
      </c>
      <c r="F59" t="n">
        <v>411.67</v>
      </c>
      <c r="I59" t="n">
        <v>50</v>
      </c>
      <c r="J59" t="n">
        <v>511.67</v>
      </c>
    </row>
    <row r="60">
      <c r="A60" s="247" t="inlineStr">
        <is>
          <t>ENGIE POWER</t>
        </is>
      </c>
      <c r="H60" t="n">
        <v>0</v>
      </c>
      <c r="J60" t="n">
        <v>0</v>
      </c>
    </row>
    <row r="61">
      <c r="A61" s="247" t="inlineStr">
        <is>
          <t>Everwell Occupational Health Ltd</t>
        </is>
      </c>
      <c r="F61" t="n">
        <v>0</v>
      </c>
      <c r="J61" t="n">
        <v>0</v>
      </c>
    </row>
    <row r="62">
      <c r="A62" s="247" t="inlineStr">
        <is>
          <t>EX DIRECTOR RE DAV</t>
        </is>
      </c>
      <c r="F62" t="n">
        <v>120</v>
      </c>
      <c r="J62" t="n">
        <v>120</v>
      </c>
    </row>
    <row r="63">
      <c r="A63" s="247" t="inlineStr">
        <is>
          <t>EXEC DIR RE ANTHON</t>
        </is>
      </c>
      <c r="F63" t="n">
        <v>95</v>
      </c>
      <c r="J63" t="n">
        <v>95</v>
      </c>
    </row>
    <row r="64">
      <c r="A64" s="247" t="inlineStr">
        <is>
          <t>EXECUTIVE DIRECTOR</t>
        </is>
      </c>
      <c r="F64" t="n">
        <v>95</v>
      </c>
      <c r="J64" t="n">
        <v>95</v>
      </c>
    </row>
    <row r="65">
      <c r="A65" s="247" t="inlineStr">
        <is>
          <t>FDEL Faster Payment Safeguarding</t>
        </is>
      </c>
      <c r="F65" t="n">
        <v>850.01</v>
      </c>
      <c r="I65" t="n">
        <v>266.67</v>
      </c>
      <c r="J65" t="n">
        <v>1116.68</v>
      </c>
    </row>
    <row r="66">
      <c r="A66" s="247" t="inlineStr">
        <is>
          <t>FRANCOTYP POSTALIA</t>
        </is>
      </c>
      <c r="G66" t="n">
        <v>0</v>
      </c>
      <c r="J66" t="n">
        <v>0</v>
      </c>
    </row>
    <row r="67">
      <c r="A67" s="247" t="inlineStr">
        <is>
          <t>Furncare Ltd</t>
        </is>
      </c>
      <c r="F67" t="n">
        <v>0</v>
      </c>
      <c r="J67" t="n">
        <v>0</v>
      </c>
    </row>
    <row r="68">
      <c r="A68" s="247" t="inlineStr">
        <is>
          <t>GEMMA BAKER</t>
        </is>
      </c>
      <c r="B68" t="n">
        <v>12.69</v>
      </c>
      <c r="F68" t="n">
        <v>65</v>
      </c>
      <c r="J68" t="n">
        <v>77.69</v>
      </c>
    </row>
    <row r="69">
      <c r="A69" s="247" t="inlineStr">
        <is>
          <t>GLEDHILL AL</t>
        </is>
      </c>
      <c r="H69" t="n">
        <v>65</v>
      </c>
      <c r="J69" t="n">
        <v>65</v>
      </c>
    </row>
    <row r="70">
      <c r="A70" s="247" t="inlineStr">
        <is>
          <t>GOCARDLESS</t>
        </is>
      </c>
      <c r="B70" t="n">
        <v>0</v>
      </c>
      <c r="G70" t="n">
        <v>0</v>
      </c>
      <c r="H70" t="n">
        <v>0</v>
      </c>
      <c r="J70" t="n">
        <v>0</v>
      </c>
    </row>
    <row r="71">
      <c r="A71" s="247" t="inlineStr">
        <is>
          <t>Grant Kemble</t>
        </is>
      </c>
      <c r="F71" t="n">
        <v>281.67</v>
      </c>
      <c r="J71" t="n">
        <v>281.67</v>
      </c>
    </row>
    <row r="72">
      <c r="A72" s="247" t="inlineStr">
        <is>
          <t>GREEN AFJ</t>
        </is>
      </c>
      <c r="F72" t="n">
        <v>400</v>
      </c>
      <c r="J72" t="n">
        <v>400</v>
      </c>
    </row>
    <row r="73">
      <c r="A73" s="247" t="inlineStr">
        <is>
          <t>Greenlab Pest Control Ltd</t>
        </is>
      </c>
      <c r="B73" t="n">
        <v>0</v>
      </c>
      <c r="J73" t="n">
        <v>0</v>
      </c>
    </row>
    <row r="74">
      <c r="A74" s="247" t="inlineStr">
        <is>
          <t>HEERA A</t>
        </is>
      </c>
      <c r="F74" t="n">
        <v>1106.53</v>
      </c>
      <c r="J74" t="n">
        <v>1106.53</v>
      </c>
    </row>
    <row r="75">
      <c r="A75" s="247" t="inlineStr">
        <is>
          <t>HMISTRY-607080-10025863</t>
        </is>
      </c>
      <c r="F75" t="n">
        <v>495</v>
      </c>
      <c r="J75" t="n">
        <v>495</v>
      </c>
    </row>
    <row r="76">
      <c r="A76" s="247" t="inlineStr">
        <is>
          <t>HMRC Cumbernauld</t>
        </is>
      </c>
      <c r="F76" t="n">
        <v>0</v>
      </c>
      <c r="J76" t="n">
        <v>0</v>
      </c>
    </row>
    <row r="77">
      <c r="A77" s="247" t="inlineStr">
        <is>
          <t>HOLLY LAW</t>
        </is>
      </c>
      <c r="G77" t="n">
        <v>520</v>
      </c>
      <c r="J77" t="n">
        <v>520</v>
      </c>
    </row>
    <row r="78">
      <c r="A78" s="247" t="inlineStr">
        <is>
          <t>Howdens</t>
        </is>
      </c>
      <c r="F78" t="n">
        <v>0</v>
      </c>
      <c r="J78" t="n">
        <v>0</v>
      </c>
    </row>
    <row r="79">
      <c r="A79" s="247" t="inlineStr">
        <is>
          <t>Hughes Zachary</t>
        </is>
      </c>
      <c r="F79" t="n">
        <v>50</v>
      </c>
      <c r="J79" t="n">
        <v>50</v>
      </c>
    </row>
    <row r="80">
      <c r="A80" s="247" t="inlineStr">
        <is>
          <t>Humphries Deborah</t>
        </is>
      </c>
      <c r="F80" t="n">
        <v>145</v>
      </c>
      <c r="J80" t="n">
        <v>145</v>
      </c>
    </row>
    <row r="81">
      <c r="A81" s="247" t="inlineStr">
        <is>
          <t>Huws Gray Limited</t>
        </is>
      </c>
      <c r="B81" t="n">
        <v>0</v>
      </c>
      <c r="J81" t="n">
        <v>0</v>
      </c>
    </row>
    <row r="82">
      <c r="A82" s="247" t="inlineStr">
        <is>
          <t>INGLEWOOD</t>
        </is>
      </c>
      <c r="F82" t="n">
        <v>0</v>
      </c>
      <c r="J82" t="n">
        <v>0</v>
      </c>
    </row>
    <row r="83">
      <c r="A83" s="247" t="inlineStr">
        <is>
          <t>IVAN BUTLER</t>
        </is>
      </c>
      <c r="F83" t="n">
        <v>50</v>
      </c>
      <c r="J83" t="n">
        <v>50</v>
      </c>
    </row>
    <row r="84">
      <c r="A84" s="247" t="inlineStr">
        <is>
          <t>J EASTWOOD</t>
        </is>
      </c>
      <c r="F84" t="n">
        <v>461.67</v>
      </c>
      <c r="J84" t="n">
        <v>461.67</v>
      </c>
    </row>
    <row r="85">
      <c r="A85" s="247" t="inlineStr">
        <is>
          <t>Jacob Asset Management Ltd</t>
        </is>
      </c>
      <c r="F85" t="n">
        <v>0</v>
      </c>
      <c r="J85" t="n">
        <v>0</v>
      </c>
    </row>
    <row r="86">
      <c r="A86" s="247" t="inlineStr">
        <is>
          <t>Jaki Salisbury</t>
        </is>
      </c>
      <c r="B86" t="n">
        <v>0</v>
      </c>
      <c r="J86" t="n">
        <v>0</v>
      </c>
    </row>
    <row r="87">
      <c r="A87" s="247" t="inlineStr">
        <is>
          <t>JAMIE WARD</t>
        </is>
      </c>
      <c r="F87" t="n">
        <v>210</v>
      </c>
      <c r="J87" t="n">
        <v>210</v>
      </c>
    </row>
    <row r="88">
      <c r="A88" s="247" t="inlineStr">
        <is>
          <t>JDOWNING-607080-10025863</t>
        </is>
      </c>
      <c r="G88" t="n">
        <v>411.67</v>
      </c>
      <c r="J88" t="n">
        <v>411.67</v>
      </c>
    </row>
    <row r="89">
      <c r="A89" s="247" t="inlineStr">
        <is>
          <t>JDOWNINGRA-607080-10025863</t>
        </is>
      </c>
      <c r="G89" t="n">
        <v>47.54</v>
      </c>
      <c r="J89" t="n">
        <v>47.54</v>
      </c>
    </row>
    <row r="90">
      <c r="A90" s="247" t="inlineStr">
        <is>
          <t>JHADDOCK-607080-10025863</t>
        </is>
      </c>
      <c r="B90" t="n">
        <v>495</v>
      </c>
      <c r="J90" t="n">
        <v>495</v>
      </c>
    </row>
    <row r="91">
      <c r="A91" s="247" t="inlineStr">
        <is>
          <t>JHADDOCKRA-607080-10025863</t>
        </is>
      </c>
      <c r="B91" t="n">
        <v>47.54</v>
      </c>
      <c r="J91" t="n">
        <v>47.54</v>
      </c>
    </row>
    <row r="92">
      <c r="A92" s="247" t="inlineStr">
        <is>
          <t>JOANNE HOULDEN</t>
        </is>
      </c>
      <c r="I92" t="n">
        <v>300</v>
      </c>
      <c r="J92" t="n">
        <v>300</v>
      </c>
    </row>
    <row r="93">
      <c r="A93" s="247" t="inlineStr">
        <is>
          <t>JOHN PACE</t>
        </is>
      </c>
      <c r="F93" t="n">
        <v>185</v>
      </c>
      <c r="J93" t="n">
        <v>185</v>
      </c>
    </row>
    <row r="94">
      <c r="A94" s="247" t="inlineStr">
        <is>
          <t>JOHNSON S P</t>
        </is>
      </c>
      <c r="F94" t="n">
        <v>541.67</v>
      </c>
      <c r="J94" t="n">
        <v>541.67</v>
      </c>
    </row>
    <row r="95">
      <c r="A95" s="247" t="inlineStr">
        <is>
          <t>JPS Property Ltd</t>
        </is>
      </c>
      <c r="B95" t="n">
        <v>0</v>
      </c>
      <c r="J95" t="n">
        <v>0</v>
      </c>
    </row>
    <row r="96">
      <c r="A96" s="247" t="inlineStr">
        <is>
          <t>JSTONE-607080-10025863</t>
        </is>
      </c>
      <c r="B96" t="n">
        <v>495</v>
      </c>
      <c r="J96" t="n">
        <v>495</v>
      </c>
    </row>
    <row r="97">
      <c r="A97" s="247" t="inlineStr">
        <is>
          <t>JTURNER-607080-10025863</t>
        </is>
      </c>
      <c r="B97" t="n">
        <v>411.67</v>
      </c>
      <c r="J97" t="n">
        <v>411.67</v>
      </c>
    </row>
    <row r="98">
      <c r="A98" s="247" t="inlineStr">
        <is>
          <t>Jurni Limited</t>
        </is>
      </c>
      <c r="F98" t="n">
        <v>0</v>
      </c>
      <c r="J98" t="n">
        <v>0</v>
      </c>
    </row>
    <row r="99">
      <c r="A99" s="247" t="inlineStr">
        <is>
          <t>JWARD-607080-10025863</t>
        </is>
      </c>
      <c r="B99" t="n">
        <v>411.67</v>
      </c>
      <c r="J99" t="n">
        <v>411.67</v>
      </c>
    </row>
    <row r="100">
      <c r="A100" s="247" t="inlineStr">
        <is>
          <t>K MIAH</t>
        </is>
      </c>
      <c r="B100" t="n">
        <v>195</v>
      </c>
      <c r="J100" t="n">
        <v>195</v>
      </c>
    </row>
    <row r="101">
      <c r="A101" s="247" t="inlineStr">
        <is>
          <t>KATHLEEN PARKER</t>
        </is>
      </c>
      <c r="F101" t="n">
        <v>83.03999999999999</v>
      </c>
      <c r="J101" t="n">
        <v>83.03999999999999</v>
      </c>
    </row>
    <row r="102">
      <c r="A102" s="247" t="inlineStr">
        <is>
          <t>KRUDD-607080-10025863</t>
        </is>
      </c>
      <c r="I102" t="n">
        <v>520</v>
      </c>
      <c r="J102" t="n">
        <v>520</v>
      </c>
    </row>
    <row r="103">
      <c r="A103" s="247" t="inlineStr">
        <is>
          <t>L WARD</t>
        </is>
      </c>
      <c r="F103" t="n">
        <v>76.96000000000001</v>
      </c>
      <c r="J103" t="n">
        <v>76.96000000000001</v>
      </c>
    </row>
    <row r="104">
      <c r="A104" s="247" t="inlineStr">
        <is>
          <t>Lavender L S</t>
        </is>
      </c>
      <c r="F104" t="n">
        <v>102.51</v>
      </c>
      <c r="J104" t="n">
        <v>102.51</v>
      </c>
    </row>
    <row r="105">
      <c r="A105" s="247" t="inlineStr">
        <is>
          <t>LBAYLISS-607080-10025863</t>
        </is>
      </c>
      <c r="I105" t="n">
        <v>520</v>
      </c>
      <c r="J105" t="n">
        <v>520</v>
      </c>
    </row>
    <row r="106">
      <c r="A106" s="247" t="inlineStr">
        <is>
          <t>LBROWN-607080-10025863</t>
        </is>
      </c>
      <c r="I106" t="n">
        <v>411.67</v>
      </c>
      <c r="J106" t="n">
        <v>411.67</v>
      </c>
    </row>
    <row r="107">
      <c r="A107" s="247" t="inlineStr">
        <is>
          <t>LEANNE HAWKINS</t>
        </is>
      </c>
      <c r="F107" t="n">
        <v>185</v>
      </c>
      <c r="J107" t="n">
        <v>185</v>
      </c>
    </row>
    <row r="108">
      <c r="A108" s="247" t="inlineStr">
        <is>
          <t>LEIGH AMES</t>
        </is>
      </c>
      <c r="F108" t="n">
        <v>185</v>
      </c>
      <c r="J108" t="n">
        <v>185</v>
      </c>
    </row>
    <row r="109">
      <c r="A109" s="247" t="inlineStr">
        <is>
          <t>Leisure Automatics Properties</t>
        </is>
      </c>
      <c r="B109" t="n">
        <v>0</v>
      </c>
      <c r="J109" t="n">
        <v>0</v>
      </c>
    </row>
    <row r="110">
      <c r="A110" s="247" t="inlineStr">
        <is>
          <t>Levines</t>
        </is>
      </c>
      <c r="F110" t="n">
        <v>0</v>
      </c>
      <c r="J110" t="n">
        <v>0</v>
      </c>
    </row>
    <row r="111">
      <c r="A111" s="247" t="inlineStr">
        <is>
          <t>LGARDNER-607080-10025863</t>
        </is>
      </c>
      <c r="I111" t="n">
        <v>411.67</v>
      </c>
      <c r="J111" t="n">
        <v>411.67</v>
      </c>
    </row>
    <row r="112">
      <c r="A112" s="247" t="inlineStr">
        <is>
          <t>LHICKMAN-607080-10025863</t>
        </is>
      </c>
      <c r="F112" t="n">
        <v>411.67</v>
      </c>
      <c r="J112" t="n">
        <v>411.67</v>
      </c>
    </row>
    <row r="113">
      <c r="A113" s="247" t="inlineStr">
        <is>
          <t>M Aggarwal</t>
        </is>
      </c>
      <c r="B113" t="n">
        <v>0</v>
      </c>
      <c r="J113" t="n">
        <v>0</v>
      </c>
    </row>
    <row r="114">
      <c r="A114" s="247" t="inlineStr">
        <is>
          <t>M KEANE</t>
        </is>
      </c>
      <c r="F114" t="n">
        <v>50</v>
      </c>
      <c r="J114" t="n">
        <v>50</v>
      </c>
    </row>
    <row r="115">
      <c r="A115" s="247" t="inlineStr">
        <is>
          <t>M WOLVERSON</t>
        </is>
      </c>
      <c r="B115" t="n">
        <v>65</v>
      </c>
      <c r="F115" t="n">
        <v>6.08</v>
      </c>
      <c r="I115" t="n">
        <v>65</v>
      </c>
      <c r="J115" t="n">
        <v>136.08</v>
      </c>
    </row>
    <row r="116">
      <c r="A116" s="247" t="inlineStr">
        <is>
          <t>Mandeep Kandola</t>
        </is>
      </c>
      <c r="B116" t="n">
        <v>0</v>
      </c>
      <c r="J116" t="n">
        <v>0</v>
      </c>
    </row>
    <row r="117">
      <c r="A117" s="247" t="inlineStr">
        <is>
          <t>Manjit Singh</t>
        </is>
      </c>
      <c r="B117" t="n">
        <v>0</v>
      </c>
      <c r="J117" t="n">
        <v>0</v>
      </c>
    </row>
    <row r="118">
      <c r="A118" s="247" t="inlineStr">
        <is>
          <t>MARKER GRAY</t>
        </is>
      </c>
      <c r="F118" t="n">
        <v>185</v>
      </c>
      <c r="G118" t="n">
        <v>200</v>
      </c>
      <c r="J118" t="n">
        <v>385</v>
      </c>
    </row>
    <row r="119">
      <c r="A119" s="247" t="inlineStr">
        <is>
          <t>Marsons Property Investmends Ltd</t>
        </is>
      </c>
      <c r="B119" t="n">
        <v>0</v>
      </c>
      <c r="J119" t="n">
        <v>0</v>
      </c>
    </row>
    <row r="120">
      <c r="A120" s="247" t="inlineStr">
        <is>
          <t>Maureen Goodin-Pryce</t>
        </is>
      </c>
      <c r="F120" t="n">
        <v>50</v>
      </c>
      <c r="J120" t="n">
        <v>50</v>
      </c>
    </row>
    <row r="121">
      <c r="A121" s="247" t="inlineStr">
        <is>
          <t>MFG Solicitors LLP</t>
        </is>
      </c>
      <c r="F121" t="n">
        <v>0</v>
      </c>
      <c r="J121" t="n">
        <v>0</v>
      </c>
    </row>
    <row r="122">
      <c r="A122" s="247" t="inlineStr">
        <is>
          <t>Mr J Singh</t>
        </is>
      </c>
      <c r="B122" t="n">
        <v>0</v>
      </c>
      <c r="J122" t="n">
        <v>0</v>
      </c>
    </row>
    <row r="123">
      <c r="A123" s="247" t="inlineStr">
        <is>
          <t>MR JOSHUA L MARSHA</t>
        </is>
      </c>
      <c r="F123" t="n">
        <v>216.67</v>
      </c>
      <c r="J123" t="n">
        <v>216.67</v>
      </c>
    </row>
    <row r="124">
      <c r="A124" s="247" t="inlineStr">
        <is>
          <t>Mrs R Matharu</t>
        </is>
      </c>
      <c r="H124" t="n">
        <v>0</v>
      </c>
      <c r="J124" t="n">
        <v>0</v>
      </c>
    </row>
    <row r="125">
      <c r="A125" s="247" t="inlineStr">
        <is>
          <t>MULTIFLEET VEHICLE</t>
        </is>
      </c>
      <c r="B125" t="n">
        <v>0</v>
      </c>
      <c r="J125" t="n">
        <v>0</v>
      </c>
    </row>
    <row r="126">
      <c r="A126" s="247" t="inlineStr">
        <is>
          <t>N and C Horton Property</t>
        </is>
      </c>
      <c r="F126" t="n">
        <v>0</v>
      </c>
      <c r="J126" t="n">
        <v>0</v>
      </c>
    </row>
    <row r="127">
      <c r="A127" s="247" t="inlineStr">
        <is>
          <t>N SIMPSON</t>
        </is>
      </c>
      <c r="F127" t="n">
        <v>359.85</v>
      </c>
      <c r="J127" t="n">
        <v>359.85</v>
      </c>
    </row>
    <row r="128">
      <c r="A128" s="247" t="inlineStr">
        <is>
          <t>N SMITH</t>
        </is>
      </c>
      <c r="F128" t="n">
        <v>150</v>
      </c>
      <c r="J128" t="n">
        <v>150</v>
      </c>
    </row>
    <row r="129">
      <c r="A129" s="247" t="inlineStr">
        <is>
          <t>NC Horton Personal</t>
        </is>
      </c>
      <c r="B129" t="n">
        <v>0</v>
      </c>
      <c r="J129" t="n">
        <v>0</v>
      </c>
    </row>
    <row r="130">
      <c r="A130" s="247" t="inlineStr">
        <is>
          <t>Neal Laura</t>
        </is>
      </c>
      <c r="B130" t="n">
        <v>12.69</v>
      </c>
      <c r="G130" t="n">
        <v>45</v>
      </c>
      <c r="J130" t="n">
        <v>57.69</v>
      </c>
    </row>
    <row r="131">
      <c r="A131" s="247" t="inlineStr">
        <is>
          <t>NHS BIRMINGHAM AND-607080-10017097</t>
        </is>
      </c>
      <c r="H131" t="n">
        <v>7562.1</v>
      </c>
      <c r="J131" t="n">
        <v>7562.1</v>
      </c>
    </row>
    <row r="132">
      <c r="A132" s="247" t="inlineStr">
        <is>
          <t>P HINDS</t>
        </is>
      </c>
      <c r="G132" t="n">
        <v>25</v>
      </c>
      <c r="J132" t="n">
        <v>25</v>
      </c>
    </row>
    <row r="133">
      <c r="A133" s="247" t="inlineStr">
        <is>
          <t>PALETHORPE NT</t>
        </is>
      </c>
      <c r="B133" t="n">
        <v>25</v>
      </c>
      <c r="F133" t="n">
        <v>100</v>
      </c>
      <c r="J133" t="n">
        <v>125</v>
      </c>
    </row>
    <row r="134">
      <c r="A134" s="247" t="inlineStr">
        <is>
          <t>PEAC UK LTD</t>
        </is>
      </c>
      <c r="F134" t="n">
        <v>0</v>
      </c>
      <c r="J134" t="n">
        <v>0</v>
      </c>
    </row>
    <row r="135">
      <c r="A135" s="247" t="inlineStr">
        <is>
          <t>PENDERELS TRUST LT</t>
        </is>
      </c>
      <c r="F135" t="n">
        <v>140</v>
      </c>
      <c r="J135" t="n">
        <v>140</v>
      </c>
    </row>
    <row r="136">
      <c r="A136" s="247" t="inlineStr">
        <is>
          <t>PHINDS-607080-10025863</t>
        </is>
      </c>
      <c r="G136" t="n">
        <v>495</v>
      </c>
      <c r="J136" t="n">
        <v>495</v>
      </c>
    </row>
    <row r="137">
      <c r="A137" s="247" t="inlineStr">
        <is>
          <t>Porsche Charging GB</t>
        </is>
      </c>
      <c r="F137" t="n">
        <v>0</v>
      </c>
      <c r="J137" t="n">
        <v>0</v>
      </c>
    </row>
    <row r="138">
      <c r="A138" s="247" t="inlineStr">
        <is>
          <t>PREMIUM CREDIT LTD</t>
        </is>
      </c>
      <c r="B138" t="n">
        <v>0</v>
      </c>
      <c r="F138" t="n">
        <v>0</v>
      </c>
      <c r="J138" t="n">
        <v>0</v>
      </c>
    </row>
    <row r="139">
      <c r="A139" s="247" t="inlineStr">
        <is>
          <t>Ratcliffe Property Services Ltd</t>
        </is>
      </c>
      <c r="G139" t="n">
        <v>0</v>
      </c>
      <c r="J139" t="n">
        <v>0</v>
      </c>
    </row>
    <row r="140">
      <c r="A140" s="247" t="inlineStr">
        <is>
          <t>Raymond Brown</t>
        </is>
      </c>
      <c r="B140" t="n">
        <v>216.67</v>
      </c>
      <c r="J140" t="n">
        <v>216.67</v>
      </c>
    </row>
    <row r="141">
      <c r="A141" s="247" t="inlineStr">
        <is>
          <t>REBECCA LOUISE</t>
        </is>
      </c>
      <c r="F141" t="n">
        <v>380</v>
      </c>
      <c r="J141" t="n">
        <v>380</v>
      </c>
    </row>
    <row r="142">
      <c r="A142" s="247" t="inlineStr">
        <is>
          <t>Regency Hampers Ltd</t>
        </is>
      </c>
      <c r="B142" t="n">
        <v>0</v>
      </c>
      <c r="J142" t="n">
        <v>0</v>
      </c>
    </row>
    <row r="143">
      <c r="A143" s="247" t="inlineStr">
        <is>
          <t>Regent Publicity Ltd</t>
        </is>
      </c>
      <c r="B143" t="n">
        <v>0</v>
      </c>
      <c r="J143" t="n">
        <v>0</v>
      </c>
    </row>
    <row r="144">
      <c r="A144" s="247" t="inlineStr">
        <is>
          <t>Richard Skyte</t>
        </is>
      </c>
      <c r="B144" t="n">
        <v>25</v>
      </c>
      <c r="J144" t="n">
        <v>25</v>
      </c>
    </row>
    <row r="145">
      <c r="A145" s="247" t="inlineStr">
        <is>
          <t>RORY BAKER</t>
        </is>
      </c>
      <c r="F145" t="n">
        <v>50</v>
      </c>
      <c r="H145" t="n">
        <v>95</v>
      </c>
      <c r="J145" t="n">
        <v>145</v>
      </c>
    </row>
    <row r="146">
      <c r="A146" s="247" t="inlineStr">
        <is>
          <t>Ryan Lawley</t>
        </is>
      </c>
      <c r="E146" t="n">
        <v>145</v>
      </c>
      <c r="J146" t="n">
        <v>145</v>
      </c>
    </row>
    <row r="147">
      <c r="A147" s="247" t="inlineStr">
        <is>
          <t>S BEALE</t>
        </is>
      </c>
      <c r="B147" t="n">
        <v>45</v>
      </c>
      <c r="I147" t="n">
        <v>45</v>
      </c>
      <c r="J147" t="n">
        <v>90</v>
      </c>
    </row>
    <row r="148">
      <c r="A148" s="247" t="inlineStr">
        <is>
          <t>S JAMES</t>
        </is>
      </c>
      <c r="F148" t="n">
        <v>401.67</v>
      </c>
      <c r="J148" t="n">
        <v>401.67</v>
      </c>
    </row>
    <row r="149">
      <c r="A149" s="247" t="inlineStr">
        <is>
          <t>S JONES-607080-10025863</t>
        </is>
      </c>
      <c r="I149" t="n">
        <v>495</v>
      </c>
      <c r="J149" t="n">
        <v>495</v>
      </c>
    </row>
    <row r="150">
      <c r="A150" s="247" t="inlineStr">
        <is>
          <t>SANDWELL EX DIRECT</t>
        </is>
      </c>
      <c r="B150" t="n">
        <v>25</v>
      </c>
      <c r="J150" t="n">
        <v>25</v>
      </c>
    </row>
    <row r="151">
      <c r="A151" s="247" t="inlineStr">
        <is>
          <t>SANDWELL MBC EXEC</t>
        </is>
      </c>
      <c r="F151" t="n">
        <v>50</v>
      </c>
      <c r="J151" t="n">
        <v>50</v>
      </c>
    </row>
    <row r="152">
      <c r="A152" s="247" t="inlineStr">
        <is>
          <t>SANDWELL MBC-601539-69624135</t>
        </is>
      </c>
      <c r="H152" t="n">
        <v>11212.58</v>
      </c>
      <c r="I152" t="n">
        <v>6866.4</v>
      </c>
      <c r="J152" t="n">
        <v>18078.98</v>
      </c>
    </row>
    <row r="153">
      <c r="A153" s="247" t="inlineStr">
        <is>
          <t>Sarah Jones</t>
        </is>
      </c>
      <c r="F153" t="n">
        <v>456.67</v>
      </c>
      <c r="J153" t="n">
        <v>456.67</v>
      </c>
    </row>
    <row r="154">
      <c r="A154" s="247" t="inlineStr">
        <is>
          <t>SELECT LIFESTYLES LIMITED</t>
        </is>
      </c>
      <c r="B154" t="n">
        <v>0</v>
      </c>
      <c r="I154" t="n">
        <v>0</v>
      </c>
      <c r="J154" t="n">
        <v>0</v>
      </c>
    </row>
    <row r="155">
      <c r="A155" s="247" t="inlineStr">
        <is>
          <t>SELECT LIFESTYLES LIMITED 2</t>
        </is>
      </c>
      <c r="B155" t="n">
        <v>0</v>
      </c>
      <c r="F155" t="n">
        <v>0</v>
      </c>
      <c r="G155" t="n">
        <v>0</v>
      </c>
      <c r="J155" t="n">
        <v>0</v>
      </c>
    </row>
    <row r="156">
      <c r="A156" s="247" t="inlineStr">
        <is>
          <t>SELECT LIFESTYLES LIMITED DEPOSIT</t>
        </is>
      </c>
      <c r="F156" t="n">
        <v>0</v>
      </c>
      <c r="J156" t="n">
        <v>0</v>
      </c>
    </row>
    <row r="157">
      <c r="A157" s="247" t="inlineStr">
        <is>
          <t>SIMON KELLY</t>
        </is>
      </c>
      <c r="F157" t="n">
        <v>145</v>
      </c>
      <c r="J157" t="n">
        <v>145</v>
      </c>
    </row>
    <row r="158">
      <c r="A158" s="247" t="inlineStr">
        <is>
          <t>SMBC EX DIR RE LOU</t>
        </is>
      </c>
      <c r="F158" t="n">
        <v>50</v>
      </c>
      <c r="J158" t="n">
        <v>50</v>
      </c>
    </row>
    <row r="159">
      <c r="A159" s="247" t="inlineStr">
        <is>
          <t>SMBC EXEC DIR RE M</t>
        </is>
      </c>
      <c r="F159" t="n">
        <v>50</v>
      </c>
      <c r="J159" t="n">
        <v>50</v>
      </c>
    </row>
    <row r="160">
      <c r="A160" s="247" t="inlineStr">
        <is>
          <t>SMBC EXECUTIVE DIR</t>
        </is>
      </c>
      <c r="F160" t="n">
        <v>50</v>
      </c>
      <c r="J160" t="n">
        <v>50</v>
      </c>
    </row>
    <row r="161">
      <c r="A161" s="247" t="inlineStr">
        <is>
          <t>SMITH H</t>
        </is>
      </c>
      <c r="B161" t="n">
        <v>216.67</v>
      </c>
      <c r="J161" t="n">
        <v>216.67</v>
      </c>
    </row>
    <row r="162">
      <c r="A162" s="247" t="inlineStr">
        <is>
          <t>SSMITH-607080-10025863</t>
        </is>
      </c>
      <c r="I162" t="n">
        <v>411.67</v>
      </c>
      <c r="J162" t="n">
        <v>411.67</v>
      </c>
    </row>
    <row r="163">
      <c r="A163" s="247" t="inlineStr">
        <is>
          <t>SYDNEY JOHNSON</t>
        </is>
      </c>
      <c r="F163" t="n">
        <v>380</v>
      </c>
      <c r="J163" t="n">
        <v>380</v>
      </c>
    </row>
    <row r="164">
      <c r="A164" s="247" t="inlineStr">
        <is>
          <t>Synium Limited</t>
        </is>
      </c>
      <c r="F164" t="n">
        <v>0</v>
      </c>
      <c r="J164" t="n">
        <v>0</v>
      </c>
    </row>
    <row r="165">
      <c r="A165" s="247" t="inlineStr">
        <is>
          <t>T HARTLEY</t>
        </is>
      </c>
      <c r="B165" t="n">
        <v>216.67</v>
      </c>
      <c r="J165" t="n">
        <v>216.67</v>
      </c>
    </row>
    <row r="166">
      <c r="A166" s="247" t="inlineStr">
        <is>
          <t>TC LOANS LTD T/A T</t>
        </is>
      </c>
      <c r="I166" t="n">
        <v>0</v>
      </c>
      <c r="J166" t="n">
        <v>0</v>
      </c>
    </row>
    <row r="167">
      <c r="A167" s="247" t="inlineStr">
        <is>
          <t>Tesla</t>
        </is>
      </c>
      <c r="I167" t="n">
        <v>0</v>
      </c>
      <c r="J167" t="n">
        <v>0</v>
      </c>
    </row>
    <row r="168">
      <c r="A168" s="247" t="inlineStr">
        <is>
          <t>Tesla Inc.</t>
        </is>
      </c>
      <c r="H168" t="n">
        <v>0</v>
      </c>
      <c r="J168" t="n">
        <v>0</v>
      </c>
    </row>
    <row r="169">
      <c r="A169" s="247" t="inlineStr">
        <is>
          <t>THE WING MIRROR COMPAN</t>
        </is>
      </c>
      <c r="I169" t="n">
        <v>0</v>
      </c>
      <c r="J169" t="n">
        <v>0</v>
      </c>
    </row>
    <row r="170">
      <c r="A170" s="247" t="inlineStr">
        <is>
          <t>THOMAS AM</t>
        </is>
      </c>
      <c r="B170" t="n">
        <v>25</v>
      </c>
      <c r="F170" t="n">
        <v>65</v>
      </c>
      <c r="J170" t="n">
        <v>90</v>
      </c>
    </row>
    <row r="171">
      <c r="A171" s="247" t="inlineStr">
        <is>
          <t>TOYOTA FIN SERV</t>
        </is>
      </c>
      <c r="H171" t="n">
        <v>0</v>
      </c>
      <c r="J171" t="n">
        <v>0</v>
      </c>
    </row>
    <row r="172">
      <c r="A172" s="247" t="inlineStr">
        <is>
          <t>Trade UK</t>
        </is>
      </c>
      <c r="B172" t="n">
        <v>0</v>
      </c>
      <c r="J172" t="n">
        <v>0</v>
      </c>
    </row>
    <row r="173">
      <c r="A173" s="247" t="inlineStr">
        <is>
          <t>Trust Hygiene Services Ltd</t>
        </is>
      </c>
      <c r="F173" t="n">
        <v>0</v>
      </c>
      <c r="J173" t="n">
        <v>0</v>
      </c>
    </row>
    <row r="174">
      <c r="A174" s="247" t="inlineStr">
        <is>
          <t>UKO SERVICED OFFIC</t>
        </is>
      </c>
      <c r="B174" t="n">
        <v>0</v>
      </c>
      <c r="J174" t="n">
        <v>0</v>
      </c>
    </row>
    <row r="175">
      <c r="A175" s="247" t="inlineStr">
        <is>
          <t>VIRGIN MEDIA PYMTS</t>
        </is>
      </c>
      <c r="G175" t="n">
        <v>0</v>
      </c>
      <c r="J175" t="n">
        <v>0</v>
      </c>
    </row>
    <row r="176">
      <c r="A176" s="247" t="inlineStr">
        <is>
          <t>Walsall Council</t>
        </is>
      </c>
      <c r="I176" t="n">
        <v>0</v>
      </c>
      <c r="J176" t="n">
        <v>0</v>
      </c>
    </row>
    <row r="177">
      <c r="A177" s="247" t="inlineStr">
        <is>
          <t>WALSALL MBC BARC-209073-10731692</t>
        </is>
      </c>
      <c r="F177" t="n">
        <v>348905.81</v>
      </c>
      <c r="J177" t="n">
        <v>348905.81</v>
      </c>
    </row>
    <row r="178">
      <c r="A178" s="247" t="inlineStr">
        <is>
          <t>WALSALL METROPOLIT-206877-58552541</t>
        </is>
      </c>
      <c r="B178" t="n">
        <v>1030</v>
      </c>
      <c r="F178" t="n">
        <v>2326.17</v>
      </c>
      <c r="G178" t="n">
        <v>350</v>
      </c>
      <c r="H178" t="n">
        <v>411.67</v>
      </c>
      <c r="I178" t="n">
        <v>430</v>
      </c>
      <c r="J178" t="n">
        <v>4547.84</v>
      </c>
    </row>
    <row r="179">
      <c r="A179" s="247" t="inlineStr">
        <is>
          <t>WATER PLUS</t>
        </is>
      </c>
      <c r="G179" t="n">
        <v>0</v>
      </c>
      <c r="J179" t="n">
        <v>0</v>
      </c>
    </row>
    <row r="180">
      <c r="A180" s="247" t="inlineStr">
        <is>
          <t>WCC/COP/P BATSON</t>
        </is>
      </c>
      <c r="B180" t="n">
        <v>145</v>
      </c>
      <c r="I180" t="n">
        <v>145</v>
      </c>
      <c r="J180" t="n">
        <v>290</v>
      </c>
    </row>
    <row r="181">
      <c r="A181" s="247" t="inlineStr">
        <is>
          <t>WILSON DA</t>
        </is>
      </c>
      <c r="C181" t="n">
        <v>332.84</v>
      </c>
      <c r="I181" t="n">
        <v>500</v>
      </c>
      <c r="J181" t="n">
        <v>832.8399999999999</v>
      </c>
    </row>
    <row r="182">
      <c r="A182" s="247" t="inlineStr">
        <is>
          <t>Wolverhampton CC</t>
        </is>
      </c>
      <c r="I182" t="n">
        <v>0</v>
      </c>
      <c r="J182" t="n">
        <v>0</v>
      </c>
    </row>
    <row r="183">
      <c r="A183" s="247" t="inlineStr">
        <is>
          <t>WOLVERHAMPTON CC-560069-44470320</t>
        </is>
      </c>
      <c r="B183" t="n">
        <v>2780</v>
      </c>
      <c r="I183" t="n">
        <v>140800.84</v>
      </c>
      <c r="J183" t="n">
        <v>143580.84</v>
      </c>
    </row>
    <row r="184">
      <c r="A184" s="247" t="inlineStr">
        <is>
          <t>ZHUGHES-607080-10025863</t>
        </is>
      </c>
      <c r="B184" t="n">
        <v>411.67</v>
      </c>
      <c r="J184" t="n">
        <v>411.67</v>
      </c>
    </row>
    <row r="185">
      <c r="A185" s="247" t="inlineStr">
        <is>
          <t>Grand Total</t>
        </is>
      </c>
      <c r="B185" t="n">
        <v>9832.960000000001</v>
      </c>
      <c r="C185" t="n">
        <v>332.84</v>
      </c>
      <c r="D185" t="n">
        <v>300</v>
      </c>
      <c r="E185" t="n">
        <v>145</v>
      </c>
      <c r="F185" t="n">
        <v>362756.99</v>
      </c>
      <c r="G185" t="n">
        <v>2659.07</v>
      </c>
      <c r="H185" t="n">
        <v>19879.1</v>
      </c>
      <c r="I185" t="n">
        <v>163870.81</v>
      </c>
      <c r="J185" t="n">
        <v>559776.77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>
  <sheetPr codeName="Sheet39">
    <outlinePr summaryBelow="1" summaryRight="1"/>
    <pageSetUpPr/>
  </sheetPr>
  <dimension ref="A1:AF49"/>
  <sheetViews>
    <sheetView zoomScale="85" zoomScaleNormal="85" workbookViewId="0">
      <selection activeCell="E7" sqref="E7"/>
    </sheetView>
  </sheetViews>
  <sheetFormatPr baseColWidth="8" defaultRowHeight="15"/>
  <cols>
    <col width="60.5703125" bestFit="1" customWidth="1" min="1" max="1"/>
    <col width="14.140625" bestFit="1" customWidth="1" min="2" max="2"/>
    <col width="17.28515625" bestFit="1" customWidth="1" min="3" max="3"/>
    <col width="16.28515625" bestFit="1" customWidth="1" min="4" max="4"/>
    <col width="17.28515625" bestFit="1" customWidth="1" min="5" max="6"/>
    <col width="14.140625" bestFit="1" customWidth="1" min="7" max="8"/>
    <col width="15.85546875" bestFit="1" customWidth="1" min="9" max="9"/>
    <col width="17.28515625" bestFit="1" customWidth="1" min="10" max="10"/>
    <col width="16.28515625" bestFit="1" customWidth="1" min="11" max="11"/>
    <col width="17.28515625" bestFit="1" customWidth="1" min="12" max="12"/>
    <col width="14.140625" bestFit="1" customWidth="1" min="13" max="15"/>
    <col width="15.85546875" bestFit="1" customWidth="1" min="16" max="16"/>
    <col width="14.140625" bestFit="1" customWidth="1" min="17" max="17"/>
    <col width="16.28515625" bestFit="1" customWidth="1" min="18" max="18"/>
    <col width="17.28515625" bestFit="1" customWidth="1" min="19" max="20"/>
    <col width="14.140625" bestFit="1" customWidth="1" min="21" max="23"/>
    <col width="17.28515625" bestFit="1" customWidth="1" min="24" max="24"/>
    <col width="16.28515625" bestFit="1" customWidth="1" min="25" max="25"/>
    <col width="17.28515625" bestFit="1" customWidth="1" min="26" max="26"/>
    <col width="14.140625" bestFit="1" customWidth="1" min="27" max="30"/>
    <col width="17.28515625" bestFit="1" customWidth="1" min="31" max="31"/>
    <col width="10.85546875" bestFit="1" customWidth="1" min="32" max="32"/>
  </cols>
  <sheetData>
    <row r="1">
      <c r="B1" s="238" t="inlineStr">
        <is>
          <t>Monday</t>
        </is>
      </c>
      <c r="C1" s="238" t="inlineStr">
        <is>
          <t>Tuesday</t>
        </is>
      </c>
      <c r="D1" s="238" t="inlineStr">
        <is>
          <t>Wednesday</t>
        </is>
      </c>
      <c r="E1" s="238" t="inlineStr">
        <is>
          <t>Thursday</t>
        </is>
      </c>
      <c r="F1" s="238" t="inlineStr">
        <is>
          <t>Friday</t>
        </is>
      </c>
      <c r="G1" s="238" t="inlineStr">
        <is>
          <t>Saturday</t>
        </is>
      </c>
      <c r="H1" s="238" t="inlineStr">
        <is>
          <t>Sunday</t>
        </is>
      </c>
      <c r="I1" s="238" t="inlineStr">
        <is>
          <t>Monday</t>
        </is>
      </c>
      <c r="J1" s="238" t="inlineStr">
        <is>
          <t>Tuesday</t>
        </is>
      </c>
      <c r="K1" s="238" t="inlineStr">
        <is>
          <t>Wednesday</t>
        </is>
      </c>
      <c r="L1" s="238" t="inlineStr">
        <is>
          <t>Thursday</t>
        </is>
      </c>
      <c r="M1" s="238" t="inlineStr">
        <is>
          <t>Friday</t>
        </is>
      </c>
      <c r="N1" s="238" t="inlineStr">
        <is>
          <t>Saturday</t>
        </is>
      </c>
      <c r="O1" s="238" t="inlineStr">
        <is>
          <t>Sunday</t>
        </is>
      </c>
      <c r="P1" s="238" t="inlineStr">
        <is>
          <t>Monday</t>
        </is>
      </c>
      <c r="Q1" s="238" t="inlineStr">
        <is>
          <t>Tuesday</t>
        </is>
      </c>
      <c r="R1" s="238" t="inlineStr">
        <is>
          <t>Wednesday</t>
        </is>
      </c>
      <c r="S1" s="238" t="inlineStr">
        <is>
          <t>Thursday</t>
        </is>
      </c>
      <c r="T1" s="238" t="inlineStr">
        <is>
          <t>Friday</t>
        </is>
      </c>
      <c r="U1" s="238" t="inlineStr">
        <is>
          <t>Saturday</t>
        </is>
      </c>
      <c r="V1" s="238" t="inlineStr">
        <is>
          <t>Sunday</t>
        </is>
      </c>
      <c r="W1" s="238" t="inlineStr">
        <is>
          <t>Monday</t>
        </is>
      </c>
      <c r="X1" s="238" t="inlineStr">
        <is>
          <t>Tuesday</t>
        </is>
      </c>
      <c r="Y1" s="238" t="inlineStr">
        <is>
          <t>Wednesday</t>
        </is>
      </c>
      <c r="Z1" s="238" t="inlineStr">
        <is>
          <t>Thursday</t>
        </is>
      </c>
      <c r="AA1" s="238" t="inlineStr">
        <is>
          <t>Friday</t>
        </is>
      </c>
      <c r="AB1" s="238" t="inlineStr">
        <is>
          <t>Saturday</t>
        </is>
      </c>
      <c r="AC1" s="238" t="inlineStr">
        <is>
          <t>Sunday</t>
        </is>
      </c>
      <c r="AD1" s="238" t="inlineStr">
        <is>
          <t>Monday</t>
        </is>
      </c>
      <c r="AE1" s="238" t="inlineStr">
        <is>
          <t>Tuesday</t>
        </is>
      </c>
      <c r="AF1" s="237" t="inlineStr">
        <is>
          <t>Total</t>
        </is>
      </c>
    </row>
    <row r="2">
      <c r="B2" s="277" t="n">
        <v>46174</v>
      </c>
      <c r="C2" s="277" t="n">
        <v>46175</v>
      </c>
      <c r="D2" s="277" t="n">
        <v>46176</v>
      </c>
      <c r="E2" s="277" t="n">
        <v>46177</v>
      </c>
      <c r="F2" s="277" t="n">
        <v>46178</v>
      </c>
      <c r="G2" s="277" t="n">
        <v>46179</v>
      </c>
      <c r="H2" s="277" t="n">
        <v>46180</v>
      </c>
      <c r="I2" s="277" t="n">
        <v>46181</v>
      </c>
      <c r="J2" s="277" t="n">
        <v>46182</v>
      </c>
      <c r="K2" s="277" t="n">
        <v>46183</v>
      </c>
      <c r="L2" s="277" t="n">
        <v>46184</v>
      </c>
      <c r="M2" s="277" t="n">
        <v>46185</v>
      </c>
      <c r="N2" s="277" t="n">
        <v>46186</v>
      </c>
      <c r="O2" s="277" t="n">
        <v>46187</v>
      </c>
      <c r="P2" s="277" t="n">
        <v>46188</v>
      </c>
      <c r="Q2" s="277" t="n">
        <v>46189</v>
      </c>
      <c r="R2" s="277" t="n">
        <v>46190</v>
      </c>
      <c r="S2" s="277" t="n">
        <v>46191</v>
      </c>
      <c r="T2" s="277" t="n">
        <v>46192</v>
      </c>
      <c r="U2" s="277" t="n">
        <v>46193</v>
      </c>
      <c r="V2" s="277" t="n">
        <v>46194</v>
      </c>
      <c r="W2" s="277" t="n">
        <v>46195</v>
      </c>
      <c r="X2" s="277" t="n">
        <v>46196</v>
      </c>
      <c r="Y2" s="277" t="n">
        <v>46197</v>
      </c>
      <c r="Z2" s="277" t="n">
        <v>46198</v>
      </c>
      <c r="AA2" s="277" t="n">
        <v>46199</v>
      </c>
      <c r="AB2" s="277" t="n">
        <v>46200</v>
      </c>
      <c r="AC2" s="277" t="n">
        <v>46201</v>
      </c>
      <c r="AD2" s="277" t="n">
        <v>46202</v>
      </c>
      <c r="AE2" s="277" t="n">
        <v>46203</v>
      </c>
    </row>
    <row r="3">
      <c r="A3" s="237" t="inlineStr">
        <is>
          <t>Birmingham City Council - Supported Living</t>
        </is>
      </c>
      <c r="B3" s="275" t="n"/>
      <c r="C3" s="268" t="n"/>
      <c r="D3" s="268" t="n"/>
      <c r="E3" s="268" t="n"/>
      <c r="F3" s="268" t="n"/>
      <c r="G3" s="268" t="n"/>
      <c r="H3" s="268" t="n"/>
      <c r="I3" s="268" t="n"/>
      <c r="J3" s="268" t="n"/>
      <c r="K3" s="268" t="n"/>
      <c r="L3" s="268" t="n"/>
      <c r="M3" s="268" t="n"/>
      <c r="N3" s="268" t="n"/>
      <c r="O3" s="268" t="n"/>
      <c r="P3" s="268" t="n"/>
      <c r="Q3" s="268" t="n"/>
      <c r="R3" s="268" t="n"/>
      <c r="S3" s="268" t="n"/>
      <c r="T3" s="268" t="n"/>
      <c r="U3" s="268" t="n"/>
      <c r="V3" s="268" t="n"/>
      <c r="W3" s="268" t="n"/>
      <c r="X3" s="268" t="n"/>
      <c r="Y3" s="268" t="n"/>
      <c r="Z3" s="268" t="n"/>
      <c r="AA3" s="268" t="n"/>
      <c r="AB3" s="268" t="n"/>
      <c r="AC3" s="268" t="n"/>
      <c r="AD3" s="275" t="n"/>
      <c r="AE3" s="268" t="n"/>
      <c r="AF3" s="235">
        <f>SUM(B3:AE3)</f>
        <v/>
      </c>
    </row>
    <row r="4">
      <c r="A4" s="237" t="inlineStr">
        <is>
          <t>Haringey</t>
        </is>
      </c>
      <c r="B4" s="268" t="n"/>
      <c r="C4" s="268" t="n"/>
      <c r="D4" s="268" t="n"/>
      <c r="E4" s="268" t="n"/>
      <c r="F4" s="268" t="n"/>
      <c r="G4" s="268" t="n"/>
      <c r="H4" s="268" t="n"/>
      <c r="I4" s="268" t="n"/>
      <c r="J4" s="268" t="n"/>
      <c r="K4" s="268" t="n"/>
      <c r="L4" s="268" t="n">
        <v>6000</v>
      </c>
      <c r="M4" s="268" t="n"/>
      <c r="N4" s="268" t="n"/>
      <c r="O4" s="268" t="n"/>
      <c r="P4" s="275" t="n">
        <v>0</v>
      </c>
      <c r="Q4" s="268" t="n"/>
      <c r="R4" s="268" t="n"/>
      <c r="S4" s="268" t="n"/>
      <c r="T4" s="268" t="n"/>
      <c r="U4" s="268" t="n"/>
      <c r="V4" s="268" t="n"/>
      <c r="W4" s="268" t="n"/>
      <c r="X4" s="268" t="n"/>
      <c r="Y4" s="268" t="n"/>
      <c r="Z4" s="268" t="n"/>
      <c r="AA4" s="268" t="n"/>
      <c r="AB4" s="268" t="n"/>
      <c r="AC4" s="268" t="n"/>
      <c r="AD4" s="268" t="n"/>
      <c r="AE4" s="268" t="n"/>
      <c r="AF4" s="235">
        <f>SUM(B4:AE4)</f>
        <v/>
      </c>
    </row>
    <row r="5">
      <c r="A5" s="237" t="inlineStr">
        <is>
          <t>Sandwell MBC - Respite</t>
        </is>
      </c>
      <c r="B5" s="268" t="n">
        <v>3419.08</v>
      </c>
      <c r="C5" s="268" t="n"/>
      <c r="D5" s="268" t="n"/>
      <c r="E5" s="268" t="n"/>
      <c r="F5" s="268" t="n"/>
      <c r="G5" s="268" t="n"/>
      <c r="H5" s="268" t="n"/>
      <c r="I5" s="275" t="n"/>
      <c r="J5" s="268" t="n"/>
      <c r="K5" s="268" t="n"/>
      <c r="L5" s="268" t="n"/>
      <c r="M5" s="268" t="n"/>
      <c r="N5" s="268" t="n"/>
      <c r="O5" s="268" t="n"/>
      <c r="P5" s="268" t="n"/>
      <c r="Q5" s="268" t="n"/>
      <c r="R5" s="268" t="n"/>
      <c r="S5" s="268" t="n"/>
      <c r="T5" s="268" t="n"/>
      <c r="U5" s="268" t="n"/>
      <c r="V5" s="268" t="n"/>
      <c r="W5" s="275" t="n"/>
      <c r="X5" s="268" t="n"/>
      <c r="Y5" s="268" t="n"/>
      <c r="Z5" s="268" t="n"/>
      <c r="AA5" s="268" t="n"/>
      <c r="AB5" s="268" t="n"/>
      <c r="AC5" s="268" t="n"/>
      <c r="AD5" s="268" t="n"/>
      <c r="AE5" s="268" t="n"/>
      <c r="AF5" s="235">
        <f>SUM(B5:AE5)</f>
        <v/>
      </c>
    </row>
    <row r="6">
      <c r="A6" s="237" t="inlineStr">
        <is>
          <t>Sandwell MBC - Daycare</t>
        </is>
      </c>
      <c r="B6" s="268" t="n"/>
      <c r="C6" s="268" t="n"/>
      <c r="D6" s="268" t="n"/>
      <c r="E6" s="268" t="n"/>
      <c r="F6" s="268" t="n"/>
      <c r="G6" s="268" t="n"/>
      <c r="H6" s="268" t="n"/>
      <c r="I6" s="268" t="n">
        <v>6866.4</v>
      </c>
      <c r="J6" s="268" t="n"/>
      <c r="K6" s="268" t="n"/>
      <c r="L6" s="268" t="n"/>
      <c r="M6" s="275" t="n"/>
      <c r="N6" s="268" t="n"/>
      <c r="O6" s="268" t="n"/>
      <c r="P6" s="268" t="n"/>
      <c r="Q6" s="268" t="n"/>
      <c r="R6" s="268" t="n"/>
      <c r="S6" s="268" t="n"/>
      <c r="T6" s="268" t="n"/>
      <c r="U6" s="268" t="n"/>
      <c r="V6" s="268" t="n"/>
      <c r="W6" s="268" t="n"/>
      <c r="X6" s="268" t="n"/>
      <c r="Y6" s="268" t="n"/>
      <c r="Z6" s="268" t="n"/>
      <c r="AA6" s="275" t="n"/>
      <c r="AB6" s="268" t="n"/>
      <c r="AC6" s="268" t="n"/>
      <c r="AD6" s="268" t="n"/>
      <c r="AE6" s="268" t="n"/>
      <c r="AF6" s="235">
        <f>SUM(B6:AE6)</f>
        <v/>
      </c>
    </row>
    <row r="7">
      <c r="A7" s="237" t="inlineStr">
        <is>
          <t xml:space="preserve">Wolverhampton - Respite </t>
        </is>
      </c>
      <c r="B7" s="268" t="n"/>
      <c r="C7" s="268" t="n"/>
      <c r="D7" s="268" t="n"/>
      <c r="E7" s="268" t="n">
        <v>930.65</v>
      </c>
      <c r="F7" s="268" t="n"/>
      <c r="G7" s="268" t="n"/>
      <c r="H7" s="268" t="n"/>
      <c r="I7" s="268" t="n"/>
      <c r="J7" s="268" t="n"/>
      <c r="K7" s="268" t="n"/>
      <c r="L7" s="268" t="n">
        <v>930.65</v>
      </c>
      <c r="M7" s="268" t="n"/>
      <c r="N7" s="268" t="n"/>
      <c r="O7" s="268" t="n"/>
      <c r="P7" s="268" t="n"/>
      <c r="Q7" s="268" t="n"/>
      <c r="R7" s="268" t="n"/>
      <c r="S7" s="268" t="n">
        <v>930.65</v>
      </c>
      <c r="T7" s="268" t="n"/>
      <c r="U7" s="268" t="n"/>
      <c r="V7" s="268" t="n"/>
      <c r="W7" s="268" t="n"/>
      <c r="X7" s="268" t="n"/>
      <c r="Y7" s="268" t="n"/>
      <c r="Z7" s="268" t="n">
        <v>930.65</v>
      </c>
      <c r="AA7" s="268" t="n"/>
      <c r="AB7" s="268" t="n"/>
      <c r="AC7" s="268" t="n"/>
      <c r="AD7" s="268" t="n"/>
      <c r="AE7" s="268" t="n"/>
      <c r="AF7" s="235">
        <f>SUM(B7:AE7)</f>
        <v/>
      </c>
    </row>
    <row r="8">
      <c r="A8" s="237" t="inlineStr">
        <is>
          <t>Wolverhampton - Daycare</t>
        </is>
      </c>
      <c r="B8" s="268" t="n"/>
      <c r="C8" s="268" t="n"/>
      <c r="D8" s="268" t="n"/>
      <c r="E8" s="275" t="n">
        <v>5606.3</v>
      </c>
      <c r="F8" s="268" t="n"/>
      <c r="G8" s="268" t="n"/>
      <c r="H8" s="268" t="n"/>
      <c r="I8" s="268" t="n"/>
      <c r="J8" s="268" t="n"/>
      <c r="K8" s="268" t="n"/>
      <c r="L8" s="275" t="n">
        <v>5606.3</v>
      </c>
      <c r="M8" s="268" t="n"/>
      <c r="N8" s="268" t="n"/>
      <c r="O8" s="268" t="n"/>
      <c r="P8" s="268" t="n"/>
      <c r="Q8" s="268" t="n"/>
      <c r="R8" s="268" t="n"/>
      <c r="S8" s="275" t="n">
        <v>5606.3</v>
      </c>
      <c r="T8" s="268" t="n"/>
      <c r="U8" s="268" t="n"/>
      <c r="V8" s="268" t="n"/>
      <c r="W8" s="268" t="n"/>
      <c r="X8" s="268" t="n"/>
      <c r="Y8" s="268" t="n"/>
      <c r="Z8" s="275" t="n">
        <v>5606.3</v>
      </c>
      <c r="AA8" s="268" t="n"/>
      <c r="AB8" s="268" t="n"/>
      <c r="AC8" s="268" t="n"/>
      <c r="AD8" s="268" t="n"/>
      <c r="AE8" s="268" t="n"/>
      <c r="AF8" s="235">
        <f>SUM(B8:AE8)</f>
        <v/>
      </c>
    </row>
    <row r="9">
      <c r="A9" s="237" t="inlineStr">
        <is>
          <t>Walsall - Respite</t>
        </is>
      </c>
      <c r="B9" s="268" t="n"/>
      <c r="C9" s="275" t="n"/>
      <c r="D9" s="268" t="n"/>
      <c r="E9" s="268" t="n"/>
      <c r="F9" s="268" t="n">
        <v>18171.66</v>
      </c>
      <c r="G9" s="268" t="n"/>
      <c r="H9" s="268" t="n"/>
      <c r="I9" s="268" t="n"/>
      <c r="J9" s="268" t="n"/>
      <c r="K9" s="268" t="n"/>
      <c r="L9" s="268" t="n"/>
      <c r="M9" s="268" t="n"/>
      <c r="N9" s="268" t="n"/>
      <c r="O9" s="268" t="n"/>
      <c r="P9" s="268" t="n"/>
      <c r="Q9" s="268" t="n"/>
      <c r="R9" s="268" t="n"/>
      <c r="S9" s="268" t="n"/>
      <c r="T9" s="268" t="n"/>
      <c r="U9" s="268" t="n"/>
      <c r="V9" s="268" t="n"/>
      <c r="W9" s="268" t="n"/>
      <c r="X9" s="268" t="n"/>
      <c r="Y9" s="268" t="n"/>
      <c r="Z9" s="268" t="n"/>
      <c r="AA9" s="268" t="n"/>
      <c r="AB9" s="268" t="n"/>
      <c r="AC9" s="268" t="n"/>
      <c r="AD9" s="268" t="n"/>
      <c r="AE9" s="275" t="n"/>
      <c r="AF9" s="235">
        <f>SUM(B9:AE9)</f>
        <v/>
      </c>
    </row>
    <row r="10">
      <c r="A10" s="237" t="inlineStr">
        <is>
          <t>Walsall - Daycare</t>
        </is>
      </c>
      <c r="B10" s="268" t="n"/>
      <c r="C10" s="268" t="n"/>
      <c r="D10" s="268" t="n"/>
      <c r="E10" s="268" t="n"/>
      <c r="F10" s="268" t="n"/>
      <c r="G10" s="268" t="n"/>
      <c r="H10" s="268" t="n"/>
      <c r="I10" s="268" t="n"/>
      <c r="J10" s="268" t="n"/>
      <c r="K10" s="268" t="n"/>
      <c r="L10" s="268" t="n"/>
      <c r="M10" s="268" t="n"/>
      <c r="N10" s="268" t="n"/>
      <c r="O10" s="268" t="n"/>
      <c r="P10" s="268" t="n"/>
      <c r="Q10" s="268" t="n"/>
      <c r="R10" s="268" t="n"/>
      <c r="S10" s="268" t="n"/>
      <c r="T10" s="268" t="n"/>
      <c r="U10" s="268" t="n"/>
      <c r="V10" s="268" t="n"/>
      <c r="W10" s="268" t="n"/>
      <c r="X10" s="268" t="n"/>
      <c r="Y10" s="268" t="n"/>
      <c r="Z10" s="268" t="n"/>
      <c r="AA10" s="268" t="n"/>
      <c r="AB10" s="268" t="n"/>
      <c r="AC10" s="268" t="n"/>
      <c r="AD10" s="268" t="n"/>
      <c r="AE10" s="268" t="n"/>
      <c r="AF10" s="235">
        <f>SUM(B10:AE10)</f>
        <v/>
      </c>
    </row>
    <row r="11">
      <c r="A11" s="237" t="inlineStr">
        <is>
          <t>Ideal for All Ltd - Direct Payments</t>
        </is>
      </c>
      <c r="B11" s="268" t="n"/>
      <c r="C11" s="268" t="n"/>
      <c r="D11" s="268" t="n"/>
      <c r="E11" s="268" t="n"/>
      <c r="F11" s="268" t="n"/>
      <c r="G11" s="268" t="n"/>
      <c r="H11" s="268" t="n"/>
      <c r="I11" s="268" t="n"/>
      <c r="J11" s="268" t="n"/>
      <c r="K11" s="268" t="n"/>
      <c r="L11" s="268" t="n"/>
      <c r="M11" s="268" t="n"/>
      <c r="N11" s="268" t="n"/>
      <c r="O11" s="268" t="n"/>
      <c r="P11" s="268" t="n"/>
      <c r="Q11" s="268" t="n"/>
      <c r="R11" s="268" t="n"/>
      <c r="S11" s="268" t="n"/>
      <c r="T11" s="268" t="n"/>
      <c r="U11" s="268" t="n"/>
      <c r="V11" s="268" t="n"/>
      <c r="W11" s="268" t="n"/>
      <c r="X11" s="268" t="n"/>
      <c r="Y11" s="268" t="n"/>
      <c r="Z11" s="268" t="n">
        <v>7664.06</v>
      </c>
      <c r="AA11" s="275" t="n"/>
      <c r="AB11" s="268" t="n"/>
      <c r="AC11" s="268" t="n"/>
      <c r="AD11" s="268" t="n"/>
      <c r="AE11" s="268" t="n"/>
      <c r="AF11" s="235">
        <f>SUM(B11:AE11)</f>
        <v/>
      </c>
    </row>
    <row r="12">
      <c r="A12" s="237" t="inlineStr">
        <is>
          <t>Kirklees - Supported Living</t>
        </is>
      </c>
      <c r="B12" s="268" t="n"/>
      <c r="C12" s="268" t="n"/>
      <c r="D12" s="268" t="n"/>
      <c r="E12" s="268" t="n"/>
      <c r="F12" s="268" t="n"/>
      <c r="G12" s="268" t="n"/>
      <c r="H12" s="268" t="n"/>
      <c r="I12" s="268" t="n"/>
      <c r="J12" s="268" t="n"/>
      <c r="K12" s="268" t="n"/>
      <c r="L12" s="268" t="n">
        <v>6221.4</v>
      </c>
      <c r="M12" s="268" t="n"/>
      <c r="N12" s="268" t="n"/>
      <c r="O12" s="268" t="n"/>
      <c r="P12" s="268" t="n"/>
      <c r="Q12" s="268" t="n"/>
      <c r="R12" s="268" t="n"/>
      <c r="S12" s="268" t="n"/>
      <c r="T12" s="268" t="n"/>
      <c r="U12" s="268" t="n"/>
      <c r="V12" s="268" t="n"/>
      <c r="W12" s="268" t="n"/>
      <c r="X12" s="268" t="n"/>
      <c r="Y12" s="268" t="n"/>
      <c r="Z12" s="268" t="n"/>
      <c r="AA12" s="275" t="n"/>
      <c r="AB12" s="268" t="n"/>
      <c r="AC12" s="268" t="n"/>
      <c r="AD12" s="268" t="n"/>
      <c r="AE12" s="268" t="n"/>
      <c r="AF12" s="235">
        <f>SUM(B12:AE12)</f>
        <v/>
      </c>
    </row>
    <row r="13">
      <c r="A13" s="237" t="inlineStr">
        <is>
          <t>LB Hillingdon - Supported Living</t>
        </is>
      </c>
      <c r="B13" s="268" t="n"/>
      <c r="C13" s="268" t="n"/>
      <c r="D13" s="268" t="n"/>
      <c r="E13" s="268" t="n"/>
      <c r="F13" s="268" t="n"/>
      <c r="G13" s="268" t="n"/>
      <c r="H13" s="268" t="n"/>
      <c r="I13" s="275" t="n"/>
      <c r="J13" s="268" t="n"/>
      <c r="K13" s="268" t="n"/>
      <c r="L13" s="268" t="n">
        <v>5203.8</v>
      </c>
      <c r="M13" s="268" t="n"/>
      <c r="N13" s="268" t="n"/>
      <c r="O13" s="268" t="n"/>
      <c r="P13" s="268" t="n"/>
      <c r="Q13" s="268" t="n"/>
      <c r="R13" s="268" t="n"/>
      <c r="S13" s="268" t="n"/>
      <c r="T13" s="268" t="n"/>
      <c r="U13" s="268" t="n"/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35">
        <f>SUM(B13:AE13)</f>
        <v/>
      </c>
    </row>
    <row r="14">
      <c r="A14" s="237" t="inlineStr">
        <is>
          <t>NHS Birmingham &amp; Solihull ICB</t>
        </is>
      </c>
      <c r="B14" s="268" t="n"/>
      <c r="C14" s="268" t="n"/>
      <c r="D14" s="268" t="n"/>
      <c r="E14" s="268" t="n">
        <v>7814.17</v>
      </c>
      <c r="F14" s="268" t="n"/>
      <c r="G14" s="268" t="n"/>
      <c r="H14" s="268" t="n"/>
      <c r="I14" s="268" t="n">
        <v>2091.66</v>
      </c>
      <c r="J14" s="268" t="n"/>
      <c r="K14" s="268" t="n"/>
      <c r="L14" s="268" t="n"/>
      <c r="M14" s="268" t="n"/>
      <c r="N14" s="268" t="n"/>
      <c r="O14" s="268" t="n"/>
      <c r="P14" s="268" t="n"/>
      <c r="Q14" s="268" t="n"/>
      <c r="R14" s="268" t="n"/>
      <c r="S14" s="268" t="n"/>
      <c r="T14" s="268" t="n"/>
      <c r="U14" s="268" t="n"/>
      <c r="V14" s="268" t="n"/>
      <c r="W14" s="268" t="n"/>
      <c r="X14" s="268" t="n"/>
      <c r="Y14" s="268" t="n"/>
      <c r="Z14" s="268" t="n"/>
      <c r="AA14" s="275" t="n"/>
      <c r="AB14" s="268" t="n"/>
      <c r="AC14" s="268" t="n"/>
      <c r="AD14" s="268" t="n"/>
      <c r="AE14" s="268" t="n"/>
      <c r="AF14" s="235">
        <f>SUM(B14:AE14)</f>
        <v/>
      </c>
    </row>
    <row r="15">
      <c r="A15" s="237" t="inlineStr">
        <is>
          <t>NHS Black Country ICB</t>
        </is>
      </c>
      <c r="B15" s="268" t="n">
        <v>3789.84</v>
      </c>
      <c r="C15" s="268" t="n"/>
      <c r="D15" s="268" t="n"/>
      <c r="E15" s="268" t="n"/>
      <c r="F15" s="268" t="n"/>
      <c r="G15" s="268" t="n"/>
      <c r="H15" s="268" t="n"/>
      <c r="I15" s="268" t="n"/>
      <c r="J15" s="268" t="n"/>
      <c r="K15" s="268" t="n">
        <v>5928.26</v>
      </c>
      <c r="L15" s="268" t="n"/>
      <c r="M15" s="268" t="n"/>
      <c r="N15" s="268" t="n"/>
      <c r="O15" s="268" t="n"/>
      <c r="P15" s="275" t="n"/>
      <c r="Q15" s="268" t="n"/>
      <c r="R15" s="268" t="n"/>
      <c r="S15" s="268" t="n"/>
      <c r="T15" s="268" t="n"/>
      <c r="U15" s="268" t="n"/>
      <c r="V15" s="268" t="n"/>
      <c r="W15" s="268" t="n"/>
      <c r="X15" s="268" t="n"/>
      <c r="Y15" s="268" t="n"/>
      <c r="Z15" s="268" t="n">
        <v>3363.36</v>
      </c>
      <c r="AA15" s="268" t="n"/>
      <c r="AB15" s="268" t="n"/>
      <c r="AC15" s="268" t="n"/>
      <c r="AD15" s="268" t="n"/>
      <c r="AE15" s="268" t="n"/>
      <c r="AF15" s="235">
        <f>SUM(B15:AE15)</f>
        <v/>
      </c>
    </row>
    <row r="16">
      <c r="A16" s="237" t="inlineStr">
        <is>
          <t>Sandwell - HB</t>
        </is>
      </c>
      <c r="B16" s="268" t="n"/>
      <c r="C16" s="268" t="n"/>
      <c r="D16" s="268" t="n"/>
      <c r="E16" s="268" t="n"/>
      <c r="F16" s="268" t="n"/>
      <c r="G16" s="268" t="n"/>
      <c r="H16" s="268" t="n"/>
      <c r="I16" s="268" t="n"/>
      <c r="J16" s="268" t="n"/>
      <c r="K16" s="268" t="n"/>
      <c r="L16" s="268" t="n"/>
      <c r="M16" s="268" t="n"/>
      <c r="N16" s="268" t="n"/>
      <c r="O16" s="268" t="n"/>
      <c r="P16" s="268" t="n"/>
      <c r="Q16" s="268" t="n"/>
      <c r="R16" s="268" t="n"/>
      <c r="S16" s="268" t="n"/>
      <c r="T16" s="268" t="n"/>
      <c r="U16" s="268" t="n"/>
      <c r="V16" s="268" t="n"/>
      <c r="W16" s="268" t="n">
        <v>380</v>
      </c>
      <c r="X16" s="268" t="n"/>
      <c r="Y16" s="268" t="n"/>
      <c r="Z16" s="268" t="n"/>
      <c r="AA16" s="268" t="n"/>
      <c r="AB16" s="268" t="n"/>
      <c r="AC16" s="268" t="n"/>
      <c r="AD16" s="268" t="n"/>
      <c r="AE16" s="268" t="n"/>
      <c r="AF16" s="235">
        <f>SUM(B16:AE16)</f>
        <v/>
      </c>
    </row>
    <row r="17">
      <c r="A17" s="237" t="inlineStr">
        <is>
          <t>Sandwell MBC - Supported Living</t>
        </is>
      </c>
      <c r="B17" s="268" t="n"/>
      <c r="C17" s="268" t="n"/>
      <c r="D17" s="268" t="n"/>
      <c r="E17" s="268" t="n"/>
      <c r="F17" s="268" t="n">
        <v>158792.17</v>
      </c>
      <c r="G17" s="268" t="n"/>
      <c r="H17" s="268" t="n"/>
      <c r="I17" s="275" t="n"/>
      <c r="J17" s="268" t="n">
        <v>131304.4</v>
      </c>
      <c r="K17" s="268" t="n"/>
      <c r="L17" s="268" t="n"/>
      <c r="M17" s="268" t="n"/>
      <c r="N17" s="268" t="n"/>
      <c r="O17" s="268" t="n"/>
      <c r="P17" s="268" t="n"/>
      <c r="Q17" s="268" t="n"/>
      <c r="R17" s="268" t="n"/>
      <c r="S17" s="268" t="n"/>
      <c r="T17" s="268" t="n">
        <v>158792.17</v>
      </c>
      <c r="U17" s="268" t="n"/>
      <c r="V17" s="268" t="n"/>
      <c r="W17" s="275" t="n"/>
      <c r="X17" s="268" t="n">
        <v>131304.4</v>
      </c>
      <c r="Y17" s="268" t="n"/>
      <c r="Z17" s="268" t="n"/>
      <c r="AA17" s="268" t="n"/>
      <c r="AB17" s="268" t="n"/>
      <c r="AC17" s="268" t="n"/>
      <c r="AD17" s="268" t="n"/>
      <c r="AE17" s="268" t="n"/>
      <c r="AF17" s="235">
        <f>SUM(B17:AE17)</f>
        <v/>
      </c>
    </row>
    <row r="18">
      <c r="A18" s="237" t="inlineStr">
        <is>
          <t>Solihull MBC - Supported Living</t>
        </is>
      </c>
      <c r="B18" s="268" t="n"/>
      <c r="C18" s="268" t="n"/>
      <c r="D18" s="268" t="n"/>
      <c r="E18" s="268" t="n"/>
      <c r="F18" s="268" t="n"/>
      <c r="G18" s="268" t="n"/>
      <c r="H18" s="268" t="n"/>
      <c r="I18" s="268" t="n"/>
      <c r="J18" s="268" t="n"/>
      <c r="K18" s="268" t="n"/>
      <c r="L18" s="268" t="n"/>
      <c r="M18" s="268" t="n"/>
      <c r="N18" s="268" t="n"/>
      <c r="O18" s="268" t="n"/>
      <c r="P18" s="275" t="n">
        <v>33639.34</v>
      </c>
      <c r="Q18" s="268" t="n"/>
      <c r="R18" s="268" t="n"/>
      <c r="S18" s="268" t="n"/>
      <c r="T18" s="268" t="n"/>
      <c r="U18" s="268" t="n"/>
      <c r="V18" s="268" t="n"/>
      <c r="W18" s="268" t="n"/>
      <c r="X18" s="268" t="n"/>
      <c r="Y18" s="268" t="n"/>
      <c r="Z18" s="268" t="n"/>
      <c r="AA18" s="268" t="n"/>
      <c r="AB18" s="268" t="n"/>
      <c r="AC18" s="268" t="n"/>
      <c r="AD18" s="268" t="n"/>
      <c r="AE18" s="268" t="n"/>
      <c r="AF18" s="235">
        <f>SUM(B18:AE18)</f>
        <v/>
      </c>
    </row>
    <row r="19">
      <c r="A19" s="237" t="inlineStr">
        <is>
          <t>Walsall - Supported Living</t>
        </is>
      </c>
      <c r="B19" s="268" t="n"/>
      <c r="C19" s="275" t="n">
        <v>343077.42</v>
      </c>
      <c r="D19" s="268" t="n"/>
      <c r="E19" s="268" t="n"/>
      <c r="F19" s="268" t="n"/>
      <c r="G19" s="268" t="n"/>
      <c r="H19" s="268" t="n"/>
      <c r="I19" s="268" t="n"/>
      <c r="J19" s="268" t="n"/>
      <c r="K19" s="268" t="n"/>
      <c r="L19" s="268" t="n"/>
      <c r="M19" s="268" t="n"/>
      <c r="N19" s="268" t="n"/>
      <c r="O19" s="268" t="n"/>
      <c r="P19" s="268" t="n"/>
      <c r="Q19" s="268" t="n"/>
      <c r="R19" s="268" t="n"/>
      <c r="S19" s="268" t="n"/>
      <c r="T19" s="268" t="n"/>
      <c r="U19" s="268" t="n"/>
      <c r="V19" s="268" t="n"/>
      <c r="W19" s="268" t="n"/>
      <c r="X19" s="268" t="n"/>
      <c r="Y19" s="268" t="n"/>
      <c r="Z19" s="268" t="n"/>
      <c r="AA19" s="268" t="n"/>
      <c r="AB19" s="268" t="n"/>
      <c r="AC19" s="268" t="n"/>
      <c r="AD19" s="268" t="n"/>
      <c r="AE19" s="275" t="n">
        <v>343077.42</v>
      </c>
      <c r="AF19" s="235">
        <f>SUM(B19:AE19)</f>
        <v/>
      </c>
    </row>
    <row r="20">
      <c r="A20" s="237" t="inlineStr">
        <is>
          <t>Wolverhampton - Supported Living</t>
        </is>
      </c>
      <c r="B20" s="268" t="n"/>
      <c r="C20" s="268" t="n"/>
      <c r="D20" s="268" t="n"/>
      <c r="E20" s="275" t="n">
        <v>140800.84</v>
      </c>
      <c r="F20" s="268" t="n"/>
      <c r="G20" s="268" t="n"/>
      <c r="H20" s="268" t="n"/>
      <c r="I20" s="268" t="n"/>
      <c r="J20" s="268" t="n"/>
      <c r="K20" s="268" t="n"/>
      <c r="L20" s="275" t="n">
        <v>140800.84</v>
      </c>
      <c r="M20" s="268" t="n"/>
      <c r="N20" s="268" t="n"/>
      <c r="O20" s="268" t="n"/>
      <c r="P20" s="268" t="n"/>
      <c r="Q20" s="268" t="n"/>
      <c r="R20" s="268" t="n"/>
      <c r="S20" s="275" t="n">
        <v>140800.84</v>
      </c>
      <c r="T20" s="268" t="n"/>
      <c r="U20" s="268" t="n"/>
      <c r="V20" s="268" t="n"/>
      <c r="W20" s="268" t="n"/>
      <c r="X20" s="268" t="n"/>
      <c r="Y20" s="268" t="n"/>
      <c r="Z20" s="275" t="n">
        <v>140800.84</v>
      </c>
      <c r="AA20" s="268" t="n"/>
      <c r="AB20" s="268" t="n"/>
      <c r="AC20" s="268" t="n"/>
      <c r="AD20" s="268" t="n"/>
      <c r="AE20" s="268" t="n"/>
      <c r="AF20" s="235">
        <f>SUM(B20:AE20)</f>
        <v/>
      </c>
    </row>
    <row r="21">
      <c r="A21" s="237" t="inlineStr">
        <is>
          <t>People Plus - Direct Payments</t>
        </is>
      </c>
      <c r="B21" s="275" t="n"/>
      <c r="C21" s="268" t="n"/>
      <c r="D21" s="268" t="n"/>
      <c r="E21" s="268" t="n"/>
      <c r="F21" s="268" t="n">
        <v>14051.2</v>
      </c>
      <c r="G21" s="268" t="n"/>
      <c r="H21" s="268" t="n"/>
      <c r="I21" s="268" t="n"/>
      <c r="J21" s="268" t="n"/>
      <c r="K21" s="268" t="n">
        <v>2870</v>
      </c>
      <c r="L21" s="268" t="n"/>
      <c r="M21" s="268" t="n"/>
      <c r="N21" s="268" t="n"/>
      <c r="O21" s="268" t="n"/>
      <c r="P21" s="268" t="n"/>
      <c r="Q21" s="268" t="n"/>
      <c r="R21" s="268" t="n"/>
      <c r="S21" s="268" t="n"/>
      <c r="T21" s="268" t="n"/>
      <c r="U21" s="268" t="n"/>
      <c r="V21" s="268" t="n"/>
      <c r="W21" s="268" t="n"/>
      <c r="X21" s="268" t="n"/>
      <c r="Y21" s="268" t="n"/>
      <c r="Z21" s="268" t="n"/>
      <c r="AA21" s="268" t="n"/>
      <c r="AB21" s="268" t="n"/>
      <c r="AC21" s="268" t="n"/>
      <c r="AD21" s="275" t="n"/>
      <c r="AE21" s="268" t="n"/>
      <c r="AF21" s="235">
        <f>SUM(B21:AE21)</f>
        <v/>
      </c>
    </row>
    <row r="22">
      <c r="A22" s="237" t="inlineStr">
        <is>
          <t>Middlesbrough - Supported Living</t>
        </is>
      </c>
      <c r="B22" s="268" t="n"/>
      <c r="C22" s="268" t="n"/>
      <c r="D22" s="268" t="n"/>
      <c r="E22" s="268" t="n"/>
      <c r="F22" s="268" t="n"/>
      <c r="G22" s="268" t="n">
        <v>6116.04</v>
      </c>
      <c r="H22" s="268" t="n"/>
      <c r="I22" s="268" t="n"/>
      <c r="J22" s="268" t="n"/>
      <c r="K22" s="268" t="n"/>
      <c r="L22" s="268" t="n"/>
      <c r="M22" s="268" t="n"/>
      <c r="N22" s="268" t="n"/>
      <c r="O22" s="268" t="n"/>
      <c r="P22" s="268" t="n"/>
      <c r="Q22" s="268" t="n"/>
      <c r="R22" s="268" t="n"/>
      <c r="S22" s="268" t="n"/>
      <c r="T22" s="275" t="n"/>
      <c r="U22" s="268" t="n"/>
      <c r="V22" s="268" t="n"/>
      <c r="W22" s="268" t="n"/>
      <c r="X22" s="268" t="n"/>
      <c r="Y22" s="268" t="n"/>
      <c r="Z22" s="268" t="n"/>
      <c r="AA22" s="268" t="n"/>
      <c r="AB22" s="268" t="n"/>
      <c r="AC22" s="268" t="n"/>
      <c r="AD22" s="268" t="n"/>
      <c r="AE22" s="268" t="n"/>
      <c r="AF22" s="235">
        <f>SUM(B22:AE22)</f>
        <v/>
      </c>
    </row>
    <row r="23">
      <c r="A23" s="237" t="inlineStr">
        <is>
          <t>Other HB and SC</t>
        </is>
      </c>
      <c r="B23" s="278" t="n">
        <v>4000</v>
      </c>
      <c r="C23" s="278" t="n">
        <v>4000</v>
      </c>
      <c r="D23" s="278" t="n">
        <v>4000</v>
      </c>
      <c r="E23" s="278" t="n">
        <v>4000</v>
      </c>
      <c r="F23" s="278" t="n">
        <v>4000</v>
      </c>
      <c r="G23" s="278" t="n">
        <v>4000</v>
      </c>
      <c r="H23" s="278" t="n">
        <v>4000</v>
      </c>
      <c r="I23" s="278" t="n">
        <v>4000</v>
      </c>
      <c r="J23" s="278" t="n">
        <v>4000</v>
      </c>
      <c r="K23" s="278" t="n">
        <v>4000</v>
      </c>
      <c r="L23" s="278" t="n">
        <v>4000</v>
      </c>
      <c r="M23" s="278" t="n">
        <v>4000</v>
      </c>
      <c r="N23" s="278" t="n">
        <v>4000</v>
      </c>
      <c r="O23" s="278" t="n">
        <v>4000</v>
      </c>
      <c r="P23" s="278" t="n">
        <v>4000</v>
      </c>
      <c r="Q23" s="278" t="n">
        <v>4000</v>
      </c>
      <c r="R23" s="278" t="n">
        <v>4000</v>
      </c>
      <c r="S23" s="278" t="n">
        <v>4000</v>
      </c>
      <c r="T23" s="278" t="n">
        <v>4000</v>
      </c>
      <c r="U23" s="278" t="n">
        <v>4000</v>
      </c>
      <c r="V23" s="278" t="n">
        <v>4000</v>
      </c>
      <c r="W23" s="278" t="n">
        <v>4000</v>
      </c>
      <c r="X23" s="278" t="n">
        <v>4000</v>
      </c>
      <c r="Y23" s="278" t="n">
        <v>4000</v>
      </c>
      <c r="Z23" s="278" t="n">
        <v>4000</v>
      </c>
      <c r="AA23" s="278" t="n">
        <v>4000</v>
      </c>
      <c r="AB23" s="278" t="n">
        <v>4000</v>
      </c>
      <c r="AC23" s="278" t="n">
        <v>4000</v>
      </c>
      <c r="AD23" s="278" t="n">
        <v>4000</v>
      </c>
      <c r="AE23" s="278" t="n">
        <v>4000</v>
      </c>
      <c r="AF23" s="235">
        <f>SUM(B23:AE23)</f>
        <v/>
      </c>
    </row>
    <row r="24">
      <c r="A24" s="242" t="inlineStr">
        <is>
          <t>TOTAL</t>
        </is>
      </c>
      <c r="B24" s="276">
        <f>SUM(B3:B26)</f>
        <v/>
      </c>
      <c r="C24" s="276">
        <f>SUM(C3:C26)</f>
        <v/>
      </c>
      <c r="D24" s="276">
        <f>SUM(D3:D26)</f>
        <v/>
      </c>
      <c r="E24" s="276">
        <f>SUM(E3:E26)</f>
        <v/>
      </c>
      <c r="F24" s="276">
        <f>SUM(F3:F26)</f>
        <v/>
      </c>
      <c r="G24" s="276">
        <f>SUM(G3:G26)</f>
        <v/>
      </c>
      <c r="H24" s="276">
        <f>SUM(H3:H26)</f>
        <v/>
      </c>
      <c r="I24" s="276">
        <f>SUM(I3:I26)</f>
        <v/>
      </c>
      <c r="J24" s="276">
        <f>SUM(J3:J26)</f>
        <v/>
      </c>
      <c r="K24" s="276">
        <f>SUM(K3:K26)</f>
        <v/>
      </c>
      <c r="L24" s="276">
        <f>SUM(L3:L26)</f>
        <v/>
      </c>
      <c r="M24" s="276">
        <f>SUM(M3:M26)</f>
        <v/>
      </c>
      <c r="N24" s="276">
        <f>SUM(N3:N26)</f>
        <v/>
      </c>
      <c r="O24" s="276">
        <f>SUM(O3:O26)</f>
        <v/>
      </c>
      <c r="P24" s="276">
        <f>SUM(P3:P26)</f>
        <v/>
      </c>
      <c r="Q24" s="276">
        <f>SUM(Q3:Q26)</f>
        <v/>
      </c>
      <c r="R24" s="276">
        <f>SUM(R3:R26)</f>
        <v/>
      </c>
      <c r="S24" s="276">
        <f>SUM(S3:S26)</f>
        <v/>
      </c>
      <c r="T24" s="276">
        <f>SUM(T3:T26)</f>
        <v/>
      </c>
      <c r="U24" s="276">
        <f>SUM(U3:U26)</f>
        <v/>
      </c>
      <c r="V24" s="276">
        <f>SUM(V3:V26)</f>
        <v/>
      </c>
      <c r="W24" s="276">
        <f>SUM(W3:W26)</f>
        <v/>
      </c>
      <c r="X24" s="276">
        <f>SUM(X3:X26)</f>
        <v/>
      </c>
      <c r="Y24" s="276">
        <f>SUM(Y3:Y26)</f>
        <v/>
      </c>
      <c r="Z24" s="276">
        <f>SUM(Z3:Z26)</f>
        <v/>
      </c>
      <c r="AA24" s="276">
        <f>SUM(AA3:AA26)</f>
        <v/>
      </c>
      <c r="AB24" s="276">
        <f>SUM(AB3:AB26)</f>
        <v/>
      </c>
      <c r="AC24" s="276">
        <f>SUM(AC3:AC26)</f>
        <v/>
      </c>
      <c r="AD24" s="276">
        <f>SUM(AD3:AD26)</f>
        <v/>
      </c>
      <c r="AE24" s="276">
        <f>SUM(AE3:AE26)</f>
        <v/>
      </c>
      <c r="AF24" s="235">
        <f>SUM(#REF!)</f>
        <v/>
      </c>
    </row>
    <row r="28">
      <c r="A28" s="237" t="n"/>
      <c r="AF28" s="235" t="n"/>
    </row>
    <row r="29">
      <c r="A29" s="237" t="n"/>
      <c r="AF29" s="235" t="n"/>
    </row>
    <row r="30">
      <c r="A30" s="237" t="n"/>
      <c r="AF30" s="235" t="n"/>
    </row>
    <row r="31">
      <c r="A31" s="237" t="n"/>
      <c r="AF31" s="235" t="n"/>
    </row>
    <row r="32">
      <c r="A32" s="237" t="n"/>
      <c r="AF32" s="235" t="n"/>
    </row>
    <row r="33">
      <c r="A33" s="237" t="n"/>
      <c r="AF33" s="235" t="n"/>
    </row>
    <row r="34">
      <c r="A34" s="237" t="n"/>
      <c r="AF34" s="235" t="n"/>
    </row>
    <row r="35">
      <c r="A35" s="237" t="n"/>
      <c r="AF35" s="235" t="n"/>
    </row>
    <row r="36">
      <c r="A36" s="237" t="n"/>
      <c r="AF36" s="235" t="n"/>
    </row>
    <row r="37">
      <c r="A37" s="237" t="n"/>
      <c r="AF37" s="235" t="n"/>
    </row>
    <row r="38">
      <c r="A38" s="237" t="n"/>
      <c r="AF38" s="235" t="n"/>
    </row>
    <row r="39">
      <c r="A39" s="237" t="n"/>
      <c r="AF39" s="235" t="n"/>
    </row>
    <row r="40">
      <c r="A40" s="237" t="n"/>
      <c r="AF40" s="235" t="n"/>
    </row>
    <row r="41">
      <c r="A41" s="237" t="n"/>
      <c r="AF41" s="235" t="n"/>
    </row>
    <row r="42">
      <c r="A42" s="237" t="n"/>
      <c r="AF42" s="235" t="n"/>
    </row>
    <row r="43">
      <c r="A43" s="237" t="n"/>
      <c r="AF43" s="235" t="n"/>
    </row>
    <row r="44">
      <c r="A44" s="237" t="n"/>
      <c r="AF44" s="235" t="n"/>
    </row>
    <row r="45">
      <c r="A45" s="237" t="n"/>
      <c r="AF45" s="235" t="n"/>
    </row>
    <row r="46">
      <c r="A46" s="237" t="n"/>
      <c r="AF46" s="235" t="n"/>
    </row>
    <row r="47">
      <c r="A47" s="237" t="n"/>
      <c r="AF47" s="235" t="n"/>
    </row>
    <row r="48">
      <c r="A48" s="237" t="n"/>
      <c r="AF48" s="235" t="n"/>
    </row>
    <row r="49">
      <c r="A49" s="237" t="n"/>
      <c r="AF49" s="235" t="n"/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 codeName="Sheet9">
    <outlinePr summaryBelow="1" summaryRight="1"/>
    <pageSetUpPr/>
  </sheetPr>
  <dimension ref="A1:H38"/>
  <sheetViews>
    <sheetView workbookViewId="0">
      <selection activeCell="K27" sqref="K27"/>
    </sheetView>
  </sheetViews>
  <sheetFormatPr baseColWidth="8" defaultRowHeight="15"/>
  <cols>
    <col width="10.140625" bestFit="1" customWidth="1" min="5" max="6"/>
  </cols>
  <sheetData>
    <row r="1">
      <c r="A1" s="36" t="inlineStr">
        <is>
          <t>Site</t>
        </is>
      </c>
      <c r="B1" s="36" t="inlineStr">
        <is>
          <t xml:space="preserve">Resident </t>
        </is>
      </c>
      <c r="C1" s="37" t="inlineStr">
        <is>
          <t>Weekly care hours</t>
        </is>
      </c>
      <c r="D1" s="37" t="inlineStr">
        <is>
          <t xml:space="preserve">LA Rate </t>
        </is>
      </c>
      <c r="E1" s="37" t="inlineStr">
        <is>
          <t xml:space="preserve">Weekly care fee </t>
        </is>
      </c>
      <c r="F1" s="37" t="n"/>
      <c r="G1" s="37" t="inlineStr">
        <is>
          <t>Authority Funding</t>
        </is>
      </c>
      <c r="H1" s="38" t="inlineStr">
        <is>
          <t>Total Weekly Income</t>
        </is>
      </c>
    </row>
    <row r="2">
      <c r="A2" s="39" t="inlineStr">
        <is>
          <t>All Saints Way</t>
        </is>
      </c>
      <c r="B2" s="40" t="inlineStr">
        <is>
          <t>Liam Jones</t>
        </is>
      </c>
      <c r="C2" s="40" t="n">
        <v>186</v>
      </c>
      <c r="D2" s="279" t="n">
        <v>17</v>
      </c>
      <c r="E2" s="279" t="n"/>
      <c r="F2" s="279" t="n"/>
      <c r="G2" s="42" t="inlineStr">
        <is>
          <t>Walsall</t>
        </is>
      </c>
      <c r="H2" s="279" t="n">
        <v>3302</v>
      </c>
    </row>
    <row r="3">
      <c r="A3" s="43" t="inlineStr">
        <is>
          <t>Beeches Rd</t>
        </is>
      </c>
      <c r="B3" s="43" t="inlineStr">
        <is>
          <t xml:space="preserve">Louise Dale </t>
        </is>
      </c>
      <c r="C3" s="43" t="n">
        <v>85.8</v>
      </c>
      <c r="D3" s="280" t="n">
        <v>17</v>
      </c>
      <c r="E3" s="280" t="n"/>
      <c r="F3" s="280" t="n"/>
      <c r="G3" s="45" t="inlineStr">
        <is>
          <t>Walsall</t>
        </is>
      </c>
      <c r="H3" s="280" t="n">
        <v>1598.6</v>
      </c>
    </row>
    <row r="4">
      <c r="A4" s="39" t="inlineStr">
        <is>
          <t>Chester Road</t>
        </is>
      </c>
      <c r="B4" s="39" t="inlineStr">
        <is>
          <t>Glen Framingheddu</t>
        </is>
      </c>
      <c r="C4" s="39" t="n">
        <v>114.48</v>
      </c>
      <c r="D4" s="279" t="n">
        <v>17</v>
      </c>
      <c r="E4" s="279" t="n">
        <v>1946.16</v>
      </c>
      <c r="F4" s="279" t="n">
        <v>1904.28</v>
      </c>
      <c r="G4" s="42" t="inlineStr">
        <is>
          <t>Walsall</t>
        </is>
      </c>
      <c r="H4" s="279" t="n">
        <v>2101.16</v>
      </c>
    </row>
    <row r="5">
      <c r="A5" s="43" t="inlineStr">
        <is>
          <t>Chester Road</t>
        </is>
      </c>
      <c r="B5" s="43" t="inlineStr">
        <is>
          <t xml:space="preserve">Amy Gledhil </t>
        </is>
      </c>
      <c r="C5" s="43" t="n">
        <v>64.3</v>
      </c>
      <c r="D5" s="280" t="n">
        <v>17</v>
      </c>
      <c r="E5" s="280" t="n">
        <v>1093.1</v>
      </c>
      <c r="F5" s="280" t="n">
        <v>1071.56</v>
      </c>
      <c r="G5" s="45" t="inlineStr">
        <is>
          <t>Walsall</t>
        </is>
      </c>
      <c r="H5" s="280" t="n">
        <v>1248.1</v>
      </c>
    </row>
    <row r="6">
      <c r="A6" s="39" t="inlineStr">
        <is>
          <t>Chester Road</t>
        </is>
      </c>
      <c r="B6" s="39" t="inlineStr">
        <is>
          <t>Martin Crimmons</t>
        </is>
      </c>
      <c r="C6" s="39" t="n">
        <v>143.11</v>
      </c>
      <c r="D6" s="279" t="n">
        <v>17</v>
      </c>
      <c r="E6" s="279" t="n">
        <v>2432.87</v>
      </c>
      <c r="F6" s="279" t="n">
        <v>2380.28</v>
      </c>
      <c r="G6" s="42" t="inlineStr">
        <is>
          <t>Walsall</t>
        </is>
      </c>
      <c r="H6" s="279" t="n">
        <v>2587.87</v>
      </c>
    </row>
    <row r="7">
      <c r="A7" s="43" t="inlineStr">
        <is>
          <t>Chester Road</t>
        </is>
      </c>
      <c r="B7" s="43" t="inlineStr">
        <is>
          <t>Rashid Hussain</t>
        </is>
      </c>
      <c r="C7" s="43" t="n">
        <v>114.14</v>
      </c>
      <c r="D7" s="280" t="n">
        <v>17</v>
      </c>
      <c r="E7" s="280" t="n">
        <v>1940.38</v>
      </c>
      <c r="F7" s="280" t="n">
        <v>1898.66</v>
      </c>
      <c r="G7" s="45" t="inlineStr">
        <is>
          <t>Walsall</t>
        </is>
      </c>
      <c r="H7" s="280" t="n">
        <v>2095.38</v>
      </c>
    </row>
    <row r="8">
      <c r="A8" s="39" t="inlineStr">
        <is>
          <t>Chester Road</t>
        </is>
      </c>
      <c r="B8" s="39" t="inlineStr">
        <is>
          <t>Scott Tolley</t>
        </is>
      </c>
      <c r="C8" s="39" t="n">
        <v>121.21</v>
      </c>
      <c r="D8" s="279" t="n">
        <v>17</v>
      </c>
      <c r="E8" s="279" t="n">
        <v>2060.57</v>
      </c>
      <c r="F8" s="279" t="n">
        <v>2006.28</v>
      </c>
      <c r="G8" s="42" t="inlineStr">
        <is>
          <t>Walsall</t>
        </is>
      </c>
      <c r="H8" s="279" t="n">
        <v>2215.57</v>
      </c>
    </row>
    <row r="9">
      <c r="A9" s="43" t="inlineStr">
        <is>
          <t>Chester Road</t>
        </is>
      </c>
      <c r="B9" s="46" t="inlineStr">
        <is>
          <t>Christian Lavender - Non Term time</t>
        </is>
      </c>
      <c r="C9" s="43" t="n">
        <v>193</v>
      </c>
      <c r="D9" s="280" t="n">
        <v>17</v>
      </c>
      <c r="E9" s="280" t="n">
        <v>2981.16</v>
      </c>
      <c r="F9" s="280" t="n">
        <v>3332</v>
      </c>
      <c r="G9" s="45" t="inlineStr">
        <is>
          <t>Walsall</t>
        </is>
      </c>
      <c r="H9" s="280" t="n">
        <v>3136.16</v>
      </c>
    </row>
    <row r="10">
      <c r="A10" s="39" t="inlineStr">
        <is>
          <t>Doverage Rd</t>
        </is>
      </c>
      <c r="B10" s="47" t="inlineStr">
        <is>
          <t xml:space="preserve">Laura Neal </t>
        </is>
      </c>
      <c r="C10" s="39" t="n">
        <v>53</v>
      </c>
      <c r="D10" s="279" t="n">
        <v>17</v>
      </c>
      <c r="E10" s="279" t="n">
        <v>823.87</v>
      </c>
      <c r="F10" s="279" t="n">
        <v>901.28</v>
      </c>
      <c r="G10" s="42" t="inlineStr">
        <is>
          <t>Walsall</t>
        </is>
      </c>
      <c r="H10" s="279" t="n">
        <v>963.87</v>
      </c>
    </row>
    <row r="11">
      <c r="A11" s="43" t="inlineStr">
        <is>
          <t>Doverage Rd</t>
        </is>
      </c>
      <c r="B11" s="48" t="inlineStr">
        <is>
          <t>Kent Ills</t>
        </is>
      </c>
      <c r="C11" s="43" t="n">
        <v>77</v>
      </c>
      <c r="D11" s="280" t="n">
        <v>17</v>
      </c>
      <c r="E11" s="280" t="n"/>
      <c r="F11" s="280" t="n"/>
      <c r="G11" s="45" t="inlineStr">
        <is>
          <t>Walsall</t>
        </is>
      </c>
      <c r="H11" s="280" t="n">
        <v>1449</v>
      </c>
    </row>
    <row r="12">
      <c r="A12" s="39" t="inlineStr">
        <is>
          <t>Doverage Rd</t>
        </is>
      </c>
      <c r="B12" s="47" t="inlineStr">
        <is>
          <t>Samanth Holmes</t>
        </is>
      </c>
      <c r="C12" s="39" t="n">
        <v>64</v>
      </c>
      <c r="D12" s="279" t="n">
        <v>17</v>
      </c>
      <c r="E12" s="279" t="n">
        <v>1088</v>
      </c>
      <c r="F12" s="279" t="n">
        <v>1071.56</v>
      </c>
      <c r="G12" s="42" t="inlineStr">
        <is>
          <t>Walsall</t>
        </is>
      </c>
      <c r="H12" s="279" t="n">
        <v>1228</v>
      </c>
    </row>
    <row r="13">
      <c r="A13" s="43" t="inlineStr">
        <is>
          <t>Doverage Rd</t>
        </is>
      </c>
      <c r="B13" s="48" t="inlineStr">
        <is>
          <t xml:space="preserve">Phoebe Stanley </t>
        </is>
      </c>
      <c r="C13" s="43" t="n">
        <v>50.14</v>
      </c>
      <c r="D13" s="280" t="n">
        <v>17</v>
      </c>
      <c r="E13" s="280" t="n">
        <v>852.38</v>
      </c>
      <c r="F13" s="280" t="n">
        <v>833.87</v>
      </c>
      <c r="G13" s="45" t="inlineStr">
        <is>
          <t>Walsall</t>
        </is>
      </c>
      <c r="H13" s="280" t="n">
        <v>992.38</v>
      </c>
    </row>
    <row r="14">
      <c r="A14" s="39" t="inlineStr">
        <is>
          <t>Doverage Rd</t>
        </is>
      </c>
      <c r="B14" s="47" t="inlineStr">
        <is>
          <t xml:space="preserve">Peter Harris </t>
        </is>
      </c>
      <c r="C14" s="39" t="n">
        <v>26.8</v>
      </c>
      <c r="D14" s="279" t="n">
        <v>17</v>
      </c>
      <c r="E14" s="279" t="n">
        <v>455.6</v>
      </c>
      <c r="F14" s="279" t="n">
        <v>446.25</v>
      </c>
      <c r="G14" s="42" t="inlineStr">
        <is>
          <t>Walsall</t>
        </is>
      </c>
      <c r="H14" s="279" t="n">
        <v>595.6</v>
      </c>
    </row>
    <row r="15">
      <c r="A15" s="43" t="inlineStr">
        <is>
          <t>Doverage Rd</t>
        </is>
      </c>
      <c r="B15" s="49" t="inlineStr">
        <is>
          <t>Joshua Marshall</t>
        </is>
      </c>
      <c r="C15" s="43" t="n">
        <v>63</v>
      </c>
      <c r="D15" s="280" t="n">
        <v>17</v>
      </c>
      <c r="E15" s="280" t="n">
        <v>979.09</v>
      </c>
      <c r="F15" s="280" t="n">
        <v>1071.56</v>
      </c>
      <c r="G15" s="45" t="inlineStr">
        <is>
          <t>Walsall</t>
        </is>
      </c>
      <c r="H15" s="280" t="n">
        <v>1119.09</v>
      </c>
    </row>
    <row r="16">
      <c r="A16" s="39" t="inlineStr">
        <is>
          <t>Doverage Rd</t>
        </is>
      </c>
      <c r="B16" s="47" t="inlineStr">
        <is>
          <t>Linda Smith</t>
        </is>
      </c>
      <c r="C16" s="39" t="n">
        <v>50</v>
      </c>
      <c r="D16" s="279" t="n">
        <v>17</v>
      </c>
      <c r="E16" s="279" t="n">
        <v>777.03</v>
      </c>
      <c r="F16" s="279" t="n">
        <v>850.47</v>
      </c>
      <c r="G16" s="42" t="inlineStr">
        <is>
          <t>Walsall</t>
        </is>
      </c>
      <c r="H16" s="279" t="n">
        <v>917.03</v>
      </c>
    </row>
    <row r="17">
      <c r="A17" s="43" t="inlineStr">
        <is>
          <t>Doverage Rd</t>
        </is>
      </c>
      <c r="B17" s="48" t="inlineStr">
        <is>
          <t>Kia Harvey</t>
        </is>
      </c>
      <c r="C17" s="43" t="n">
        <v>63</v>
      </c>
      <c r="D17" s="280" t="n">
        <v>17</v>
      </c>
      <c r="E17" s="280" t="n"/>
      <c r="F17" s="280" t="n"/>
      <c r="G17" s="45" t="inlineStr">
        <is>
          <t>Walsall</t>
        </is>
      </c>
      <c r="H17" s="280" t="n">
        <v>1484</v>
      </c>
    </row>
    <row r="18">
      <c r="A18" s="39" t="inlineStr">
        <is>
          <t>Fellows Rd</t>
        </is>
      </c>
      <c r="B18" s="39" t="inlineStr">
        <is>
          <t xml:space="preserve">Sarah Parkes </t>
        </is>
      </c>
      <c r="C18" s="39" t="n">
        <v>64.3</v>
      </c>
      <c r="D18" s="279" t="n">
        <v>17</v>
      </c>
      <c r="E18" s="279" t="n">
        <v>1093.1</v>
      </c>
      <c r="F18" s="279" t="n">
        <v>1071.56</v>
      </c>
      <c r="G18" s="45" t="inlineStr">
        <is>
          <t>Walsall</t>
        </is>
      </c>
      <c r="H18" s="279" t="n">
        <v>1233.1</v>
      </c>
    </row>
    <row r="19">
      <c r="A19" s="43" t="inlineStr">
        <is>
          <t>Greswold</t>
        </is>
      </c>
      <c r="B19" s="43" t="inlineStr">
        <is>
          <t>Ashlee Wallace</t>
        </is>
      </c>
      <c r="C19" s="43" t="n">
        <v>89.90000000000001</v>
      </c>
      <c r="D19" s="280" t="n">
        <v>17</v>
      </c>
      <c r="E19" s="280" t="n">
        <v>1528.98</v>
      </c>
      <c r="F19" s="280" t="n">
        <v>1496.4</v>
      </c>
      <c r="G19" s="45" t="inlineStr">
        <is>
          <t>Walsall</t>
        </is>
      </c>
      <c r="H19" s="280" t="n">
        <v>1668.98</v>
      </c>
    </row>
    <row r="20">
      <c r="A20" s="39" t="inlineStr">
        <is>
          <t>Hawbush</t>
        </is>
      </c>
      <c r="B20" s="39" t="inlineStr">
        <is>
          <t>Hittin Mystry</t>
        </is>
      </c>
      <c r="C20" s="39" t="n">
        <v>100</v>
      </c>
      <c r="D20" s="279" t="n">
        <v>17</v>
      </c>
      <c r="E20" s="279" t="n">
        <v>1700</v>
      </c>
      <c r="F20" s="279" t="n">
        <v>1666.49</v>
      </c>
      <c r="G20" s="42" t="inlineStr">
        <is>
          <t>Walsall</t>
        </is>
      </c>
      <c r="H20" s="279" t="n">
        <v>1855</v>
      </c>
    </row>
    <row r="21">
      <c r="A21" s="43" t="inlineStr">
        <is>
          <t>Hawbush</t>
        </is>
      </c>
      <c r="B21" s="43" t="inlineStr">
        <is>
          <t>Deborah Swain</t>
        </is>
      </c>
      <c r="C21" s="43" t="n">
        <v>91.5</v>
      </c>
      <c r="D21" s="280" t="n">
        <v>17</v>
      </c>
      <c r="E21" s="280" t="n">
        <v>1555.5</v>
      </c>
      <c r="F21" s="280" t="n">
        <v>1521.5</v>
      </c>
      <c r="G21" s="45" t="inlineStr">
        <is>
          <t>Walsall</t>
        </is>
      </c>
      <c r="H21" s="280" t="n">
        <v>1710.5</v>
      </c>
    </row>
    <row r="22">
      <c r="A22" s="39" t="inlineStr">
        <is>
          <t>Hawbush</t>
        </is>
      </c>
      <c r="B22" s="39" t="inlineStr">
        <is>
          <t>Robert Bate</t>
        </is>
      </c>
      <c r="C22" s="39" t="n">
        <v>61.3</v>
      </c>
      <c r="D22" s="279" t="n">
        <v>17</v>
      </c>
      <c r="E22" s="279" t="n">
        <v>1042.1</v>
      </c>
      <c r="F22" s="279" t="n">
        <v>1020</v>
      </c>
      <c r="G22" s="42" t="inlineStr">
        <is>
          <t>Walsall</t>
        </is>
      </c>
      <c r="H22" s="279" t="n">
        <v>1197.1</v>
      </c>
    </row>
    <row r="23">
      <c r="A23" s="43" t="inlineStr">
        <is>
          <t>Hawbush</t>
        </is>
      </c>
      <c r="B23" s="43" t="inlineStr">
        <is>
          <t>Sawarnjit Kumar</t>
        </is>
      </c>
      <c r="C23" s="43" t="n">
        <v>85.8</v>
      </c>
      <c r="D23" s="280" t="n">
        <v>17</v>
      </c>
      <c r="E23" s="280" t="n"/>
      <c r="G23" s="45" t="inlineStr">
        <is>
          <t>Walsall</t>
        </is>
      </c>
      <c r="H23" s="280" t="n">
        <v>1613.6</v>
      </c>
    </row>
    <row r="24">
      <c r="A24" s="39" t="inlineStr">
        <is>
          <t>Hawbush</t>
        </is>
      </c>
      <c r="B24" s="39" t="inlineStr">
        <is>
          <t xml:space="preserve">Ryan Oakes </t>
        </is>
      </c>
      <c r="C24" s="39" t="n">
        <v>103.7</v>
      </c>
      <c r="D24" s="279" t="n">
        <v>17</v>
      </c>
      <c r="E24" s="279" t="n">
        <v>1762.9</v>
      </c>
      <c r="F24" s="280" t="n">
        <v>1726.6</v>
      </c>
      <c r="G24" s="42" t="inlineStr">
        <is>
          <t>Walsall</t>
        </is>
      </c>
      <c r="H24" s="279" t="n">
        <v>1917.9</v>
      </c>
    </row>
    <row r="25">
      <c r="A25" s="43" t="inlineStr">
        <is>
          <t>Himley Rd</t>
        </is>
      </c>
      <c r="B25" s="43" t="inlineStr">
        <is>
          <t xml:space="preserve">Andrew Hands </t>
        </is>
      </c>
      <c r="C25" s="43" t="n">
        <v>117</v>
      </c>
      <c r="D25" s="280" t="n">
        <v>17</v>
      </c>
      <c r="E25" s="280" t="n">
        <v>2019.57</v>
      </c>
      <c r="F25" s="280" t="n">
        <v>1836.98</v>
      </c>
      <c r="G25" s="45" t="inlineStr">
        <is>
          <t>Walsall</t>
        </is>
      </c>
      <c r="H25" s="280" t="n">
        <v>2159.57</v>
      </c>
    </row>
    <row r="26">
      <c r="A26" s="39" t="inlineStr">
        <is>
          <t>Himley Rd</t>
        </is>
      </c>
      <c r="B26" s="39" t="inlineStr">
        <is>
          <t>Shanaz Begum</t>
        </is>
      </c>
      <c r="C26" s="39" t="n">
        <v>99.98</v>
      </c>
      <c r="D26" s="279" t="n">
        <v>17</v>
      </c>
      <c r="E26" s="279" t="n">
        <v>1554.71</v>
      </c>
      <c r="F26" s="279" t="n">
        <v>1699.7</v>
      </c>
      <c r="G26" s="42" t="inlineStr">
        <is>
          <t>Walsall</t>
        </is>
      </c>
      <c r="H26" s="279" t="n">
        <v>1694.71</v>
      </c>
    </row>
    <row r="27">
      <c r="A27" s="43" t="inlineStr">
        <is>
          <t>Oberon</t>
        </is>
      </c>
      <c r="B27" s="43" t="inlineStr">
        <is>
          <t>Craig Elson</t>
        </is>
      </c>
      <c r="C27" s="43" t="n">
        <v>60.62</v>
      </c>
      <c r="D27" s="280" t="n">
        <v>17</v>
      </c>
      <c r="E27" s="280" t="n">
        <v>1030.54</v>
      </c>
      <c r="F27" s="280" t="n">
        <v>1009.18</v>
      </c>
      <c r="G27" s="45" t="inlineStr">
        <is>
          <t>Walsall</t>
        </is>
      </c>
      <c r="H27" s="280" t="n">
        <v>1170.54</v>
      </c>
    </row>
    <row r="28">
      <c r="A28" s="39" t="inlineStr">
        <is>
          <t>Oberon</t>
        </is>
      </c>
      <c r="B28" s="39" t="inlineStr">
        <is>
          <t>Rebecca Wilkins</t>
        </is>
      </c>
      <c r="C28" s="39" t="n">
        <v>72.8</v>
      </c>
      <c r="D28" s="279" t="n">
        <v>17</v>
      </c>
      <c r="E28" s="279" t="n">
        <v>1237.6</v>
      </c>
      <c r="F28" s="279" t="n">
        <v>1213.15</v>
      </c>
      <c r="G28" s="42" t="inlineStr">
        <is>
          <t>Walsall</t>
        </is>
      </c>
      <c r="H28" s="279" t="n">
        <v>1377.6</v>
      </c>
    </row>
    <row r="29">
      <c r="A29" s="43" t="inlineStr">
        <is>
          <t>Penns Lane</t>
        </is>
      </c>
      <c r="B29" s="43" t="inlineStr">
        <is>
          <t xml:space="preserve">Stella Smith </t>
        </is>
      </c>
      <c r="C29" s="43" t="n">
        <v>66.76000000000001</v>
      </c>
      <c r="D29" s="280" t="n">
        <v>17</v>
      </c>
      <c r="E29" s="280" t="n">
        <v>1134.92</v>
      </c>
      <c r="F29" s="280" t="n">
        <v>1043.17</v>
      </c>
      <c r="G29" s="45" t="inlineStr">
        <is>
          <t>walsall</t>
        </is>
      </c>
      <c r="H29" s="280" t="n">
        <v>1274.92</v>
      </c>
    </row>
    <row r="30">
      <c r="A30" s="39" t="inlineStr">
        <is>
          <t>Penns Lane</t>
        </is>
      </c>
      <c r="B30" s="39" t="inlineStr">
        <is>
          <t>Ryan Dawson</t>
        </is>
      </c>
      <c r="C30" s="39" t="n">
        <v>93</v>
      </c>
      <c r="D30" s="279" t="n">
        <v>17</v>
      </c>
      <c r="E30" s="279" t="n">
        <v>1581</v>
      </c>
      <c r="F30" s="279" t="n">
        <v>1071.56</v>
      </c>
      <c r="G30" s="42" t="inlineStr">
        <is>
          <t>Walsall</t>
        </is>
      </c>
      <c r="H30" s="279" t="n">
        <v>1721</v>
      </c>
    </row>
    <row r="31">
      <c r="A31" s="43" t="inlineStr">
        <is>
          <t>Penns Lane</t>
        </is>
      </c>
      <c r="B31" s="43" t="inlineStr">
        <is>
          <t>William Skyte - Term time</t>
        </is>
      </c>
      <c r="C31" s="43" t="n">
        <v>107</v>
      </c>
      <c r="D31" s="280" t="n">
        <v>17</v>
      </c>
      <c r="E31" s="280" t="n">
        <v>1819</v>
      </c>
      <c r="F31" s="280" t="n">
        <v>1785.56</v>
      </c>
      <c r="G31" s="45" t="inlineStr">
        <is>
          <t>walsall</t>
        </is>
      </c>
      <c r="H31" s="280" t="n">
        <v>1959</v>
      </c>
    </row>
    <row r="32">
      <c r="A32" s="39" t="inlineStr">
        <is>
          <t>Tiverton Rd</t>
        </is>
      </c>
      <c r="B32" s="39" t="inlineStr">
        <is>
          <t>Alexdaner Hamilton</t>
        </is>
      </c>
      <c r="C32" s="39" t="n">
        <v>56</v>
      </c>
      <c r="D32" s="279" t="n">
        <v>17</v>
      </c>
      <c r="E32" s="279" t="n">
        <v>870.24</v>
      </c>
      <c r="F32" s="279" t="n">
        <v>952.5599999999999</v>
      </c>
      <c r="G32" s="42" t="inlineStr">
        <is>
          <t>Walsall</t>
        </is>
      </c>
      <c r="H32" s="279" t="n">
        <v>1010.24</v>
      </c>
    </row>
    <row r="33">
      <c r="A33" s="43" t="n"/>
      <c r="B33" s="43" t="n"/>
      <c r="C33" s="43" t="n">
        <v>13569.75</v>
      </c>
      <c r="D33" s="43" t="n"/>
      <c r="E33" s="280">
        <f>SUM(E2:E32)</f>
        <v/>
      </c>
      <c r="F33" s="280">
        <f>SUM(F2:F32)</f>
        <v/>
      </c>
      <c r="G33" s="43" t="n"/>
      <c r="H33" s="280" t="n">
        <v>286734.62</v>
      </c>
    </row>
    <row r="34">
      <c r="A34" s="43" t="n"/>
      <c r="B34" s="43" t="n"/>
      <c r="C34" s="43" t="n"/>
      <c r="D34" s="43" t="n"/>
      <c r="E34" s="43" t="n"/>
      <c r="F34" s="43" t="n"/>
      <c r="G34" s="43" t="n"/>
      <c r="H34" s="280" t="n">
        <v>1269824.76</v>
      </c>
    </row>
    <row r="35">
      <c r="A35" s="43" t="n"/>
      <c r="B35" s="43" t="n"/>
      <c r="C35" s="43" t="n"/>
      <c r="D35" s="43" t="n"/>
      <c r="E35" s="43" t="n"/>
      <c r="F35" s="43" t="n"/>
      <c r="G35" s="43" t="n"/>
      <c r="H35" s="43" t="n"/>
    </row>
    <row r="36">
      <c r="A36" s="43" t="n"/>
      <c r="B36" s="43" t="n"/>
      <c r="C36" s="43" t="n"/>
      <c r="D36" s="43" t="n"/>
      <c r="E36" s="43" t="n"/>
      <c r="F36" s="43" t="n"/>
      <c r="G36" s="43" t="n"/>
      <c r="H36" s="43" t="n"/>
    </row>
    <row r="37">
      <c r="A37" s="43" t="n"/>
      <c r="B37" s="43" t="n"/>
      <c r="C37" s="43" t="n"/>
      <c r="D37" s="43" t="n"/>
      <c r="E37" s="43" t="n"/>
      <c r="F37" s="43" t="n"/>
      <c r="G37" s="43" t="n"/>
      <c r="H37" s="43" t="n"/>
    </row>
    <row r="38">
      <c r="A38" s="43" t="n"/>
      <c r="B38" s="43" t="n"/>
      <c r="C38" s="43" t="n"/>
      <c r="D38" s="43" t="n"/>
      <c r="E38" s="43" t="n"/>
      <c r="F38" s="43" t="n"/>
      <c r="G38" s="43" t="n"/>
      <c r="H38" s="43" t="n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>
  <sheetPr>
    <outlinePr summaryBelow="1" summaryRight="1"/>
    <pageSetUpPr/>
  </sheetPr>
  <dimension ref="A1:AG24"/>
  <sheetViews>
    <sheetView topLeftCell="P1" workbookViewId="0">
      <selection activeCell="P24" sqref="A24:XFD24"/>
    </sheetView>
  </sheetViews>
  <sheetFormatPr baseColWidth="8" defaultRowHeight="15"/>
  <cols>
    <col width="40" bestFit="1" customWidth="1" min="1" max="1"/>
    <col width="11.5703125" bestFit="1" customWidth="1" min="2" max="2"/>
    <col width="10.42578125" bestFit="1" customWidth="1" min="3" max="8"/>
    <col width="11.5703125" bestFit="1" customWidth="1" min="9" max="9"/>
    <col width="10.42578125" bestFit="1" customWidth="1" min="10" max="15"/>
    <col width="11.5703125" bestFit="1" customWidth="1" min="16" max="16"/>
    <col width="10.42578125" bestFit="1" customWidth="1" min="17" max="22"/>
    <col width="11.5703125" bestFit="1" customWidth="1" min="23" max="23"/>
    <col width="10.42578125" bestFit="1" customWidth="1" min="24" max="29"/>
    <col width="11.5703125" bestFit="1" customWidth="1" min="30" max="30"/>
    <col width="10.42578125" bestFit="1" customWidth="1" min="31" max="32"/>
    <col width="10.5703125" bestFit="1" customWidth="1" min="33" max="33"/>
  </cols>
  <sheetData>
    <row r="1">
      <c r="B1" s="249" t="inlineStr">
        <is>
          <t>Wednesday</t>
        </is>
      </c>
      <c r="C1" s="249" t="inlineStr">
        <is>
          <t>Thursday</t>
        </is>
      </c>
      <c r="D1" s="249" t="inlineStr">
        <is>
          <t>Friday</t>
        </is>
      </c>
      <c r="E1" s="249" t="inlineStr">
        <is>
          <t>Saturday</t>
        </is>
      </c>
      <c r="F1" s="249" t="inlineStr">
        <is>
          <t>Sunday</t>
        </is>
      </c>
      <c r="G1" s="249" t="inlineStr">
        <is>
          <t>Monday</t>
        </is>
      </c>
      <c r="H1" s="249" t="inlineStr">
        <is>
          <t>Tuesday</t>
        </is>
      </c>
      <c r="I1" s="249" t="inlineStr">
        <is>
          <t>Wednesday</t>
        </is>
      </c>
      <c r="J1" s="249" t="inlineStr">
        <is>
          <t>Thursday</t>
        </is>
      </c>
      <c r="K1" s="249" t="inlineStr">
        <is>
          <t>Friday</t>
        </is>
      </c>
      <c r="L1" s="249" t="inlineStr">
        <is>
          <t>Saturday</t>
        </is>
      </c>
      <c r="M1" s="249" t="inlineStr">
        <is>
          <t>Sunday</t>
        </is>
      </c>
      <c r="N1" s="249" t="inlineStr">
        <is>
          <t>Monday</t>
        </is>
      </c>
      <c r="O1" s="249" t="inlineStr">
        <is>
          <t>Tuesday</t>
        </is>
      </c>
      <c r="P1" s="249" t="inlineStr">
        <is>
          <t>Wednesday</t>
        </is>
      </c>
      <c r="Q1" s="249" t="inlineStr">
        <is>
          <t>Thursday</t>
        </is>
      </c>
      <c r="R1" s="249" t="inlineStr">
        <is>
          <t>Friday</t>
        </is>
      </c>
      <c r="S1" s="249" t="inlineStr">
        <is>
          <t>Saturday</t>
        </is>
      </c>
      <c r="T1" s="249" t="inlineStr">
        <is>
          <t>Sunday</t>
        </is>
      </c>
      <c r="U1" s="249" t="inlineStr">
        <is>
          <t>Monday</t>
        </is>
      </c>
      <c r="V1" s="249" t="inlineStr">
        <is>
          <t>Tuesday</t>
        </is>
      </c>
      <c r="W1" s="249" t="inlineStr">
        <is>
          <t>Wednesday</t>
        </is>
      </c>
      <c r="X1" s="249" t="inlineStr">
        <is>
          <t>Thursday</t>
        </is>
      </c>
      <c r="Y1" s="249" t="inlineStr">
        <is>
          <t>Friday</t>
        </is>
      </c>
      <c r="Z1" s="249" t="inlineStr">
        <is>
          <t>Saturday</t>
        </is>
      </c>
      <c r="AA1" s="249" t="inlineStr">
        <is>
          <t>Sunday</t>
        </is>
      </c>
      <c r="AB1" s="249" t="inlineStr">
        <is>
          <t>Monday</t>
        </is>
      </c>
      <c r="AC1" s="249" t="inlineStr">
        <is>
          <t>Tuesday</t>
        </is>
      </c>
      <c r="AD1" s="249" t="inlineStr">
        <is>
          <t>Wednesday</t>
        </is>
      </c>
      <c r="AE1" s="249" t="inlineStr">
        <is>
          <t>Thursday</t>
        </is>
      </c>
      <c r="AF1" s="249" t="inlineStr">
        <is>
          <t>Friday</t>
        </is>
      </c>
      <c r="AG1" s="249" t="inlineStr">
        <is>
          <t>Total</t>
        </is>
      </c>
    </row>
    <row r="2">
      <c r="B2" s="277" t="n">
        <v>46204</v>
      </c>
      <c r="C2" s="277" t="n">
        <v>46205</v>
      </c>
      <c r="D2" s="277" t="n">
        <v>46206</v>
      </c>
      <c r="E2" s="277" t="n">
        <v>46207</v>
      </c>
      <c r="F2" s="277" t="n">
        <v>46208</v>
      </c>
      <c r="G2" s="277" t="n">
        <v>46209</v>
      </c>
      <c r="H2" s="277" t="n">
        <v>46210</v>
      </c>
      <c r="I2" s="277" t="n">
        <v>46211</v>
      </c>
      <c r="J2" s="277" t="n">
        <v>46212</v>
      </c>
      <c r="K2" s="277" t="n">
        <v>46213</v>
      </c>
      <c r="L2" s="277" t="n">
        <v>46214</v>
      </c>
      <c r="M2" s="277" t="n">
        <v>46215</v>
      </c>
      <c r="N2" s="277" t="n">
        <v>46216</v>
      </c>
      <c r="O2" s="277" t="n">
        <v>46217</v>
      </c>
      <c r="P2" s="277" t="n">
        <v>46218</v>
      </c>
      <c r="Q2" s="277" t="n">
        <v>46219</v>
      </c>
      <c r="R2" s="277" t="n">
        <v>46220</v>
      </c>
      <c r="S2" s="277" t="n">
        <v>46221</v>
      </c>
      <c r="T2" s="277" t="n">
        <v>46222</v>
      </c>
      <c r="U2" s="277" t="n">
        <v>46223</v>
      </c>
      <c r="V2" s="277" t="n">
        <v>46224</v>
      </c>
      <c r="W2" s="277" t="n">
        <v>46225</v>
      </c>
      <c r="X2" s="277" t="n">
        <v>46226</v>
      </c>
      <c r="Y2" s="277" t="n">
        <v>46227</v>
      </c>
      <c r="Z2" s="277" t="n">
        <v>46228</v>
      </c>
      <c r="AA2" s="277" t="n">
        <v>46229</v>
      </c>
      <c r="AB2" s="277" t="n">
        <v>46230</v>
      </c>
      <c r="AC2" s="277" t="n">
        <v>46231</v>
      </c>
      <c r="AD2" s="277" t="n">
        <v>46232</v>
      </c>
      <c r="AE2" s="277" t="n">
        <v>46233</v>
      </c>
      <c r="AF2" s="277" t="n">
        <v>46234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J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C7" t="n">
        <v>930.65</v>
      </c>
      <c r="J7" t="n">
        <v>930.65</v>
      </c>
      <c r="Q7" t="n">
        <v>930.65</v>
      </c>
      <c r="X7" t="n">
        <v>930.65</v>
      </c>
      <c r="AE7" t="n">
        <v>930.65</v>
      </c>
      <c r="AG7" s="235">
        <f>SUM(B7:AF7)</f>
        <v/>
      </c>
    </row>
    <row r="8">
      <c r="A8" s="242" t="inlineStr">
        <is>
          <t>Wolverhampton - Daycare</t>
        </is>
      </c>
      <c r="C8" t="n">
        <v>5606.3</v>
      </c>
      <c r="J8" t="n">
        <v>5606.3</v>
      </c>
      <c r="Q8" t="n">
        <v>5606.3</v>
      </c>
      <c r="X8" t="n">
        <v>5606.3</v>
      </c>
      <c r="AE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W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J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J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C14" t="n">
        <v>7814.17</v>
      </c>
      <c r="G14" t="n">
        <v>2091.66</v>
      </c>
      <c r="AE14" t="n">
        <v>7814.17</v>
      </c>
      <c r="AG14" s="235">
        <f>SUM(B14:AF14)</f>
        <v/>
      </c>
    </row>
    <row r="15">
      <c r="A15" s="242" t="inlineStr">
        <is>
          <t>NHS Black Country ICB</t>
        </is>
      </c>
      <c r="G15" t="n">
        <v>3789.84</v>
      </c>
      <c r="I15" t="n">
        <v>5928.26</v>
      </c>
      <c r="X15" t="n">
        <v>3363.36</v>
      </c>
      <c r="AG15" s="235">
        <f>SUM(B15:AF15)</f>
        <v/>
      </c>
    </row>
    <row r="16">
      <c r="A16" s="242" t="inlineStr">
        <is>
          <t>Sandwell - HB</t>
        </is>
      </c>
      <c r="U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D17" t="n">
        <v>158792.17</v>
      </c>
      <c r="H17" t="n">
        <v>131304.4</v>
      </c>
      <c r="R17" t="n">
        <v>158792.17</v>
      </c>
      <c r="V17" t="n">
        <v>131304.4</v>
      </c>
      <c r="AF17" t="n">
        <v>158792.17</v>
      </c>
      <c r="AG17" s="235">
        <f>SUM(B17:AF17)</f>
        <v/>
      </c>
    </row>
    <row r="18">
      <c r="A18" s="242" t="inlineStr">
        <is>
          <t>Solihull MBC - Supported Living</t>
        </is>
      </c>
      <c r="N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AC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C20" t="n">
        <v>140800.84</v>
      </c>
      <c r="J20" t="n">
        <v>140800.84</v>
      </c>
      <c r="Q20" t="n">
        <v>140800.84</v>
      </c>
      <c r="X20" t="n">
        <v>140800.84</v>
      </c>
      <c r="AE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D21" t="n">
        <v>14051.2</v>
      </c>
      <c r="I21" t="n">
        <v>2870</v>
      </c>
      <c r="AF21" t="n">
        <v>14051.2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Saturday</t>
        </is>
      </c>
      <c r="C1" s="249" t="inlineStr">
        <is>
          <t>Sunday</t>
        </is>
      </c>
      <c r="D1" s="249" t="inlineStr">
        <is>
          <t>Monday</t>
        </is>
      </c>
      <c r="E1" s="249" t="inlineStr">
        <is>
          <t>Tuesday</t>
        </is>
      </c>
      <c r="F1" s="249" t="inlineStr">
        <is>
          <t>Wednesday</t>
        </is>
      </c>
      <c r="G1" s="249" t="inlineStr">
        <is>
          <t>Thursday</t>
        </is>
      </c>
      <c r="H1" s="249" t="inlineStr">
        <is>
          <t>Friday</t>
        </is>
      </c>
      <c r="I1" s="249" t="inlineStr">
        <is>
          <t>Saturday</t>
        </is>
      </c>
      <c r="J1" s="249" t="inlineStr">
        <is>
          <t>Sunday</t>
        </is>
      </c>
      <c r="K1" s="249" t="inlineStr">
        <is>
          <t>Monday</t>
        </is>
      </c>
      <c r="L1" s="249" t="inlineStr">
        <is>
          <t>Tuesday</t>
        </is>
      </c>
      <c r="M1" s="249" t="inlineStr">
        <is>
          <t>Wednesday</t>
        </is>
      </c>
      <c r="N1" s="249" t="inlineStr">
        <is>
          <t>Thursday</t>
        </is>
      </c>
      <c r="O1" s="249" t="inlineStr">
        <is>
          <t>Friday</t>
        </is>
      </c>
      <c r="P1" s="249" t="inlineStr">
        <is>
          <t>Saturday</t>
        </is>
      </c>
      <c r="Q1" s="249" t="inlineStr">
        <is>
          <t>Sunday</t>
        </is>
      </c>
      <c r="R1" s="249" t="inlineStr">
        <is>
          <t>Monday</t>
        </is>
      </c>
      <c r="S1" s="249" t="inlineStr">
        <is>
          <t>Tuesday</t>
        </is>
      </c>
      <c r="T1" s="249" t="inlineStr">
        <is>
          <t>Wednesday</t>
        </is>
      </c>
      <c r="U1" s="249" t="inlineStr">
        <is>
          <t>Thursday</t>
        </is>
      </c>
      <c r="V1" s="249" t="inlineStr">
        <is>
          <t>Friday</t>
        </is>
      </c>
      <c r="W1" s="249" t="inlineStr">
        <is>
          <t>Saturday</t>
        </is>
      </c>
      <c r="X1" s="249" t="inlineStr">
        <is>
          <t>Sunday</t>
        </is>
      </c>
      <c r="Y1" s="249" t="inlineStr">
        <is>
          <t>Monday</t>
        </is>
      </c>
      <c r="Z1" s="249" t="inlineStr">
        <is>
          <t>Tuesday</t>
        </is>
      </c>
      <c r="AA1" s="249" t="inlineStr">
        <is>
          <t>Wednesday</t>
        </is>
      </c>
      <c r="AB1" s="249" t="inlineStr">
        <is>
          <t>Thursday</t>
        </is>
      </c>
      <c r="AC1" s="249" t="inlineStr">
        <is>
          <t>Friday</t>
        </is>
      </c>
      <c r="AD1" s="249" t="inlineStr">
        <is>
          <t>Saturday</t>
        </is>
      </c>
      <c r="AE1" s="249" t="inlineStr">
        <is>
          <t>Sunday</t>
        </is>
      </c>
      <c r="AF1" s="249" t="inlineStr">
        <is>
          <t>Monday</t>
        </is>
      </c>
      <c r="AG1" s="249" t="inlineStr">
        <is>
          <t>Total</t>
        </is>
      </c>
    </row>
    <row r="2">
      <c r="B2" s="277" t="n">
        <v>46235</v>
      </c>
      <c r="C2" s="277" t="n">
        <v>46236</v>
      </c>
      <c r="D2" s="277" t="n">
        <v>46237</v>
      </c>
      <c r="E2" s="277" t="n">
        <v>46238</v>
      </c>
      <c r="F2" s="277" t="n">
        <v>46239</v>
      </c>
      <c r="G2" s="277" t="n">
        <v>46240</v>
      </c>
      <c r="H2" s="277" t="n">
        <v>46241</v>
      </c>
      <c r="I2" s="277" t="n">
        <v>46242</v>
      </c>
      <c r="J2" s="277" t="n">
        <v>46243</v>
      </c>
      <c r="K2" s="277" t="n">
        <v>46244</v>
      </c>
      <c r="L2" s="277" t="n">
        <v>46245</v>
      </c>
      <c r="M2" s="277" t="n">
        <v>46246</v>
      </c>
      <c r="N2" s="277" t="n">
        <v>46247</v>
      </c>
      <c r="O2" s="277" t="n">
        <v>46248</v>
      </c>
      <c r="P2" s="277" t="n">
        <v>46249</v>
      </c>
      <c r="Q2" s="277" t="n">
        <v>46250</v>
      </c>
      <c r="R2" s="277" t="n">
        <v>46251</v>
      </c>
      <c r="S2" s="277" t="n">
        <v>46252</v>
      </c>
      <c r="T2" s="277" t="n">
        <v>46253</v>
      </c>
      <c r="U2" s="277" t="n">
        <v>46254</v>
      </c>
      <c r="V2" s="277" t="n">
        <v>46255</v>
      </c>
      <c r="W2" s="277" t="n">
        <v>46256</v>
      </c>
      <c r="X2" s="277" t="n">
        <v>46257</v>
      </c>
      <c r="Y2" s="277" t="n">
        <v>46258</v>
      </c>
      <c r="Z2" s="277" t="n">
        <v>46259</v>
      </c>
      <c r="AA2" s="277" t="n">
        <v>46260</v>
      </c>
      <c r="AB2" s="277" t="n">
        <v>46261</v>
      </c>
      <c r="AC2" s="277" t="n">
        <v>46262</v>
      </c>
      <c r="AD2" s="277" t="n">
        <v>46263</v>
      </c>
      <c r="AE2" s="277" t="n">
        <v>46264</v>
      </c>
      <c r="AF2" s="277" t="n">
        <v>46265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G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G7" t="n">
        <v>930.65</v>
      </c>
      <c r="N7" t="n">
        <v>930.65</v>
      </c>
      <c r="U7" t="n">
        <v>930.65</v>
      </c>
      <c r="AB7" t="n">
        <v>930.65</v>
      </c>
      <c r="AG7" s="235">
        <f>SUM(B7:AF7)</f>
        <v/>
      </c>
    </row>
    <row r="8">
      <c r="A8" s="242" t="inlineStr">
        <is>
          <t>Wolverhampton - Daycare</t>
        </is>
      </c>
      <c r="G8" t="n">
        <v>5606.3</v>
      </c>
      <c r="N8" t="n">
        <v>5606.3</v>
      </c>
      <c r="U8" t="n">
        <v>5606.3</v>
      </c>
      <c r="AB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T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G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G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D14" t="n">
        <v>2091.66</v>
      </c>
      <c r="AB14" t="n">
        <v>7814.17</v>
      </c>
      <c r="AF14" t="n">
        <v>2091.66</v>
      </c>
      <c r="AG14" s="235">
        <f>SUM(B14:AF14)</f>
        <v/>
      </c>
    </row>
    <row r="15">
      <c r="A15" s="242" t="inlineStr">
        <is>
          <t>NHS Black Country ICB</t>
        </is>
      </c>
      <c r="D15" t="n">
        <v>3789.84</v>
      </c>
      <c r="F15" t="n">
        <v>5928.26</v>
      </c>
      <c r="U15" t="n">
        <v>3363.36</v>
      </c>
      <c r="AG15" s="235">
        <f>SUM(B15:AF15)</f>
        <v/>
      </c>
    </row>
    <row r="16">
      <c r="A16" s="242" t="inlineStr">
        <is>
          <t>Sandwell - HB</t>
        </is>
      </c>
      <c r="R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E17" t="n">
        <v>131304.4</v>
      </c>
      <c r="O17" t="n">
        <v>158792.17</v>
      </c>
      <c r="S17" t="n">
        <v>131304.4</v>
      </c>
      <c r="AC17" t="n">
        <v>158792.17</v>
      </c>
      <c r="AG17" s="235">
        <f>SUM(B17:AF17)</f>
        <v/>
      </c>
    </row>
    <row r="18">
      <c r="A18" s="242" t="inlineStr">
        <is>
          <t>Solihull MBC - Supported Living</t>
        </is>
      </c>
      <c r="K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Z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G20" t="n">
        <v>140800.84</v>
      </c>
      <c r="N20" t="n">
        <v>140800.84</v>
      </c>
      <c r="U20" t="n">
        <v>140800.84</v>
      </c>
      <c r="AB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F21" t="n">
        <v>2870</v>
      </c>
      <c r="AC21" t="n">
        <v>14051.2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Tuesday</t>
        </is>
      </c>
      <c r="C1" s="249" t="inlineStr">
        <is>
          <t>Wednesday</t>
        </is>
      </c>
      <c r="D1" s="249" t="inlineStr">
        <is>
          <t>Thursday</t>
        </is>
      </c>
      <c r="E1" s="249" t="inlineStr">
        <is>
          <t>Friday</t>
        </is>
      </c>
      <c r="F1" s="249" t="inlineStr">
        <is>
          <t>Saturday</t>
        </is>
      </c>
      <c r="G1" s="249" t="inlineStr">
        <is>
          <t>Sunday</t>
        </is>
      </c>
      <c r="H1" s="249" t="inlineStr">
        <is>
          <t>Monday</t>
        </is>
      </c>
      <c r="I1" s="249" t="inlineStr">
        <is>
          <t>Tuesday</t>
        </is>
      </c>
      <c r="J1" s="249" t="inlineStr">
        <is>
          <t>Wednesday</t>
        </is>
      </c>
      <c r="K1" s="249" t="inlineStr">
        <is>
          <t>Thursday</t>
        </is>
      </c>
      <c r="L1" s="249" t="inlineStr">
        <is>
          <t>Friday</t>
        </is>
      </c>
      <c r="M1" s="249" t="inlineStr">
        <is>
          <t>Saturday</t>
        </is>
      </c>
      <c r="N1" s="249" t="inlineStr">
        <is>
          <t>Sunday</t>
        </is>
      </c>
      <c r="O1" s="249" t="inlineStr">
        <is>
          <t>Monday</t>
        </is>
      </c>
      <c r="P1" s="249" t="inlineStr">
        <is>
          <t>Tuesday</t>
        </is>
      </c>
      <c r="Q1" s="249" t="inlineStr">
        <is>
          <t>Wednesday</t>
        </is>
      </c>
      <c r="R1" s="249" t="inlineStr">
        <is>
          <t>Thursday</t>
        </is>
      </c>
      <c r="S1" s="249" t="inlineStr">
        <is>
          <t>Friday</t>
        </is>
      </c>
      <c r="T1" s="249" t="inlineStr">
        <is>
          <t>Saturday</t>
        </is>
      </c>
      <c r="U1" s="249" t="inlineStr">
        <is>
          <t>Sunday</t>
        </is>
      </c>
      <c r="V1" s="249" t="inlineStr">
        <is>
          <t>Monday</t>
        </is>
      </c>
      <c r="W1" s="249" t="inlineStr">
        <is>
          <t>Tuesday</t>
        </is>
      </c>
      <c r="X1" s="249" t="inlineStr">
        <is>
          <t>Wednesday</t>
        </is>
      </c>
      <c r="Y1" s="249" t="inlineStr">
        <is>
          <t>Thursday</t>
        </is>
      </c>
      <c r="Z1" s="249" t="inlineStr">
        <is>
          <t>Friday</t>
        </is>
      </c>
      <c r="AA1" s="249" t="inlineStr">
        <is>
          <t>Saturday</t>
        </is>
      </c>
      <c r="AB1" s="249" t="inlineStr">
        <is>
          <t>Sunday</t>
        </is>
      </c>
      <c r="AC1" s="249" t="inlineStr">
        <is>
          <t>Monday</t>
        </is>
      </c>
      <c r="AD1" s="249" t="inlineStr">
        <is>
          <t>Tuesday</t>
        </is>
      </c>
      <c r="AE1" s="249" t="inlineStr">
        <is>
          <t>Wednesday</t>
        </is>
      </c>
      <c r="AF1" s="249" t="inlineStr">
        <is>
          <t>Total</t>
        </is>
      </c>
    </row>
    <row r="2">
      <c r="B2" s="277" t="n">
        <v>46266</v>
      </c>
      <c r="C2" s="277" t="n">
        <v>46267</v>
      </c>
      <c r="D2" s="277" t="n">
        <v>46268</v>
      </c>
      <c r="E2" s="277" t="n">
        <v>46269</v>
      </c>
      <c r="F2" s="277" t="n">
        <v>46270</v>
      </c>
      <c r="G2" s="277" t="n">
        <v>46271</v>
      </c>
      <c r="H2" s="277" t="n">
        <v>46272</v>
      </c>
      <c r="I2" s="277" t="n">
        <v>46273</v>
      </c>
      <c r="J2" s="277" t="n">
        <v>46274</v>
      </c>
      <c r="K2" s="277" t="n">
        <v>46275</v>
      </c>
      <c r="L2" s="277" t="n">
        <v>46276</v>
      </c>
      <c r="M2" s="277" t="n">
        <v>46277</v>
      </c>
      <c r="N2" s="277" t="n">
        <v>46278</v>
      </c>
      <c r="O2" s="277" t="n">
        <v>46279</v>
      </c>
      <c r="P2" s="277" t="n">
        <v>46280</v>
      </c>
      <c r="Q2" s="277" t="n">
        <v>46281</v>
      </c>
      <c r="R2" s="277" t="n">
        <v>46282</v>
      </c>
      <c r="S2" s="277" t="n">
        <v>46283</v>
      </c>
      <c r="T2" s="277" t="n">
        <v>46284</v>
      </c>
      <c r="U2" s="277" t="n">
        <v>46285</v>
      </c>
      <c r="V2" s="277" t="n">
        <v>46286</v>
      </c>
      <c r="W2" s="277" t="n">
        <v>46287</v>
      </c>
      <c r="X2" s="277" t="n">
        <v>46288</v>
      </c>
      <c r="Y2" s="277" t="n">
        <v>46289</v>
      </c>
      <c r="Z2" s="277" t="n">
        <v>46290</v>
      </c>
      <c r="AA2" s="277" t="n">
        <v>46291</v>
      </c>
      <c r="AB2" s="277" t="n">
        <v>46292</v>
      </c>
      <c r="AC2" s="277" t="n">
        <v>46293</v>
      </c>
      <c r="AD2" s="277" t="n">
        <v>46294</v>
      </c>
      <c r="AE2" s="277" t="n">
        <v>46295</v>
      </c>
    </row>
    <row r="3">
      <c r="A3" s="242" t="inlineStr">
        <is>
          <t>Birmingham City Council - Supported Living</t>
        </is>
      </c>
      <c r="AF3" s="235">
        <f>SUM(B3:AE3)</f>
        <v/>
      </c>
    </row>
    <row r="4">
      <c r="A4" s="242" t="inlineStr">
        <is>
          <t>Haringey</t>
        </is>
      </c>
      <c r="D4" t="n">
        <v>6000</v>
      </c>
      <c r="AF4" s="235">
        <f>SUM(B4:AE4)</f>
        <v/>
      </c>
    </row>
    <row r="5">
      <c r="A5" s="242" t="inlineStr">
        <is>
          <t>Sandwell MBC - Respite</t>
        </is>
      </c>
      <c r="B5" t="n">
        <v>3419.08</v>
      </c>
      <c r="AF5" s="235">
        <f>SUM(B5:AE5)</f>
        <v/>
      </c>
    </row>
    <row r="6">
      <c r="A6" s="242" t="inlineStr">
        <is>
          <t>Sandwell MBC - Daycare</t>
        </is>
      </c>
      <c r="I6" t="n">
        <v>6866.4</v>
      </c>
      <c r="AF6" s="235">
        <f>SUM(B6:AE6)</f>
        <v/>
      </c>
    </row>
    <row r="7">
      <c r="A7" s="242" t="inlineStr">
        <is>
          <t xml:space="preserve">Wolverhampton - Respite </t>
        </is>
      </c>
      <c r="D7" t="n">
        <v>930.65</v>
      </c>
      <c r="K7" t="n">
        <v>930.65</v>
      </c>
      <c r="R7" t="n">
        <v>930.65</v>
      </c>
      <c r="Y7" t="n">
        <v>930.65</v>
      </c>
      <c r="AF7" s="235">
        <f>SUM(B7:AE7)</f>
        <v/>
      </c>
    </row>
    <row r="8">
      <c r="A8" s="242" t="inlineStr">
        <is>
          <t>Wolverhampton - Daycare</t>
        </is>
      </c>
      <c r="D8" t="n">
        <v>5606.3</v>
      </c>
      <c r="K8" t="n">
        <v>5606.3</v>
      </c>
      <c r="R8" t="n">
        <v>5606.3</v>
      </c>
      <c r="Y8" t="n">
        <v>5606.3</v>
      </c>
      <c r="AF8" s="235">
        <f>SUM(B8:AE8)</f>
        <v/>
      </c>
    </row>
    <row r="9">
      <c r="A9" s="242" t="inlineStr">
        <is>
          <t>Walsall - Respite</t>
        </is>
      </c>
      <c r="F9" t="n">
        <v>18171.66</v>
      </c>
      <c r="AF9" s="235">
        <f>SUM(B9:AE9)</f>
        <v/>
      </c>
    </row>
    <row r="10">
      <c r="A10" s="242" t="inlineStr">
        <is>
          <t>Walsall - Daycare</t>
        </is>
      </c>
      <c r="AF10" s="235">
        <f>SUM(B10:AE10)</f>
        <v/>
      </c>
    </row>
    <row r="11">
      <c r="A11" s="242" t="inlineStr">
        <is>
          <t>Ideal for All Ltd - Direct Payments</t>
        </is>
      </c>
      <c r="Q11" t="n">
        <v>7664.06</v>
      </c>
      <c r="AF11" s="235">
        <f>SUM(B11:AE11)</f>
        <v/>
      </c>
    </row>
    <row r="12">
      <c r="A12" s="242" t="inlineStr">
        <is>
          <t>Kirklees - Supported Living</t>
        </is>
      </c>
      <c r="D12" t="n">
        <v>6221.4</v>
      </c>
      <c r="AF12" s="235">
        <f>SUM(B12:AE12)</f>
        <v/>
      </c>
    </row>
    <row r="13">
      <c r="A13" s="242" t="inlineStr">
        <is>
          <t>LB Hillingdon - Supported Living</t>
        </is>
      </c>
      <c r="D13" t="n">
        <v>5203.8</v>
      </c>
      <c r="AF13" s="235">
        <f>SUM(B13:AE13)</f>
        <v/>
      </c>
    </row>
    <row r="14">
      <c r="A14" s="242" t="inlineStr">
        <is>
          <t>NHS Birmingham &amp; Solihull ICB</t>
        </is>
      </c>
      <c r="Y14" t="n">
        <v>7814.17</v>
      </c>
      <c r="AC14" t="n">
        <v>2091.66</v>
      </c>
      <c r="AF14" s="235">
        <f>SUM(B14:AE14)</f>
        <v/>
      </c>
    </row>
    <row r="15">
      <c r="A15" s="242" t="inlineStr">
        <is>
          <t>NHS Black Country ICB</t>
        </is>
      </c>
      <c r="C15" t="n">
        <v>5928.26</v>
      </c>
      <c r="H15" t="n">
        <v>3789.84</v>
      </c>
      <c r="R15" t="n">
        <v>3363.36</v>
      </c>
      <c r="AE15" t="n">
        <v>5928.26</v>
      </c>
      <c r="AF15" s="235">
        <f>SUM(B15:AE15)</f>
        <v/>
      </c>
    </row>
    <row r="16">
      <c r="A16" s="242" t="inlineStr">
        <is>
          <t>Sandwell - HB</t>
        </is>
      </c>
      <c r="O16" t="n">
        <v>380</v>
      </c>
      <c r="AF16" s="235">
        <f>SUM(B16:AE16)</f>
        <v/>
      </c>
    </row>
    <row r="17">
      <c r="A17" s="242" t="inlineStr">
        <is>
          <t>Sandwell MBC - Supported Living</t>
        </is>
      </c>
      <c r="B17" t="n">
        <v>131304.4</v>
      </c>
      <c r="L17" t="n">
        <v>158792.17</v>
      </c>
      <c r="P17" t="n">
        <v>131304.4</v>
      </c>
      <c r="Z17" t="n">
        <v>158792.17</v>
      </c>
      <c r="AD17" t="n">
        <v>131304.4</v>
      </c>
      <c r="AF17" s="235">
        <f>SUM(B17:AE17)</f>
        <v/>
      </c>
    </row>
    <row r="18">
      <c r="A18" s="242" t="inlineStr">
        <is>
          <t>Solihull MBC - Supported Living</t>
        </is>
      </c>
      <c r="H18" t="n">
        <v>33639.34</v>
      </c>
      <c r="AF18" s="235">
        <f>SUM(B18:AE18)</f>
        <v/>
      </c>
    </row>
    <row r="19">
      <c r="A19" s="242" t="inlineStr">
        <is>
          <t>Walsall - Supported Living</t>
        </is>
      </c>
      <c r="W19" t="n">
        <v>343077.42</v>
      </c>
      <c r="AF19" s="235">
        <f>SUM(B19:AE19)</f>
        <v/>
      </c>
    </row>
    <row r="20">
      <c r="A20" s="242" t="inlineStr">
        <is>
          <t>Wolverhampton - Supported Living</t>
        </is>
      </c>
      <c r="D20" t="n">
        <v>140800.84</v>
      </c>
      <c r="K20" t="n">
        <v>140800.84</v>
      </c>
      <c r="R20" t="n">
        <v>140800.84</v>
      </c>
      <c r="Y20" t="n">
        <v>140800.84</v>
      </c>
      <c r="AF20" s="235">
        <f>SUM(B20:AE20)</f>
        <v/>
      </c>
    </row>
    <row r="21">
      <c r="A21" s="242" t="inlineStr">
        <is>
          <t>People Plus - Direct Payments</t>
        </is>
      </c>
      <c r="C21" t="n">
        <v>2870</v>
      </c>
      <c r="Z21" t="n">
        <v>14051.2</v>
      </c>
      <c r="AE21" t="n">
        <v>2870</v>
      </c>
      <c r="AF21" s="235">
        <f>SUM(B21:AE21)</f>
        <v/>
      </c>
    </row>
    <row r="22">
      <c r="A22" s="242" t="inlineStr">
        <is>
          <t>Middlesbrough - Supported Living</t>
        </is>
      </c>
      <c r="G22" t="n">
        <v>6116.04</v>
      </c>
      <c r="AF22" s="235">
        <f>SUM(B22:AE22)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s="235">
        <f>SUM(B23:AE23)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Thursday</t>
        </is>
      </c>
      <c r="C1" s="249" t="inlineStr">
        <is>
          <t>Friday</t>
        </is>
      </c>
      <c r="D1" s="249" t="inlineStr">
        <is>
          <t>Saturday</t>
        </is>
      </c>
      <c r="E1" s="249" t="inlineStr">
        <is>
          <t>Sunday</t>
        </is>
      </c>
      <c r="F1" s="249" t="inlineStr">
        <is>
          <t>Monday</t>
        </is>
      </c>
      <c r="G1" s="249" t="inlineStr">
        <is>
          <t>Tuesday</t>
        </is>
      </c>
      <c r="H1" s="249" t="inlineStr">
        <is>
          <t>Wednesday</t>
        </is>
      </c>
      <c r="I1" s="249" t="inlineStr">
        <is>
          <t>Thursday</t>
        </is>
      </c>
      <c r="J1" s="249" t="inlineStr">
        <is>
          <t>Friday</t>
        </is>
      </c>
      <c r="K1" s="249" t="inlineStr">
        <is>
          <t>Saturday</t>
        </is>
      </c>
      <c r="L1" s="249" t="inlineStr">
        <is>
          <t>Sunday</t>
        </is>
      </c>
      <c r="M1" s="249" t="inlineStr">
        <is>
          <t>Monday</t>
        </is>
      </c>
      <c r="N1" s="249" t="inlineStr">
        <is>
          <t>Tuesday</t>
        </is>
      </c>
      <c r="O1" s="249" t="inlineStr">
        <is>
          <t>Wednesday</t>
        </is>
      </c>
      <c r="P1" s="249" t="inlineStr">
        <is>
          <t>Thursday</t>
        </is>
      </c>
      <c r="Q1" s="249" t="inlineStr">
        <is>
          <t>Friday</t>
        </is>
      </c>
      <c r="R1" s="249" t="inlineStr">
        <is>
          <t>Saturday</t>
        </is>
      </c>
      <c r="S1" s="249" t="inlineStr">
        <is>
          <t>Sunday</t>
        </is>
      </c>
      <c r="T1" s="249" t="inlineStr">
        <is>
          <t>Monday</t>
        </is>
      </c>
      <c r="U1" s="249" t="inlineStr">
        <is>
          <t>Tuesday</t>
        </is>
      </c>
      <c r="V1" s="249" t="inlineStr">
        <is>
          <t>Wednesday</t>
        </is>
      </c>
      <c r="W1" s="249" t="inlineStr">
        <is>
          <t>Thursday</t>
        </is>
      </c>
      <c r="X1" s="249" t="inlineStr">
        <is>
          <t>Friday</t>
        </is>
      </c>
      <c r="Y1" s="249" t="inlineStr">
        <is>
          <t>Saturday</t>
        </is>
      </c>
      <c r="Z1" s="249" t="inlineStr">
        <is>
          <t>Sunday</t>
        </is>
      </c>
      <c r="AA1" s="249" t="inlineStr">
        <is>
          <t>Monday</t>
        </is>
      </c>
      <c r="AB1" s="249" t="inlineStr">
        <is>
          <t>Tuesday</t>
        </is>
      </c>
      <c r="AC1" s="249" t="inlineStr">
        <is>
          <t>Wednesday</t>
        </is>
      </c>
      <c r="AD1" s="249" t="inlineStr">
        <is>
          <t>Thursday</t>
        </is>
      </c>
      <c r="AE1" s="249" t="inlineStr">
        <is>
          <t>Friday</t>
        </is>
      </c>
      <c r="AF1" s="249" t="inlineStr">
        <is>
          <t>Saturday</t>
        </is>
      </c>
      <c r="AG1" s="249" t="inlineStr">
        <is>
          <t>Total</t>
        </is>
      </c>
    </row>
    <row r="2">
      <c r="B2" s="277" t="n">
        <v>46296</v>
      </c>
      <c r="C2" s="277" t="n">
        <v>46297</v>
      </c>
      <c r="D2" s="277" t="n">
        <v>46298</v>
      </c>
      <c r="E2" s="277" t="n">
        <v>46299</v>
      </c>
      <c r="F2" s="277" t="n">
        <v>46300</v>
      </c>
      <c r="G2" s="277" t="n">
        <v>46301</v>
      </c>
      <c r="H2" s="277" t="n">
        <v>46302</v>
      </c>
      <c r="I2" s="277" t="n">
        <v>46303</v>
      </c>
      <c r="J2" s="277" t="n">
        <v>46304</v>
      </c>
      <c r="K2" s="277" t="n">
        <v>46305</v>
      </c>
      <c r="L2" s="277" t="n">
        <v>46306</v>
      </c>
      <c r="M2" s="277" t="n">
        <v>46307</v>
      </c>
      <c r="N2" s="277" t="n">
        <v>46308</v>
      </c>
      <c r="O2" s="277" t="n">
        <v>46309</v>
      </c>
      <c r="P2" s="277" t="n">
        <v>46310</v>
      </c>
      <c r="Q2" s="277" t="n">
        <v>46311</v>
      </c>
      <c r="R2" s="277" t="n">
        <v>46312</v>
      </c>
      <c r="S2" s="277" t="n">
        <v>46313</v>
      </c>
      <c r="T2" s="277" t="n">
        <v>46314</v>
      </c>
      <c r="U2" s="277" t="n">
        <v>46315</v>
      </c>
      <c r="V2" s="277" t="n">
        <v>46316</v>
      </c>
      <c r="W2" s="277" t="n">
        <v>46317</v>
      </c>
      <c r="X2" s="277" t="n">
        <v>46318</v>
      </c>
      <c r="Y2" s="277" t="n">
        <v>46319</v>
      </c>
      <c r="Z2" s="277" t="n">
        <v>46320</v>
      </c>
      <c r="AA2" s="277" t="n">
        <v>46321</v>
      </c>
      <c r="AB2" s="277" t="n">
        <v>46322</v>
      </c>
      <c r="AC2" s="277" t="n">
        <v>46323</v>
      </c>
      <c r="AD2" s="277" t="n">
        <v>46324</v>
      </c>
      <c r="AE2" s="277" t="n">
        <v>46325</v>
      </c>
      <c r="AF2" s="277" t="n">
        <v>46326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B4" t="n">
        <v>6000</v>
      </c>
      <c r="AD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B7" t="n">
        <v>930.65</v>
      </c>
      <c r="I7" t="n">
        <v>930.65</v>
      </c>
      <c r="P7" t="n">
        <v>930.65</v>
      </c>
      <c r="W7" t="n">
        <v>930.65</v>
      </c>
      <c r="AD7" t="n">
        <v>930.65</v>
      </c>
      <c r="AG7" s="235">
        <f>SUM(B7:AF7)</f>
        <v/>
      </c>
    </row>
    <row r="8">
      <c r="A8" s="242" t="inlineStr">
        <is>
          <t>Wolverhampton - Daycare</t>
        </is>
      </c>
      <c r="B8" t="n">
        <v>5606.3</v>
      </c>
      <c r="I8" t="n">
        <v>5606.3</v>
      </c>
      <c r="P8" t="n">
        <v>5606.3</v>
      </c>
      <c r="W8" t="n">
        <v>5606.3</v>
      </c>
      <c r="AD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O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B12" t="n">
        <v>6221.4</v>
      </c>
      <c r="AD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B13" t="n">
        <v>5203.8</v>
      </c>
      <c r="AD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W14" t="n">
        <v>7814.17</v>
      </c>
      <c r="AA14" t="n">
        <v>2091.66</v>
      </c>
      <c r="AG14" s="235">
        <f>SUM(B14:AF14)</f>
        <v/>
      </c>
    </row>
    <row r="15">
      <c r="A15" s="242" t="inlineStr">
        <is>
          <t>NHS Black Country ICB</t>
        </is>
      </c>
      <c r="F15" t="n">
        <v>3789.84</v>
      </c>
      <c r="P15" t="n">
        <v>3363.36</v>
      </c>
      <c r="AC15" t="n">
        <v>5928.26</v>
      </c>
      <c r="AG15" s="235">
        <f>SUM(B15:AF15)</f>
        <v/>
      </c>
    </row>
    <row r="16">
      <c r="A16" s="242" t="inlineStr">
        <is>
          <t>Sandwell - HB</t>
        </is>
      </c>
      <c r="M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J17" t="n">
        <v>158792.17</v>
      </c>
      <c r="N17" t="n">
        <v>131304.4</v>
      </c>
      <c r="X17" t="n">
        <v>158792.17</v>
      </c>
      <c r="AB17" t="n">
        <v>131304.4</v>
      </c>
      <c r="AG17" s="235">
        <f>SUM(B17:AF17)</f>
        <v/>
      </c>
    </row>
    <row r="18">
      <c r="A18" s="242" t="inlineStr">
        <is>
          <t>Solihull MBC - Supported Living</t>
        </is>
      </c>
      <c r="F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U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B20" t="n">
        <v>140800.84</v>
      </c>
      <c r="I20" t="n">
        <v>140800.84</v>
      </c>
      <c r="P20" t="n">
        <v>140800.84</v>
      </c>
      <c r="W20" t="n">
        <v>140800.84</v>
      </c>
      <c r="AD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X21" t="n">
        <v>14051.2</v>
      </c>
      <c r="AC21" t="n">
        <v>2870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Sunday</t>
        </is>
      </c>
      <c r="C1" s="249" t="inlineStr">
        <is>
          <t>Monday</t>
        </is>
      </c>
      <c r="D1" s="249" t="inlineStr">
        <is>
          <t>Tuesday</t>
        </is>
      </c>
      <c r="E1" s="249" t="inlineStr">
        <is>
          <t>Wednesday</t>
        </is>
      </c>
      <c r="F1" s="249" t="inlineStr">
        <is>
          <t>Thursday</t>
        </is>
      </c>
      <c r="G1" s="249" t="inlineStr">
        <is>
          <t>Friday</t>
        </is>
      </c>
      <c r="H1" s="249" t="inlineStr">
        <is>
          <t>Saturday</t>
        </is>
      </c>
      <c r="I1" s="249" t="inlineStr">
        <is>
          <t>Sunday</t>
        </is>
      </c>
      <c r="J1" s="249" t="inlineStr">
        <is>
          <t>Monday</t>
        </is>
      </c>
      <c r="K1" s="249" t="inlineStr">
        <is>
          <t>Tuesday</t>
        </is>
      </c>
      <c r="L1" s="249" t="inlineStr">
        <is>
          <t>Wednesday</t>
        </is>
      </c>
      <c r="M1" s="249" t="inlineStr">
        <is>
          <t>Thursday</t>
        </is>
      </c>
      <c r="N1" s="249" t="inlineStr">
        <is>
          <t>Friday</t>
        </is>
      </c>
      <c r="O1" s="249" t="inlineStr">
        <is>
          <t>Saturday</t>
        </is>
      </c>
      <c r="P1" s="249" t="inlineStr">
        <is>
          <t>Sunday</t>
        </is>
      </c>
      <c r="Q1" s="249" t="inlineStr">
        <is>
          <t>Monday</t>
        </is>
      </c>
      <c r="R1" s="249" t="inlineStr">
        <is>
          <t>Tuesday</t>
        </is>
      </c>
      <c r="S1" s="249" t="inlineStr">
        <is>
          <t>Wednesday</t>
        </is>
      </c>
      <c r="T1" s="249" t="inlineStr">
        <is>
          <t>Thursday</t>
        </is>
      </c>
      <c r="U1" s="249" t="inlineStr">
        <is>
          <t>Friday</t>
        </is>
      </c>
      <c r="V1" s="249" t="inlineStr">
        <is>
          <t>Saturday</t>
        </is>
      </c>
      <c r="W1" s="249" t="inlineStr">
        <is>
          <t>Sunday</t>
        </is>
      </c>
      <c r="X1" s="249" t="inlineStr">
        <is>
          <t>Monday</t>
        </is>
      </c>
      <c r="Y1" s="249" t="inlineStr">
        <is>
          <t>Tuesday</t>
        </is>
      </c>
      <c r="Z1" s="249" t="inlineStr">
        <is>
          <t>Wednesday</t>
        </is>
      </c>
      <c r="AA1" s="249" t="inlineStr">
        <is>
          <t>Thursday</t>
        </is>
      </c>
      <c r="AB1" s="249" t="inlineStr">
        <is>
          <t>Friday</t>
        </is>
      </c>
      <c r="AC1" s="249" t="inlineStr">
        <is>
          <t>Saturday</t>
        </is>
      </c>
      <c r="AD1" s="249" t="inlineStr">
        <is>
          <t>Sunday</t>
        </is>
      </c>
      <c r="AE1" s="249" t="inlineStr">
        <is>
          <t>Monday</t>
        </is>
      </c>
      <c r="AF1" s="249" t="inlineStr">
        <is>
          <t>Total</t>
        </is>
      </c>
    </row>
    <row r="2">
      <c r="B2" s="277" t="n">
        <v>46327</v>
      </c>
      <c r="C2" s="277" t="n">
        <v>46328</v>
      </c>
      <c r="D2" s="277" t="n">
        <v>46329</v>
      </c>
      <c r="E2" s="277" t="n">
        <v>46330</v>
      </c>
      <c r="F2" s="277" t="n">
        <v>46331</v>
      </c>
      <c r="G2" s="277" t="n">
        <v>46332</v>
      </c>
      <c r="H2" s="277" t="n">
        <v>46333</v>
      </c>
      <c r="I2" s="277" t="n">
        <v>46334</v>
      </c>
      <c r="J2" s="277" t="n">
        <v>46335</v>
      </c>
      <c r="K2" s="277" t="n">
        <v>46336</v>
      </c>
      <c r="L2" s="277" t="n">
        <v>46337</v>
      </c>
      <c r="M2" s="277" t="n">
        <v>46338</v>
      </c>
      <c r="N2" s="277" t="n">
        <v>46339</v>
      </c>
      <c r="O2" s="277" t="n">
        <v>46340</v>
      </c>
      <c r="P2" s="277" t="n">
        <v>46341</v>
      </c>
      <c r="Q2" s="277" t="n">
        <v>46342</v>
      </c>
      <c r="R2" s="277" t="n">
        <v>46343</v>
      </c>
      <c r="S2" s="277" t="n">
        <v>46344</v>
      </c>
      <c r="T2" s="277" t="n">
        <v>46345</v>
      </c>
      <c r="U2" s="277" t="n">
        <v>46346</v>
      </c>
      <c r="V2" s="277" t="n">
        <v>46347</v>
      </c>
      <c r="W2" s="277" t="n">
        <v>46348</v>
      </c>
      <c r="X2" s="277" t="n">
        <v>46349</v>
      </c>
      <c r="Y2" s="277" t="n">
        <v>46350</v>
      </c>
      <c r="Z2" s="277" t="n">
        <v>46351</v>
      </c>
      <c r="AA2" s="277" t="n">
        <v>46352</v>
      </c>
      <c r="AB2" s="277" t="n">
        <v>46353</v>
      </c>
      <c r="AC2" s="277" t="n">
        <v>46354</v>
      </c>
      <c r="AD2" s="277" t="n">
        <v>46355</v>
      </c>
      <c r="AE2" s="277" t="n">
        <v>46356</v>
      </c>
    </row>
    <row r="3">
      <c r="A3" s="242" t="inlineStr">
        <is>
          <t>Birmingham City Council - Supported Living</t>
        </is>
      </c>
      <c r="AF3" s="235">
        <f>SUM(B3:AE3)</f>
        <v/>
      </c>
    </row>
    <row r="4">
      <c r="A4" s="242" t="inlineStr">
        <is>
          <t>Haringey</t>
        </is>
      </c>
      <c r="AA4" t="n">
        <v>6000</v>
      </c>
      <c r="AF4" s="235">
        <f>SUM(B4:AE4)</f>
        <v/>
      </c>
    </row>
    <row r="5">
      <c r="A5" s="242" t="inlineStr">
        <is>
          <t>Sandwell MBC - Respite</t>
        </is>
      </c>
      <c r="B5" t="n">
        <v>3419.08</v>
      </c>
      <c r="AF5" s="235">
        <f>SUM(B5:AE5)</f>
        <v/>
      </c>
    </row>
    <row r="6">
      <c r="A6" s="242" t="inlineStr">
        <is>
          <t>Sandwell MBC - Daycare</t>
        </is>
      </c>
      <c r="I6" t="n">
        <v>6866.4</v>
      </c>
      <c r="AF6" s="235">
        <f>SUM(B6:AE6)</f>
        <v/>
      </c>
    </row>
    <row r="7">
      <c r="A7" s="242" t="inlineStr">
        <is>
          <t xml:space="preserve">Wolverhampton - Respite </t>
        </is>
      </c>
      <c r="F7" t="n">
        <v>930.65</v>
      </c>
      <c r="M7" t="n">
        <v>930.65</v>
      </c>
      <c r="T7" t="n">
        <v>930.65</v>
      </c>
      <c r="AA7" t="n">
        <v>930.65</v>
      </c>
      <c r="AF7" s="235">
        <f>SUM(B7:AE7)</f>
        <v/>
      </c>
    </row>
    <row r="8">
      <c r="A8" s="242" t="inlineStr">
        <is>
          <t>Wolverhampton - Daycare</t>
        </is>
      </c>
      <c r="F8" t="n">
        <v>5606.3</v>
      </c>
      <c r="M8" t="n">
        <v>5606.3</v>
      </c>
      <c r="T8" t="n">
        <v>5606.3</v>
      </c>
      <c r="AA8" t="n">
        <v>5606.3</v>
      </c>
      <c r="AF8" s="235">
        <f>SUM(B8:AE8)</f>
        <v/>
      </c>
    </row>
    <row r="9">
      <c r="A9" s="242" t="inlineStr">
        <is>
          <t>Walsall - Respite</t>
        </is>
      </c>
      <c r="F9" t="n">
        <v>18171.66</v>
      </c>
      <c r="AF9" s="235">
        <f>SUM(B9:AE9)</f>
        <v/>
      </c>
    </row>
    <row r="10">
      <c r="A10" s="242" t="inlineStr">
        <is>
          <t>Walsall - Daycare</t>
        </is>
      </c>
      <c r="AF10" s="235">
        <f>SUM(B10:AE10)</f>
        <v/>
      </c>
    </row>
    <row r="11">
      <c r="A11" s="242" t="inlineStr">
        <is>
          <t>Ideal for All Ltd - Direct Payments</t>
        </is>
      </c>
      <c r="L11" t="n">
        <v>7664.06</v>
      </c>
      <c r="AF11" s="235">
        <f>SUM(B11:AE11)</f>
        <v/>
      </c>
    </row>
    <row r="12">
      <c r="A12" s="242" t="inlineStr">
        <is>
          <t>Kirklees - Supported Living</t>
        </is>
      </c>
      <c r="AA12" t="n">
        <v>6221.4</v>
      </c>
      <c r="AF12" s="235">
        <f>SUM(B12:AE12)</f>
        <v/>
      </c>
    </row>
    <row r="13">
      <c r="A13" s="242" t="inlineStr">
        <is>
          <t>LB Hillingdon - Supported Living</t>
        </is>
      </c>
      <c r="AA13" t="n">
        <v>5203.8</v>
      </c>
      <c r="AF13" s="235">
        <f>SUM(B13:AE13)</f>
        <v/>
      </c>
    </row>
    <row r="14">
      <c r="A14" s="242" t="inlineStr">
        <is>
          <t>NHS Birmingham &amp; Solihull ICB</t>
        </is>
      </c>
      <c r="T14" t="n">
        <v>7814.17</v>
      </c>
      <c r="X14" t="n">
        <v>2091.66</v>
      </c>
      <c r="AF14" s="235">
        <f>SUM(B14:AE14)</f>
        <v/>
      </c>
    </row>
    <row r="15">
      <c r="A15" s="242" t="inlineStr">
        <is>
          <t>NHS Black Country ICB</t>
        </is>
      </c>
      <c r="C15" t="n">
        <v>3789.84</v>
      </c>
      <c r="M15" t="n">
        <v>3363.36</v>
      </c>
      <c r="Z15" t="n">
        <v>5928.26</v>
      </c>
      <c r="AF15" s="235">
        <f>SUM(B15:AE15)</f>
        <v/>
      </c>
    </row>
    <row r="16">
      <c r="A16" s="242" t="inlineStr">
        <is>
          <t>Sandwell - HB</t>
        </is>
      </c>
      <c r="J16" t="n">
        <v>380</v>
      </c>
      <c r="AF16" s="235">
        <f>SUM(B16:AE16)</f>
        <v/>
      </c>
    </row>
    <row r="17">
      <c r="A17" s="242" t="inlineStr">
        <is>
          <t>Sandwell MBC - Supported Living</t>
        </is>
      </c>
      <c r="G17" t="n">
        <v>158792.17</v>
      </c>
      <c r="K17" t="n">
        <v>131304.4</v>
      </c>
      <c r="U17" t="n">
        <v>158792.17</v>
      </c>
      <c r="Y17" t="n">
        <v>131304.4</v>
      </c>
      <c r="AF17" s="235">
        <f>SUM(B17:AE17)</f>
        <v/>
      </c>
    </row>
    <row r="18">
      <c r="A18" s="242" t="inlineStr">
        <is>
          <t>Solihull MBC - Supported Living</t>
        </is>
      </c>
      <c r="C18" t="n">
        <v>33639.34</v>
      </c>
      <c r="AE18" t="n">
        <v>33639.34</v>
      </c>
      <c r="AF18" s="235">
        <f>SUM(B18:AE18)</f>
        <v/>
      </c>
    </row>
    <row r="19">
      <c r="A19" s="242" t="inlineStr">
        <is>
          <t>Walsall - Supported Living</t>
        </is>
      </c>
      <c r="R19" t="n">
        <v>343077.42</v>
      </c>
      <c r="AF19" s="235">
        <f>SUM(B19:AE19)</f>
        <v/>
      </c>
    </row>
    <row r="20">
      <c r="A20" s="242" t="inlineStr">
        <is>
          <t>Wolverhampton - Supported Living</t>
        </is>
      </c>
      <c r="F20" t="n">
        <v>140800.84</v>
      </c>
      <c r="M20" t="n">
        <v>140800.84</v>
      </c>
      <c r="T20" t="n">
        <v>140800.84</v>
      </c>
      <c r="AA20" t="n">
        <v>140800.84</v>
      </c>
      <c r="AF20" s="235">
        <f>SUM(B20:AE20)</f>
        <v/>
      </c>
    </row>
    <row r="21">
      <c r="A21" s="242" t="inlineStr">
        <is>
          <t>People Plus - Direct Payments</t>
        </is>
      </c>
      <c r="U21" t="n">
        <v>14051.2</v>
      </c>
      <c r="Z21" t="n">
        <v>2870</v>
      </c>
      <c r="AF21" s="235">
        <f>SUM(B21:AE21)</f>
        <v/>
      </c>
    </row>
    <row r="22">
      <c r="A22" s="242" t="inlineStr">
        <is>
          <t>Middlesbrough - Supported Living</t>
        </is>
      </c>
      <c r="G22" t="n">
        <v>6116.04</v>
      </c>
      <c r="AF22" s="235">
        <f>SUM(B22:AE22)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s="235">
        <f>SUM(B23:AE23)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Tuesday</t>
        </is>
      </c>
      <c r="C1" s="249" t="inlineStr">
        <is>
          <t>Wednesday</t>
        </is>
      </c>
      <c r="D1" s="249" t="inlineStr">
        <is>
          <t>Thursday</t>
        </is>
      </c>
      <c r="E1" s="249" t="inlineStr">
        <is>
          <t>Friday</t>
        </is>
      </c>
      <c r="F1" s="249" t="inlineStr">
        <is>
          <t>Saturday</t>
        </is>
      </c>
      <c r="G1" s="249" t="inlineStr">
        <is>
          <t>Sunday</t>
        </is>
      </c>
      <c r="H1" s="249" t="inlineStr">
        <is>
          <t>Monday</t>
        </is>
      </c>
      <c r="I1" s="249" t="inlineStr">
        <is>
          <t>Tuesday</t>
        </is>
      </c>
      <c r="J1" s="249" t="inlineStr">
        <is>
          <t>Wednesday</t>
        </is>
      </c>
      <c r="K1" s="249" t="inlineStr">
        <is>
          <t>Thursday</t>
        </is>
      </c>
      <c r="L1" s="249" t="inlineStr">
        <is>
          <t>Friday</t>
        </is>
      </c>
      <c r="M1" s="249" t="inlineStr">
        <is>
          <t>Saturday</t>
        </is>
      </c>
      <c r="N1" s="249" t="inlineStr">
        <is>
          <t>Sunday</t>
        </is>
      </c>
      <c r="O1" s="249" t="inlineStr">
        <is>
          <t>Monday</t>
        </is>
      </c>
      <c r="P1" s="249" t="inlineStr">
        <is>
          <t>Tuesday</t>
        </is>
      </c>
      <c r="Q1" s="249" t="inlineStr">
        <is>
          <t>Wednesday</t>
        </is>
      </c>
      <c r="R1" s="249" t="inlineStr">
        <is>
          <t>Thursday</t>
        </is>
      </c>
      <c r="S1" s="249" t="inlineStr">
        <is>
          <t>Friday</t>
        </is>
      </c>
      <c r="T1" s="249" t="inlineStr">
        <is>
          <t>Saturday</t>
        </is>
      </c>
      <c r="U1" s="249" t="inlineStr">
        <is>
          <t>Sunday</t>
        </is>
      </c>
      <c r="V1" s="249" t="inlineStr">
        <is>
          <t>Monday</t>
        </is>
      </c>
      <c r="W1" s="249" t="inlineStr">
        <is>
          <t>Tuesday</t>
        </is>
      </c>
      <c r="X1" s="249" t="inlineStr">
        <is>
          <t>Wednesday</t>
        </is>
      </c>
      <c r="Y1" s="249" t="inlineStr">
        <is>
          <t>Thursday</t>
        </is>
      </c>
      <c r="Z1" s="249" t="inlineStr">
        <is>
          <t>Friday</t>
        </is>
      </c>
      <c r="AA1" s="249" t="inlineStr">
        <is>
          <t>Saturday</t>
        </is>
      </c>
      <c r="AB1" s="249" t="inlineStr">
        <is>
          <t>Sunday</t>
        </is>
      </c>
      <c r="AC1" s="249" t="inlineStr">
        <is>
          <t>Monday</t>
        </is>
      </c>
      <c r="AD1" s="249" t="inlineStr">
        <is>
          <t>Tuesday</t>
        </is>
      </c>
      <c r="AE1" s="249" t="inlineStr">
        <is>
          <t>Wednesday</t>
        </is>
      </c>
      <c r="AF1" s="249" t="inlineStr">
        <is>
          <t>Thursday</t>
        </is>
      </c>
      <c r="AG1" s="249" t="inlineStr">
        <is>
          <t>Total</t>
        </is>
      </c>
    </row>
    <row r="2">
      <c r="B2" s="277" t="n">
        <v>46357</v>
      </c>
      <c r="C2" s="277" t="n">
        <v>46358</v>
      </c>
      <c r="D2" s="277" t="n">
        <v>46359</v>
      </c>
      <c r="E2" s="277" t="n">
        <v>46360</v>
      </c>
      <c r="F2" s="277" t="n">
        <v>46361</v>
      </c>
      <c r="G2" s="277" t="n">
        <v>46362</v>
      </c>
      <c r="H2" s="277" t="n">
        <v>46363</v>
      </c>
      <c r="I2" s="277" t="n">
        <v>46364</v>
      </c>
      <c r="J2" s="277" t="n">
        <v>46365</v>
      </c>
      <c r="K2" s="277" t="n">
        <v>46366</v>
      </c>
      <c r="L2" s="277" t="n">
        <v>46367</v>
      </c>
      <c r="M2" s="277" t="n">
        <v>46368</v>
      </c>
      <c r="N2" s="277" t="n">
        <v>46369</v>
      </c>
      <c r="O2" s="277" t="n">
        <v>46370</v>
      </c>
      <c r="P2" s="277" t="n">
        <v>46371</v>
      </c>
      <c r="Q2" s="277" t="n">
        <v>46372</v>
      </c>
      <c r="R2" s="277" t="n">
        <v>46373</v>
      </c>
      <c r="S2" s="277" t="n">
        <v>46374</v>
      </c>
      <c r="T2" s="277" t="n">
        <v>46375</v>
      </c>
      <c r="U2" s="277" t="n">
        <v>46376</v>
      </c>
      <c r="V2" s="277" t="n">
        <v>46377</v>
      </c>
      <c r="W2" s="277" t="n">
        <v>46378</v>
      </c>
      <c r="X2" s="277" t="n">
        <v>46379</v>
      </c>
      <c r="Y2" s="277" t="n">
        <v>46380</v>
      </c>
      <c r="Z2" s="277" t="n">
        <v>46381</v>
      </c>
      <c r="AA2" s="277" t="n">
        <v>46382</v>
      </c>
      <c r="AB2" s="277" t="n">
        <v>46383</v>
      </c>
      <c r="AC2" s="277" t="n">
        <v>46384</v>
      </c>
      <c r="AD2" s="277" t="n">
        <v>46385</v>
      </c>
      <c r="AE2" s="277" t="n">
        <v>46386</v>
      </c>
      <c r="AF2" s="277" t="n">
        <v>46387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Y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D7" t="n">
        <v>930.65</v>
      </c>
      <c r="K7" t="n">
        <v>930.65</v>
      </c>
      <c r="R7" t="n">
        <v>930.65</v>
      </c>
      <c r="Y7" t="n">
        <v>930.65</v>
      </c>
      <c r="AF7" t="n">
        <v>930.65</v>
      </c>
      <c r="AG7" s="235">
        <f>SUM(B7:AF7)</f>
        <v/>
      </c>
    </row>
    <row r="8">
      <c r="A8" s="242" t="inlineStr">
        <is>
          <t>Wolverhampton - Daycare</t>
        </is>
      </c>
      <c r="D8" t="n">
        <v>5606.3</v>
      </c>
      <c r="K8" t="n">
        <v>5606.3</v>
      </c>
      <c r="R8" t="n">
        <v>5606.3</v>
      </c>
      <c r="Y8" t="n">
        <v>5606.3</v>
      </c>
      <c r="AF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J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Y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Y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R14" t="n">
        <v>7814.17</v>
      </c>
      <c r="V14" t="n">
        <v>2091.66</v>
      </c>
      <c r="AG14" s="235">
        <f>SUM(B14:AF14)</f>
        <v/>
      </c>
    </row>
    <row r="15">
      <c r="A15" s="242" t="inlineStr">
        <is>
          <t>NHS Black Country ICB</t>
        </is>
      </c>
      <c r="H15" t="n">
        <v>3789.84</v>
      </c>
      <c r="K15" t="n">
        <v>3363.36</v>
      </c>
      <c r="X15" t="n">
        <v>5928.26</v>
      </c>
      <c r="AG15" s="235">
        <f>SUM(B15:AF15)</f>
        <v/>
      </c>
    </row>
    <row r="16">
      <c r="A16" s="242" t="inlineStr">
        <is>
          <t>Sandwell - HB</t>
        </is>
      </c>
      <c r="H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E17" t="n">
        <v>158792.17</v>
      </c>
      <c r="I17" t="n">
        <v>131304.4</v>
      </c>
      <c r="S17" t="n">
        <v>158792.17</v>
      </c>
      <c r="W17" t="n">
        <v>131304.4</v>
      </c>
      <c r="AG17" s="235">
        <f>SUM(B17:AF17)</f>
        <v/>
      </c>
    </row>
    <row r="18">
      <c r="A18" s="242" t="inlineStr">
        <is>
          <t>Solihull MBC - Supported Living</t>
        </is>
      </c>
      <c r="AC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P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D20" t="n">
        <v>140800.84</v>
      </c>
      <c r="K20" t="n">
        <v>140800.84</v>
      </c>
      <c r="R20" t="n">
        <v>140800.84</v>
      </c>
      <c r="Y20" t="n">
        <v>140800.84</v>
      </c>
      <c r="AF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S21" t="n">
        <v>14051.2</v>
      </c>
      <c r="X21" t="n">
        <v>2870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Friday</t>
        </is>
      </c>
      <c r="C1" s="249" t="inlineStr">
        <is>
          <t>Saturday</t>
        </is>
      </c>
      <c r="D1" s="249" t="inlineStr">
        <is>
          <t>Sunday</t>
        </is>
      </c>
      <c r="E1" s="249" t="inlineStr">
        <is>
          <t>Monday</t>
        </is>
      </c>
      <c r="F1" s="249" t="inlineStr">
        <is>
          <t>Tuesday</t>
        </is>
      </c>
      <c r="G1" s="249" t="inlineStr">
        <is>
          <t>Wednesday</t>
        </is>
      </c>
      <c r="H1" s="249" t="inlineStr">
        <is>
          <t>Thursday</t>
        </is>
      </c>
      <c r="I1" s="249" t="inlineStr">
        <is>
          <t>Friday</t>
        </is>
      </c>
      <c r="J1" s="249" t="inlineStr">
        <is>
          <t>Saturday</t>
        </is>
      </c>
      <c r="K1" s="249" t="inlineStr">
        <is>
          <t>Sunday</t>
        </is>
      </c>
      <c r="L1" s="249" t="inlineStr">
        <is>
          <t>Monday</t>
        </is>
      </c>
      <c r="M1" s="249" t="inlineStr">
        <is>
          <t>Tuesday</t>
        </is>
      </c>
      <c r="N1" s="249" t="inlineStr">
        <is>
          <t>Wednesday</t>
        </is>
      </c>
      <c r="O1" s="249" t="inlineStr">
        <is>
          <t>Thursday</t>
        </is>
      </c>
      <c r="P1" s="249" t="inlineStr">
        <is>
          <t>Friday</t>
        </is>
      </c>
      <c r="Q1" s="249" t="inlineStr">
        <is>
          <t>Saturday</t>
        </is>
      </c>
      <c r="R1" s="249" t="inlineStr">
        <is>
          <t>Sunday</t>
        </is>
      </c>
      <c r="S1" s="249" t="inlineStr">
        <is>
          <t>Monday</t>
        </is>
      </c>
      <c r="T1" s="249" t="inlineStr">
        <is>
          <t>Tuesday</t>
        </is>
      </c>
      <c r="U1" s="249" t="inlineStr">
        <is>
          <t>Wednesday</t>
        </is>
      </c>
      <c r="V1" s="249" t="inlineStr">
        <is>
          <t>Thursday</t>
        </is>
      </c>
      <c r="W1" s="249" t="inlineStr">
        <is>
          <t>Friday</t>
        </is>
      </c>
      <c r="X1" s="249" t="inlineStr">
        <is>
          <t>Saturday</t>
        </is>
      </c>
      <c r="Y1" s="249" t="inlineStr">
        <is>
          <t>Sunday</t>
        </is>
      </c>
      <c r="Z1" s="249" t="inlineStr">
        <is>
          <t>Monday</t>
        </is>
      </c>
      <c r="AA1" s="249" t="inlineStr">
        <is>
          <t>Tuesday</t>
        </is>
      </c>
      <c r="AB1" s="249" t="inlineStr">
        <is>
          <t>Wednesday</t>
        </is>
      </c>
      <c r="AC1" s="249" t="inlineStr">
        <is>
          <t>Thursday</t>
        </is>
      </c>
      <c r="AD1" s="249" t="inlineStr">
        <is>
          <t>Friday</t>
        </is>
      </c>
      <c r="AE1" s="249" t="inlineStr">
        <is>
          <t>Saturday</t>
        </is>
      </c>
      <c r="AF1" s="249" t="inlineStr">
        <is>
          <t>Sunday</t>
        </is>
      </c>
      <c r="AG1" s="249" t="inlineStr">
        <is>
          <t>Total</t>
        </is>
      </c>
    </row>
    <row r="2">
      <c r="B2" s="277" t="n">
        <v>46388</v>
      </c>
      <c r="C2" s="277" t="n">
        <v>46389</v>
      </c>
      <c r="D2" s="277" t="n">
        <v>46390</v>
      </c>
      <c r="E2" s="277" t="n">
        <v>46391</v>
      </c>
      <c r="F2" s="277" t="n">
        <v>46392</v>
      </c>
      <c r="G2" s="277" t="n">
        <v>46393</v>
      </c>
      <c r="H2" s="277" t="n">
        <v>46394</v>
      </c>
      <c r="I2" s="277" t="n">
        <v>46395</v>
      </c>
      <c r="J2" s="277" t="n">
        <v>46396</v>
      </c>
      <c r="K2" s="277" t="n">
        <v>46397</v>
      </c>
      <c r="L2" s="277" t="n">
        <v>46398</v>
      </c>
      <c r="M2" s="277" t="n">
        <v>46399</v>
      </c>
      <c r="N2" s="277" t="n">
        <v>46400</v>
      </c>
      <c r="O2" s="277" t="n">
        <v>46401</v>
      </c>
      <c r="P2" s="277" t="n">
        <v>46402</v>
      </c>
      <c r="Q2" s="277" t="n">
        <v>46403</v>
      </c>
      <c r="R2" s="277" t="n">
        <v>46404</v>
      </c>
      <c r="S2" s="277" t="n">
        <v>46405</v>
      </c>
      <c r="T2" s="277" t="n">
        <v>46406</v>
      </c>
      <c r="U2" s="277" t="n">
        <v>46407</v>
      </c>
      <c r="V2" s="277" t="n">
        <v>46408</v>
      </c>
      <c r="W2" s="277" t="n">
        <v>46409</v>
      </c>
      <c r="X2" s="277" t="n">
        <v>46410</v>
      </c>
      <c r="Y2" s="277" t="n">
        <v>46411</v>
      </c>
      <c r="Z2" s="277" t="n">
        <v>46412</v>
      </c>
      <c r="AA2" s="277" t="n">
        <v>46413</v>
      </c>
      <c r="AB2" s="277" t="n">
        <v>46414</v>
      </c>
      <c r="AC2" s="277" t="n">
        <v>46415</v>
      </c>
      <c r="AD2" s="277" t="n">
        <v>46416</v>
      </c>
      <c r="AE2" s="277" t="n">
        <v>46417</v>
      </c>
      <c r="AF2" s="277" t="n">
        <v>46418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V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H7" t="n">
        <v>930.65</v>
      </c>
      <c r="O7" t="n">
        <v>930.65</v>
      </c>
      <c r="V7" t="n">
        <v>930.65</v>
      </c>
      <c r="AC7" t="n">
        <v>930.65</v>
      </c>
      <c r="AG7" s="235">
        <f>SUM(B7:AF7)</f>
        <v/>
      </c>
    </row>
    <row r="8">
      <c r="A8" s="242" t="inlineStr">
        <is>
          <t>Wolverhampton - Daycare</t>
        </is>
      </c>
      <c r="H8" t="n">
        <v>5606.3</v>
      </c>
      <c r="O8" t="n">
        <v>5606.3</v>
      </c>
      <c r="V8" t="n">
        <v>5606.3</v>
      </c>
      <c r="AC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G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V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V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O14" t="n">
        <v>7814.17</v>
      </c>
      <c r="S14" t="n">
        <v>2091.66</v>
      </c>
      <c r="AG14" s="235">
        <f>SUM(B14:AF14)</f>
        <v/>
      </c>
    </row>
    <row r="15">
      <c r="A15" s="242" t="inlineStr">
        <is>
          <t>NHS Black Country ICB</t>
        </is>
      </c>
      <c r="E15" t="n">
        <v>3789.84</v>
      </c>
      <c r="H15" t="n">
        <v>3363.36</v>
      </c>
      <c r="U15" t="n">
        <v>5928.26</v>
      </c>
      <c r="AG15" s="235">
        <f>SUM(B15:AF15)</f>
        <v/>
      </c>
    </row>
    <row r="16">
      <c r="A16" s="242" t="inlineStr">
        <is>
          <t>Sandwell - HB</t>
        </is>
      </c>
      <c r="E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B17" t="n">
        <v>158792.17</v>
      </c>
      <c r="F17" t="n">
        <v>131304.4</v>
      </c>
      <c r="P17" t="n">
        <v>158792.17</v>
      </c>
      <c r="T17" t="n">
        <v>131304.4</v>
      </c>
      <c r="AD17" t="n">
        <v>158792.17</v>
      </c>
      <c r="AG17" s="235">
        <f>SUM(B17:AF17)</f>
        <v/>
      </c>
    </row>
    <row r="18">
      <c r="A18" s="242" t="inlineStr">
        <is>
          <t>Solihull MBC - Supported Living</t>
        </is>
      </c>
      <c r="Z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M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H20" t="n">
        <v>140800.84</v>
      </c>
      <c r="O20" t="n">
        <v>140800.84</v>
      </c>
      <c r="V20" t="n">
        <v>140800.84</v>
      </c>
      <c r="AC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P21" t="n">
        <v>14051.2</v>
      </c>
      <c r="U21" t="n">
        <v>2870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Monday</t>
        </is>
      </c>
      <c r="C1" s="249" t="inlineStr">
        <is>
          <t>Tuesday</t>
        </is>
      </c>
      <c r="D1" s="249" t="inlineStr">
        <is>
          <t>Wednesday</t>
        </is>
      </c>
      <c r="E1" s="249" t="inlineStr">
        <is>
          <t>Thursday</t>
        </is>
      </c>
      <c r="F1" s="249" t="inlineStr">
        <is>
          <t>Friday</t>
        </is>
      </c>
      <c r="G1" s="249" t="inlineStr">
        <is>
          <t>Saturday</t>
        </is>
      </c>
      <c r="H1" s="249" t="inlineStr">
        <is>
          <t>Sunday</t>
        </is>
      </c>
      <c r="I1" s="249" t="inlineStr">
        <is>
          <t>Monday</t>
        </is>
      </c>
      <c r="J1" s="249" t="inlineStr">
        <is>
          <t>Tuesday</t>
        </is>
      </c>
      <c r="K1" s="249" t="inlineStr">
        <is>
          <t>Wednesday</t>
        </is>
      </c>
      <c r="L1" s="249" t="inlineStr">
        <is>
          <t>Thursday</t>
        </is>
      </c>
      <c r="M1" s="249" t="inlineStr">
        <is>
          <t>Friday</t>
        </is>
      </c>
      <c r="N1" s="249" t="inlineStr">
        <is>
          <t>Saturday</t>
        </is>
      </c>
      <c r="O1" s="249" t="inlineStr">
        <is>
          <t>Sunday</t>
        </is>
      </c>
      <c r="P1" s="249" t="inlineStr">
        <is>
          <t>Monday</t>
        </is>
      </c>
      <c r="Q1" s="249" t="inlineStr">
        <is>
          <t>Tuesday</t>
        </is>
      </c>
      <c r="R1" s="249" t="inlineStr">
        <is>
          <t>Wednesday</t>
        </is>
      </c>
      <c r="S1" s="249" t="inlineStr">
        <is>
          <t>Thursday</t>
        </is>
      </c>
      <c r="T1" s="249" t="inlineStr">
        <is>
          <t>Friday</t>
        </is>
      </c>
      <c r="U1" s="249" t="inlineStr">
        <is>
          <t>Saturday</t>
        </is>
      </c>
      <c r="V1" s="249" t="inlineStr">
        <is>
          <t>Sunday</t>
        </is>
      </c>
      <c r="W1" s="249" t="inlineStr">
        <is>
          <t>Monday</t>
        </is>
      </c>
      <c r="X1" s="249" t="inlineStr">
        <is>
          <t>Tuesday</t>
        </is>
      </c>
      <c r="Y1" s="249" t="inlineStr">
        <is>
          <t>Wednesday</t>
        </is>
      </c>
      <c r="Z1" s="249" t="inlineStr">
        <is>
          <t>Thursday</t>
        </is>
      </c>
      <c r="AA1" s="249" t="inlineStr">
        <is>
          <t>Friday</t>
        </is>
      </c>
      <c r="AB1" s="249" t="inlineStr">
        <is>
          <t>Saturday</t>
        </is>
      </c>
      <c r="AC1" s="249" t="inlineStr">
        <is>
          <t>Sunday</t>
        </is>
      </c>
      <c r="AD1" s="249" t="inlineStr">
        <is>
          <t>Total</t>
        </is>
      </c>
    </row>
    <row r="2">
      <c r="B2" s="277" t="n">
        <v>46419</v>
      </c>
      <c r="C2" s="277" t="n">
        <v>46420</v>
      </c>
      <c r="D2" s="277" t="n">
        <v>46421</v>
      </c>
      <c r="E2" s="277" t="n">
        <v>46422</v>
      </c>
      <c r="F2" s="277" t="n">
        <v>46423</v>
      </c>
      <c r="G2" s="277" t="n">
        <v>46424</v>
      </c>
      <c r="H2" s="277" t="n">
        <v>46425</v>
      </c>
      <c r="I2" s="277" t="n">
        <v>46426</v>
      </c>
      <c r="J2" s="277" t="n">
        <v>46427</v>
      </c>
      <c r="K2" s="277" t="n">
        <v>46428</v>
      </c>
      <c r="L2" s="277" t="n">
        <v>46429</v>
      </c>
      <c r="M2" s="277" t="n">
        <v>46430</v>
      </c>
      <c r="N2" s="277" t="n">
        <v>46431</v>
      </c>
      <c r="O2" s="277" t="n">
        <v>46432</v>
      </c>
      <c r="P2" s="277" t="n">
        <v>46433</v>
      </c>
      <c r="Q2" s="277" t="n">
        <v>46434</v>
      </c>
      <c r="R2" s="277" t="n">
        <v>46435</v>
      </c>
      <c r="S2" s="277" t="n">
        <v>46436</v>
      </c>
      <c r="T2" s="277" t="n">
        <v>46437</v>
      </c>
      <c r="U2" s="277" t="n">
        <v>46438</v>
      </c>
      <c r="V2" s="277" t="n">
        <v>46439</v>
      </c>
      <c r="W2" s="277" t="n">
        <v>46440</v>
      </c>
      <c r="X2" s="277" t="n">
        <v>46441</v>
      </c>
      <c r="Y2" s="277" t="n">
        <v>46442</v>
      </c>
      <c r="Z2" s="277" t="n">
        <v>46443</v>
      </c>
      <c r="AA2" s="277" t="n">
        <v>46444</v>
      </c>
      <c r="AB2" s="277" t="n">
        <v>46445</v>
      </c>
      <c r="AC2" s="277" t="n">
        <v>46446</v>
      </c>
    </row>
    <row r="3">
      <c r="A3" s="242" t="inlineStr">
        <is>
          <t>Birmingham City Council - Supported Living</t>
        </is>
      </c>
      <c r="AD3" s="235">
        <f>SUM(B3:AC3)</f>
        <v/>
      </c>
    </row>
    <row r="4">
      <c r="A4" s="242" t="inlineStr">
        <is>
          <t>Haringey</t>
        </is>
      </c>
      <c r="S4" t="n">
        <v>6000</v>
      </c>
      <c r="AD4" s="235">
        <f>SUM(B4:AC4)</f>
        <v/>
      </c>
    </row>
    <row r="5">
      <c r="A5" s="242" t="inlineStr">
        <is>
          <t>Sandwell MBC - Respite</t>
        </is>
      </c>
      <c r="B5" t="n">
        <v>3419.08</v>
      </c>
      <c r="AD5" s="235">
        <f>SUM(B5:AC5)</f>
        <v/>
      </c>
    </row>
    <row r="6">
      <c r="A6" s="242" t="inlineStr">
        <is>
          <t>Sandwell MBC - Daycare</t>
        </is>
      </c>
      <c r="I6" t="n">
        <v>6866.4</v>
      </c>
      <c r="AD6" s="235">
        <f>SUM(B6:AC6)</f>
        <v/>
      </c>
    </row>
    <row r="7">
      <c r="A7" s="242" t="inlineStr">
        <is>
          <t xml:space="preserve">Wolverhampton - Respite </t>
        </is>
      </c>
      <c r="E7" t="n">
        <v>930.65</v>
      </c>
      <c r="L7" t="n">
        <v>930.65</v>
      </c>
      <c r="S7" t="n">
        <v>930.65</v>
      </c>
      <c r="Z7" t="n">
        <v>930.65</v>
      </c>
      <c r="AD7" s="235">
        <f>SUM(B7:AC7)</f>
        <v/>
      </c>
    </row>
    <row r="8">
      <c r="A8" s="242" t="inlineStr">
        <is>
          <t>Wolverhampton - Daycare</t>
        </is>
      </c>
      <c r="E8" t="n">
        <v>5606.3</v>
      </c>
      <c r="L8" t="n">
        <v>5606.3</v>
      </c>
      <c r="S8" t="n">
        <v>5606.3</v>
      </c>
      <c r="Z8" t="n">
        <v>5606.3</v>
      </c>
      <c r="AD8" s="235">
        <f>SUM(B8:AC8)</f>
        <v/>
      </c>
    </row>
    <row r="9">
      <c r="A9" s="242" t="inlineStr">
        <is>
          <t>Walsall - Respite</t>
        </is>
      </c>
      <c r="F9" t="n">
        <v>18171.66</v>
      </c>
      <c r="AD9" s="235">
        <f>SUM(B9:AC9)</f>
        <v/>
      </c>
    </row>
    <row r="10">
      <c r="A10" s="242" t="inlineStr">
        <is>
          <t>Walsall - Daycare</t>
        </is>
      </c>
      <c r="AD10" s="235">
        <f>SUM(B10:AC10)</f>
        <v/>
      </c>
    </row>
    <row r="11">
      <c r="A11" s="242" t="inlineStr">
        <is>
          <t>Ideal for All Ltd - Direct Payments</t>
        </is>
      </c>
      <c r="D11" t="n">
        <v>7664.06</v>
      </c>
      <c r="AD11" s="235">
        <f>SUM(B11:AC11)</f>
        <v/>
      </c>
    </row>
    <row r="12">
      <c r="A12" s="242" t="inlineStr">
        <is>
          <t>Kirklees - Supported Living</t>
        </is>
      </c>
      <c r="S12" t="n">
        <v>6221.4</v>
      </c>
      <c r="AD12" s="235">
        <f>SUM(B12:AC12)</f>
        <v/>
      </c>
    </row>
    <row r="13">
      <c r="A13" s="242" t="inlineStr">
        <is>
          <t>LB Hillingdon - Supported Living</t>
        </is>
      </c>
      <c r="S13" t="n">
        <v>5203.8</v>
      </c>
      <c r="AD13" s="235">
        <f>SUM(B13:AC13)</f>
        <v/>
      </c>
    </row>
    <row r="14">
      <c r="A14" s="242" t="inlineStr">
        <is>
          <t>NHS Birmingham &amp; Solihull ICB</t>
        </is>
      </c>
      <c r="L14" t="n">
        <v>7814.17</v>
      </c>
      <c r="P14" t="n">
        <v>2091.66</v>
      </c>
      <c r="AD14" s="235">
        <f>SUM(B14:AC14)</f>
        <v/>
      </c>
    </row>
    <row r="15">
      <c r="A15" s="242" t="inlineStr">
        <is>
          <t>NHS Black Country ICB</t>
        </is>
      </c>
      <c r="B15" t="n">
        <v>3789.84</v>
      </c>
      <c r="E15" t="n">
        <v>3363.36</v>
      </c>
      <c r="R15" t="n">
        <v>5928.26</v>
      </c>
      <c r="AD15" s="235">
        <f>SUM(B15:AC15)</f>
        <v/>
      </c>
    </row>
    <row r="16">
      <c r="A16" s="242" t="inlineStr">
        <is>
          <t>Sandwell - HB</t>
        </is>
      </c>
      <c r="B16" t="n">
        <v>380</v>
      </c>
      <c r="AD16" s="235">
        <f>SUM(B16:AC16)</f>
        <v/>
      </c>
    </row>
    <row r="17">
      <c r="A17" s="242" t="inlineStr">
        <is>
          <t>Sandwell MBC - Supported Living</t>
        </is>
      </c>
      <c r="C17" t="n">
        <v>131304.4</v>
      </c>
      <c r="M17" t="n">
        <v>158792.17</v>
      </c>
      <c r="Q17" t="n">
        <v>131304.4</v>
      </c>
      <c r="AA17" t="n">
        <v>158792.17</v>
      </c>
      <c r="AD17" s="235">
        <f>SUM(B17:AC17)</f>
        <v/>
      </c>
    </row>
    <row r="18">
      <c r="A18" s="242" t="inlineStr">
        <is>
          <t>Solihull MBC - Supported Living</t>
        </is>
      </c>
      <c r="W18" t="n">
        <v>33639.34</v>
      </c>
      <c r="AD18" s="235">
        <f>SUM(B18:AC18)</f>
        <v/>
      </c>
    </row>
    <row r="19">
      <c r="A19" s="242" t="inlineStr">
        <is>
          <t>Walsall - Supported Living</t>
        </is>
      </c>
      <c r="J19" t="n">
        <v>343077.42</v>
      </c>
      <c r="AD19" s="235">
        <f>SUM(B19:AC19)</f>
        <v/>
      </c>
    </row>
    <row r="20">
      <c r="A20" s="242" t="inlineStr">
        <is>
          <t>Wolverhampton - Supported Living</t>
        </is>
      </c>
      <c r="E20" t="n">
        <v>140800.84</v>
      </c>
      <c r="L20" t="n">
        <v>140800.84</v>
      </c>
      <c r="S20" t="n">
        <v>140800.84</v>
      </c>
      <c r="Z20" t="n">
        <v>140800.84</v>
      </c>
      <c r="AD20" s="235">
        <f>SUM(B20:AC20)</f>
        <v/>
      </c>
    </row>
    <row r="21">
      <c r="A21" s="242" t="inlineStr">
        <is>
          <t>People Plus - Direct Payments</t>
        </is>
      </c>
      <c r="M21" t="n">
        <v>14051.2</v>
      </c>
      <c r="R21" t="n">
        <v>2870</v>
      </c>
      <c r="AD21" s="235">
        <f>SUM(B21:AC21)</f>
        <v/>
      </c>
    </row>
    <row r="22">
      <c r="A22" s="242" t="inlineStr">
        <is>
          <t>Middlesbrough - Supported Living</t>
        </is>
      </c>
      <c r="G22" t="n">
        <v>6116.04</v>
      </c>
      <c r="AD22" s="235">
        <f>SUM(B22:AC22)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s="235">
        <f>SUM(B23:AC23)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>
  <sheetPr>
    <outlinePr summaryBelow="1" summaryRight="1"/>
    <pageSetUpPr/>
  </sheetPr>
  <dimension ref="A1:AG24"/>
  <sheetViews>
    <sheetView workbookViewId="0">
      <selection activeCell="A24" sqref="A24:XFD24"/>
    </sheetView>
  </sheetViews>
  <sheetFormatPr baseColWidth="8" defaultRowHeight="15"/>
  <cols>
    <col width="53.28515625" customWidth="1" min="1" max="1"/>
  </cols>
  <sheetData>
    <row r="1">
      <c r="B1" s="249" t="inlineStr">
        <is>
          <t>Monday</t>
        </is>
      </c>
      <c r="C1" s="249" t="inlineStr">
        <is>
          <t>Tuesday</t>
        </is>
      </c>
      <c r="D1" s="249" t="inlineStr">
        <is>
          <t>Wednesday</t>
        </is>
      </c>
      <c r="E1" s="249" t="inlineStr">
        <is>
          <t>Thursday</t>
        </is>
      </c>
      <c r="F1" s="249" t="inlineStr">
        <is>
          <t>Friday</t>
        </is>
      </c>
      <c r="G1" s="249" t="inlineStr">
        <is>
          <t>Saturday</t>
        </is>
      </c>
      <c r="H1" s="249" t="inlineStr">
        <is>
          <t>Sunday</t>
        </is>
      </c>
      <c r="I1" s="249" t="inlineStr">
        <is>
          <t>Monday</t>
        </is>
      </c>
      <c r="J1" s="249" t="inlineStr">
        <is>
          <t>Tuesday</t>
        </is>
      </c>
      <c r="K1" s="249" t="inlineStr">
        <is>
          <t>Wednesday</t>
        </is>
      </c>
      <c r="L1" s="249" t="inlineStr">
        <is>
          <t>Thursday</t>
        </is>
      </c>
      <c r="M1" s="249" t="inlineStr">
        <is>
          <t>Friday</t>
        </is>
      </c>
      <c r="N1" s="249" t="inlineStr">
        <is>
          <t>Saturday</t>
        </is>
      </c>
      <c r="O1" s="249" t="inlineStr">
        <is>
          <t>Sunday</t>
        </is>
      </c>
      <c r="P1" s="249" t="inlineStr">
        <is>
          <t>Monday</t>
        </is>
      </c>
      <c r="Q1" s="249" t="inlineStr">
        <is>
          <t>Tuesday</t>
        </is>
      </c>
      <c r="R1" s="249" t="inlineStr">
        <is>
          <t>Wednesday</t>
        </is>
      </c>
      <c r="S1" s="249" t="inlineStr">
        <is>
          <t>Thursday</t>
        </is>
      </c>
      <c r="T1" s="249" t="inlineStr">
        <is>
          <t>Friday</t>
        </is>
      </c>
      <c r="U1" s="249" t="inlineStr">
        <is>
          <t>Saturday</t>
        </is>
      </c>
      <c r="V1" s="249" t="inlineStr">
        <is>
          <t>Sunday</t>
        </is>
      </c>
      <c r="W1" s="249" t="inlineStr">
        <is>
          <t>Monday</t>
        </is>
      </c>
      <c r="X1" s="249" t="inlineStr">
        <is>
          <t>Tuesday</t>
        </is>
      </c>
      <c r="Y1" s="249" t="inlineStr">
        <is>
          <t>Wednesday</t>
        </is>
      </c>
      <c r="Z1" s="249" t="inlineStr">
        <is>
          <t>Thursday</t>
        </is>
      </c>
      <c r="AA1" s="249" t="inlineStr">
        <is>
          <t>Friday</t>
        </is>
      </c>
      <c r="AB1" s="249" t="inlineStr">
        <is>
          <t>Saturday</t>
        </is>
      </c>
      <c r="AC1" s="249" t="inlineStr">
        <is>
          <t>Sunday</t>
        </is>
      </c>
      <c r="AD1" s="249" t="inlineStr">
        <is>
          <t>Monday</t>
        </is>
      </c>
      <c r="AE1" s="249" t="inlineStr">
        <is>
          <t>Tuesday</t>
        </is>
      </c>
      <c r="AF1" s="249" t="inlineStr">
        <is>
          <t>Wednesday</t>
        </is>
      </c>
      <c r="AG1" s="249" t="inlineStr">
        <is>
          <t>Total</t>
        </is>
      </c>
    </row>
    <row r="2">
      <c r="B2" s="277" t="n">
        <v>46447</v>
      </c>
      <c r="C2" s="277" t="n">
        <v>46448</v>
      </c>
      <c r="D2" s="277" t="n">
        <v>46449</v>
      </c>
      <c r="E2" s="277" t="n">
        <v>46450</v>
      </c>
      <c r="F2" s="277" t="n">
        <v>46451</v>
      </c>
      <c r="G2" s="277" t="n">
        <v>46452</v>
      </c>
      <c r="H2" s="277" t="n">
        <v>46453</v>
      </c>
      <c r="I2" s="277" t="n">
        <v>46454</v>
      </c>
      <c r="J2" s="277" t="n">
        <v>46455</v>
      </c>
      <c r="K2" s="277" t="n">
        <v>46456</v>
      </c>
      <c r="L2" s="277" t="n">
        <v>46457</v>
      </c>
      <c r="M2" s="277" t="n">
        <v>46458</v>
      </c>
      <c r="N2" s="277" t="n">
        <v>46459</v>
      </c>
      <c r="O2" s="277" t="n">
        <v>46460</v>
      </c>
      <c r="P2" s="277" t="n">
        <v>46461</v>
      </c>
      <c r="Q2" s="277" t="n">
        <v>46462</v>
      </c>
      <c r="R2" s="277" t="n">
        <v>46463</v>
      </c>
      <c r="S2" s="277" t="n">
        <v>46464</v>
      </c>
      <c r="T2" s="277" t="n">
        <v>46465</v>
      </c>
      <c r="U2" s="277" t="n">
        <v>46466</v>
      </c>
      <c r="V2" s="277" t="n">
        <v>46467</v>
      </c>
      <c r="W2" s="277" t="n">
        <v>46468</v>
      </c>
      <c r="X2" s="277" t="n">
        <v>46469</v>
      </c>
      <c r="Y2" s="277" t="n">
        <v>46470</v>
      </c>
      <c r="Z2" s="277" t="n">
        <v>46471</v>
      </c>
      <c r="AA2" s="277" t="n">
        <v>46472</v>
      </c>
      <c r="AB2" s="277" t="n">
        <v>46473</v>
      </c>
      <c r="AC2" s="277" t="n">
        <v>46474</v>
      </c>
      <c r="AD2" s="277" t="n">
        <v>46475</v>
      </c>
      <c r="AE2" s="277" t="n">
        <v>46476</v>
      </c>
      <c r="AF2" s="277" t="n">
        <v>46477</v>
      </c>
    </row>
    <row r="3">
      <c r="A3" s="242" t="inlineStr">
        <is>
          <t>Birmingham City Council - Supported Living</t>
        </is>
      </c>
      <c r="AG3" s="235">
        <f>SUM(B3:AF3)</f>
        <v/>
      </c>
    </row>
    <row r="4">
      <c r="A4" s="242" t="inlineStr">
        <is>
          <t>Haringey</t>
        </is>
      </c>
      <c r="S4" t="n">
        <v>6000</v>
      </c>
      <c r="AG4" s="235">
        <f>SUM(B4:AF4)</f>
        <v/>
      </c>
    </row>
    <row r="5">
      <c r="A5" s="242" t="inlineStr">
        <is>
          <t>Sandwell MBC - Respite</t>
        </is>
      </c>
      <c r="B5" t="n">
        <v>3419.08</v>
      </c>
      <c r="AG5" s="235">
        <f>SUM(B5:AF5)</f>
        <v/>
      </c>
    </row>
    <row r="6">
      <c r="A6" s="242" t="inlineStr">
        <is>
          <t>Sandwell MBC - Daycare</t>
        </is>
      </c>
      <c r="I6" t="n">
        <v>6866.4</v>
      </c>
      <c r="AG6" s="235">
        <f>SUM(B6:AF6)</f>
        <v/>
      </c>
    </row>
    <row r="7">
      <c r="A7" s="242" t="inlineStr">
        <is>
          <t xml:space="preserve">Wolverhampton - Respite </t>
        </is>
      </c>
      <c r="E7" t="n">
        <v>930.65</v>
      </c>
      <c r="L7" t="n">
        <v>930.65</v>
      </c>
      <c r="S7" t="n">
        <v>930.65</v>
      </c>
      <c r="Z7" t="n">
        <v>930.65</v>
      </c>
      <c r="AG7" s="235">
        <f>SUM(B7:AF7)</f>
        <v/>
      </c>
    </row>
    <row r="8">
      <c r="A8" s="242" t="inlineStr">
        <is>
          <t>Wolverhampton - Daycare</t>
        </is>
      </c>
      <c r="E8" t="n">
        <v>5606.3</v>
      </c>
      <c r="L8" t="n">
        <v>5606.3</v>
      </c>
      <c r="S8" t="n">
        <v>5606.3</v>
      </c>
      <c r="Z8" t="n">
        <v>5606.3</v>
      </c>
      <c r="AG8" s="235">
        <f>SUM(B8:AF8)</f>
        <v/>
      </c>
    </row>
    <row r="9">
      <c r="A9" s="242" t="inlineStr">
        <is>
          <t>Walsall - Respite</t>
        </is>
      </c>
      <c r="F9" t="n">
        <v>18171.66</v>
      </c>
      <c r="AG9" s="235">
        <f>SUM(B9:AF9)</f>
        <v/>
      </c>
    </row>
    <row r="10">
      <c r="A10" s="242" t="inlineStr">
        <is>
          <t>Walsall - Daycare</t>
        </is>
      </c>
      <c r="AG10" s="235">
        <f>SUM(B10:AF10)</f>
        <v/>
      </c>
    </row>
    <row r="11">
      <c r="A11" s="242" t="inlineStr">
        <is>
          <t>Ideal for All Ltd - Direct Payments</t>
        </is>
      </c>
      <c r="D11" t="n">
        <v>7664.06</v>
      </c>
      <c r="AF11" t="n">
        <v>7664.06</v>
      </c>
      <c r="AG11" s="235">
        <f>SUM(B11:AF11)</f>
        <v/>
      </c>
    </row>
    <row r="12">
      <c r="A12" s="242" t="inlineStr">
        <is>
          <t>Kirklees - Supported Living</t>
        </is>
      </c>
      <c r="S12" t="n">
        <v>6221.4</v>
      </c>
      <c r="AG12" s="235">
        <f>SUM(B12:AF12)</f>
        <v/>
      </c>
    </row>
    <row r="13">
      <c r="A13" s="242" t="inlineStr">
        <is>
          <t>LB Hillingdon - Supported Living</t>
        </is>
      </c>
      <c r="S13" t="n">
        <v>5203.8</v>
      </c>
      <c r="AG13" s="235">
        <f>SUM(B13:AF13)</f>
        <v/>
      </c>
    </row>
    <row r="14">
      <c r="A14" s="242" t="inlineStr">
        <is>
          <t>NHS Birmingham &amp; Solihull ICB</t>
        </is>
      </c>
      <c r="L14" t="n">
        <v>7814.17</v>
      </c>
      <c r="P14" t="n">
        <v>2091.66</v>
      </c>
      <c r="AG14" s="235">
        <f>SUM(B14:AF14)</f>
        <v/>
      </c>
    </row>
    <row r="15">
      <c r="A15" s="242" t="inlineStr">
        <is>
          <t>NHS Black Country ICB</t>
        </is>
      </c>
      <c r="B15" t="n">
        <v>3789.84</v>
      </c>
      <c r="E15" t="n">
        <v>3363.36</v>
      </c>
      <c r="R15" t="n">
        <v>5928.26</v>
      </c>
      <c r="AG15" s="235">
        <f>SUM(B15:AF15)</f>
        <v/>
      </c>
    </row>
    <row r="16">
      <c r="A16" s="242" t="inlineStr">
        <is>
          <t>Sandwell - HB</t>
        </is>
      </c>
      <c r="B16" t="n">
        <v>380</v>
      </c>
      <c r="AD16" t="n">
        <v>380</v>
      </c>
      <c r="AG16" s="235">
        <f>SUM(B16:AF16)</f>
        <v/>
      </c>
    </row>
    <row r="17">
      <c r="A17" s="242" t="inlineStr">
        <is>
          <t>Sandwell MBC - Supported Living</t>
        </is>
      </c>
      <c r="C17" t="n">
        <v>131304.4</v>
      </c>
      <c r="M17" t="n">
        <v>158792.17</v>
      </c>
      <c r="Q17" t="n">
        <v>131304.4</v>
      </c>
      <c r="AA17" t="n">
        <v>158792.17</v>
      </c>
      <c r="AE17" t="n">
        <v>131304.4</v>
      </c>
      <c r="AG17" s="235">
        <f>SUM(B17:AF17)</f>
        <v/>
      </c>
    </row>
    <row r="18">
      <c r="A18" s="242" t="inlineStr">
        <is>
          <t>Solihull MBC - Supported Living</t>
        </is>
      </c>
      <c r="W18" t="n">
        <v>33639.34</v>
      </c>
      <c r="AG18" s="235">
        <f>SUM(B18:AF18)</f>
        <v/>
      </c>
    </row>
    <row r="19">
      <c r="A19" s="242" t="inlineStr">
        <is>
          <t>Walsall - Supported Living</t>
        </is>
      </c>
      <c r="J19" t="n">
        <v>343077.42</v>
      </c>
      <c r="AG19" s="235">
        <f>SUM(B19:AF19)</f>
        <v/>
      </c>
    </row>
    <row r="20">
      <c r="A20" s="242" t="inlineStr">
        <is>
          <t>Wolverhampton - Supported Living</t>
        </is>
      </c>
      <c r="E20" t="n">
        <v>140800.84</v>
      </c>
      <c r="L20" t="n">
        <v>140800.84</v>
      </c>
      <c r="S20" t="n">
        <v>140800.84</v>
      </c>
      <c r="Z20" t="n">
        <v>140800.84</v>
      </c>
      <c r="AG20" s="235">
        <f>SUM(B20:AF20)</f>
        <v/>
      </c>
    </row>
    <row r="21">
      <c r="A21" s="242" t="inlineStr">
        <is>
          <t>People Plus - Direct Payments</t>
        </is>
      </c>
      <c r="M21" t="n">
        <v>14051.2</v>
      </c>
      <c r="R21" t="n">
        <v>2870</v>
      </c>
      <c r="AG21" s="235">
        <f>SUM(B21:AF21)</f>
        <v/>
      </c>
    </row>
    <row r="22">
      <c r="A22" s="242" t="inlineStr">
        <is>
          <t>Middlesbrough - Supported Living</t>
        </is>
      </c>
      <c r="G22" t="n">
        <v>6116.04</v>
      </c>
      <c r="AG22" s="235">
        <f>SUM(B22:AF22)</f>
        <v/>
      </c>
    </row>
    <row r="23">
      <c r="A23" s="242" t="inlineStr">
        <is>
          <t>Other HB and SC</t>
        </is>
      </c>
      <c r="B23" t="n">
        <v>4000</v>
      </c>
      <c r="C23" t="n">
        <v>4000</v>
      </c>
      <c r="D23" t="n">
        <v>4000</v>
      </c>
      <c r="E23" t="n">
        <v>4000</v>
      </c>
      <c r="F23" t="n">
        <v>4000</v>
      </c>
      <c r="G23" t="n">
        <v>4000</v>
      </c>
      <c r="H23" t="n">
        <v>4000</v>
      </c>
      <c r="I23" t="n">
        <v>4000</v>
      </c>
      <c r="J23" t="n">
        <v>4000</v>
      </c>
      <c r="K23" t="n">
        <v>4000</v>
      </c>
      <c r="L23" t="n">
        <v>4000</v>
      </c>
      <c r="M23" t="n">
        <v>4000</v>
      </c>
      <c r="N23" t="n">
        <v>4000</v>
      </c>
      <c r="O23" t="n">
        <v>4000</v>
      </c>
      <c r="P23" t="n">
        <v>4000</v>
      </c>
      <c r="Q23" t="n">
        <v>4000</v>
      </c>
      <c r="R23" t="n">
        <v>4000</v>
      </c>
      <c r="S23" t="n">
        <v>4000</v>
      </c>
      <c r="T23" t="n">
        <v>4000</v>
      </c>
      <c r="U23" t="n">
        <v>4000</v>
      </c>
      <c r="V23" t="n">
        <v>4000</v>
      </c>
      <c r="W23" t="n">
        <v>4000</v>
      </c>
      <c r="X23" t="n">
        <v>4000</v>
      </c>
      <c r="Y23" t="n">
        <v>4000</v>
      </c>
      <c r="Z23" t="n">
        <v>4000</v>
      </c>
      <c r="AA23" t="n">
        <v>4000</v>
      </c>
      <c r="AB23" t="n">
        <v>4000</v>
      </c>
      <c r="AC23" t="n">
        <v>4000</v>
      </c>
      <c r="AD23" t="n">
        <v>4000</v>
      </c>
      <c r="AE23" t="n">
        <v>4000</v>
      </c>
      <c r="AF23" t="n">
        <v>4000</v>
      </c>
      <c r="AG23" s="235">
        <f>SUM(B23:AF23)</f>
        <v/>
      </c>
    </row>
    <row r="24">
      <c r="A24" s="242" t="inlineStr">
        <is>
          <t>TOTAL</t>
        </is>
      </c>
      <c r="B24">
        <f>SUM(B3:B23)</f>
        <v/>
      </c>
      <c r="C24">
        <f>SUM(C3:C23)</f>
        <v/>
      </c>
      <c r="D24">
        <f>SUM(D3:D23)</f>
        <v/>
      </c>
      <c r="E24">
        <f>SUM(E3:E23)</f>
        <v/>
      </c>
      <c r="F24">
        <f>SUM(F3:F23)</f>
        <v/>
      </c>
      <c r="G24">
        <f>SUM(G3:G23)</f>
        <v/>
      </c>
      <c r="H24">
        <f>SUM(H3:H23)</f>
        <v/>
      </c>
      <c r="I24">
        <f>SUM(I3:I23)</f>
        <v/>
      </c>
      <c r="J24">
        <f>SUM(J3:J23)</f>
        <v/>
      </c>
      <c r="K24">
        <f>SUM(K3:K23)</f>
        <v/>
      </c>
      <c r="L24">
        <f>SUM(L3:L23)</f>
        <v/>
      </c>
      <c r="M24">
        <f>SUM(M3:M23)</f>
        <v/>
      </c>
      <c r="N24">
        <f>SUM(N3:N23)</f>
        <v/>
      </c>
      <c r="O24">
        <f>SUM(O3:O23)</f>
        <v/>
      </c>
      <c r="P24">
        <f>SUM(P3:P23)</f>
        <v/>
      </c>
      <c r="Q24">
        <f>SUM(Q3:Q23)</f>
        <v/>
      </c>
      <c r="R24">
        <f>SUM(R3:R23)</f>
        <v/>
      </c>
      <c r="S24">
        <f>SUM(S3:S23)</f>
        <v/>
      </c>
      <c r="T24">
        <f>SUM(T3:T23)</f>
        <v/>
      </c>
      <c r="U24">
        <f>SUM(U3:U23)</f>
        <v/>
      </c>
      <c r="V24">
        <f>SUM(V3:V23)</f>
        <v/>
      </c>
      <c r="W24">
        <f>SUM(W3:W23)</f>
        <v/>
      </c>
      <c r="X24">
        <f>SUM(X3:X23)</f>
        <v/>
      </c>
      <c r="Y24">
        <f>SUM(Y3:Y23)</f>
        <v/>
      </c>
      <c r="Z24">
        <f>SUM(Z3:Z23)</f>
        <v/>
      </c>
      <c r="AA24">
        <f>SUM(AA3:AA23)</f>
        <v/>
      </c>
      <c r="AB24">
        <f>SUM(AB3:AB23)</f>
        <v/>
      </c>
      <c r="AC24">
        <f>SUM(AC3:AC23)</f>
        <v/>
      </c>
      <c r="AD24">
        <f>SUM(AD3:AD23)</f>
        <v/>
      </c>
      <c r="AE24">
        <f>SUM(AE3:AE23)</f>
        <v/>
      </c>
      <c r="AF24">
        <f>SUM(AF3:AF23)</f>
        <v/>
      </c>
      <c r="AG24" s="235">
        <f>SUM(AG3:AG23)</f>
        <v/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Elliot Horton</dc:creator>
  <dcterms:created xsi:type="dcterms:W3CDTF">2023-07-03T14:43:21Z</dcterms:created>
  <dcterms:modified xsi:type="dcterms:W3CDTF">2026-05-15T09:16:00Z</dcterms:modified>
  <cp:lastModifiedBy>Elliot Horton</cp:lastModifiedBy>
  <cp:lastPrinted>2025-12-01T11:32:58Z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0x0101007ADAB21BD3C7214187F20B66453CAC6F</vt:lpwstr>
  </property>
</Properties>
</file>